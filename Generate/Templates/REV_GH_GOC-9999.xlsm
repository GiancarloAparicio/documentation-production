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trlProps/ctrlProp1.xml" ContentType="application/vnd.ms-excel.controlproperties+xml"/>
  <Override PartName="/xl/drawings/drawing1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92.168.0.120\share\generate\Generate\"/>
    </mc:Choice>
  </mc:AlternateContent>
  <bookViews>
    <workbookView xWindow="0" yWindow="0" windowWidth="20490" windowHeight="7650" tabRatio="904" firstSheet="10" activeTab="16"/>
  </bookViews>
  <sheets>
    <sheet name="Historial_Revisiones" sheetId="28" state="hidden" r:id="rId1"/>
    <sheet name="Instructivo" sheetId="13" r:id="rId2"/>
    <sheet name="Historial de Revisiones" sheetId="24" r:id="rId3"/>
    <sheet name="Parámetros" sheetId="14" state="hidden" r:id="rId4"/>
    <sheet name="CHK Técnico-AS400" sheetId="16" r:id="rId5"/>
    <sheet name="CHK Técnico-SQL" sheetId="26" r:id="rId6"/>
    <sheet name="CHK Técnico-VB" sheetId="18" r:id="rId7"/>
    <sheet name="CHK Técnico-JAVA" sheetId="17" r:id="rId8"/>
    <sheet name="CHK Técnico-RPA" sheetId="37" r:id="rId9"/>
    <sheet name="CHK Técnico-.NET" sheetId="25" r:id="rId10"/>
    <sheet name="CHK Técnico-Macros" sheetId="27" r:id="rId11"/>
    <sheet name="CHK Técnico-DB2" sheetId="30" r:id="rId12"/>
    <sheet name="CHK Técnico-ORACLE" sheetId="32" r:id="rId13"/>
    <sheet name="CHK Técnico-ANGULAR" sheetId="34" r:id="rId14"/>
    <sheet name="CHK Técnico-ETL" sheetId="33" r:id="rId15"/>
    <sheet name="CHK Técnico-IBUS" sheetId="36" r:id="rId16"/>
    <sheet name="Seguimiento de Incidencias" sheetId="20" r:id="rId17"/>
    <sheet name="Informe Final-Realiza" sheetId="12" state="hidden" r:id="rId18"/>
    <sheet name="Consolidado" sheetId="23" r:id="rId19"/>
  </sheets>
  <definedNames>
    <definedName name="_xlnm._FilterDatabase" localSheetId="9" hidden="1">'CHK Técnico-.NET'!$A$17:$T$82</definedName>
    <definedName name="_xlnm._FilterDatabase" localSheetId="4" hidden="1">'CHK Técnico-AS400'!$A$17:$T$122</definedName>
    <definedName name="_xlnm._FilterDatabase" localSheetId="11" hidden="1">'CHK Técnico-DB2'!$A$17:$T$58</definedName>
    <definedName name="_xlnm._FilterDatabase" localSheetId="7" hidden="1">'CHK Técnico-JAVA'!$A$17:$T$98</definedName>
    <definedName name="_xlnm._FilterDatabase" localSheetId="10" hidden="1">'CHK Técnico-Macros'!$A$17:$T$47</definedName>
    <definedName name="_xlnm._FilterDatabase" localSheetId="12" hidden="1">'CHK Técnico-ORACLE'!$A$17:$T$17</definedName>
    <definedName name="_xlnm._FilterDatabase" localSheetId="8" hidden="1">'CHK Técnico-RPA'!$A$17:$T$62</definedName>
    <definedName name="_xlnm._FilterDatabase" localSheetId="5" hidden="1">'CHK Técnico-SQL'!$A$17:$T$17</definedName>
    <definedName name="_xlnm._FilterDatabase" localSheetId="6" hidden="1">'CHK Técnico-VB'!$A$17:$T$63</definedName>
    <definedName name="Aplicativo">Parámetros!$L$12:$L$116</definedName>
    <definedName name="Autor_Registro">Parámetros!$E$13:$E$30</definedName>
    <definedName name="Ciclo">Parámetros!$B$407:$B$1027</definedName>
    <definedName name="Defecto">Parámetros!$B$1065:$B$1068</definedName>
    <definedName name="Defectos">Parámetros!$B$1057:$B$1061</definedName>
    <definedName name="Duracion">Parámetros!$B$73:$B$402</definedName>
    <definedName name="Estado">Parámetros!$J$4:$J$5</definedName>
    <definedName name="Linea">Parámetros!$B$16:$B$22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Opcion">Parámetros!$E$4:$E$6</definedName>
    <definedName name="Responsable">Parámetros!$B$25:$B$30</definedName>
    <definedName name="Resultados">Parámetros!$B$1048:$B$1052</definedName>
    <definedName name="Revisor">Parámetros!$E$13:$E$30</definedName>
    <definedName name="Revisores">Parámetros!$G$13:$G$30</definedName>
    <definedName name="s">Parámetros!$B$1065:$B$1068</definedName>
    <definedName name="Severidad">Parámetros!$B$1065:$B$1068</definedName>
  </definedNames>
  <calcPr calcId="162913"/>
  <pivotCaches>
    <pivotCache cacheId="0" r:id="rId2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0" i="37" l="1"/>
  <c r="D9" i="37"/>
  <c r="D8" i="37"/>
  <c r="D7" i="37"/>
  <c r="D6" i="37"/>
  <c r="H8" i="37"/>
  <c r="H6" i="26"/>
  <c r="H7" i="26"/>
  <c r="H8" i="26" l="1"/>
  <c r="H7" i="16"/>
  <c r="H6" i="16" l="1"/>
  <c r="H8" i="16" l="1"/>
  <c r="L12" i="14"/>
  <c r="H9" i="16"/>
  <c r="H9" i="37" l="1"/>
  <c r="H8" i="17" l="1"/>
  <c r="H7" i="37" l="1"/>
  <c r="H6" i="37"/>
  <c r="F7" i="20" l="1"/>
  <c r="F8" i="20"/>
  <c r="F9" i="20"/>
  <c r="F10" i="20"/>
  <c r="F6" i="20"/>
  <c r="H8" i="36"/>
  <c r="H9" i="36"/>
  <c r="H10" i="36"/>
  <c r="H11" i="36"/>
  <c r="H7" i="36"/>
  <c r="H6" i="36"/>
  <c r="H7" i="33"/>
  <c r="H8" i="33"/>
  <c r="H9" i="33"/>
  <c r="H10" i="33"/>
  <c r="H11" i="33"/>
  <c r="H6" i="33"/>
  <c r="H8" i="34"/>
  <c r="H9" i="34"/>
  <c r="H10" i="34"/>
  <c r="H11" i="34"/>
  <c r="H7" i="34"/>
  <c r="H6" i="34"/>
  <c r="H8" i="32"/>
  <c r="H9" i="32"/>
  <c r="H10" i="32"/>
  <c r="H11" i="32"/>
  <c r="H7" i="32"/>
  <c r="H6" i="32"/>
  <c r="H8" i="30"/>
  <c r="H9" i="30"/>
  <c r="H10" i="30"/>
  <c r="H11" i="30"/>
  <c r="H7" i="30"/>
  <c r="H6" i="30"/>
  <c r="H8" i="27"/>
  <c r="H9" i="27"/>
  <c r="H10" i="27"/>
  <c r="H11" i="27"/>
  <c r="H7" i="27"/>
  <c r="H6" i="27"/>
  <c r="H8" i="25"/>
  <c r="H9" i="25"/>
  <c r="H10" i="25"/>
  <c r="H11" i="25"/>
  <c r="H7" i="25"/>
  <c r="H6" i="25"/>
  <c r="H10" i="37"/>
  <c r="H11" i="37"/>
  <c r="H9" i="17"/>
  <c r="H10" i="17"/>
  <c r="H11" i="17"/>
  <c r="H7" i="17"/>
  <c r="H6" i="17"/>
  <c r="H8" i="18"/>
  <c r="H9" i="18"/>
  <c r="H10" i="18"/>
  <c r="H7" i="18"/>
  <c r="H6" i="18"/>
  <c r="H10" i="16"/>
  <c r="H11" i="16"/>
  <c r="H9" i="26"/>
  <c r="H10" i="26"/>
  <c r="H11" i="26"/>
  <c r="I26" i="37" l="1"/>
  <c r="I27" i="37"/>
  <c r="I25" i="37"/>
  <c r="I53" i="37"/>
  <c r="I52" i="37"/>
  <c r="I51" i="37"/>
  <c r="I49" i="37"/>
  <c r="I48" i="37"/>
  <c r="I47" i="37"/>
  <c r="I45" i="37"/>
  <c r="I44" i="37"/>
  <c r="I43" i="37"/>
  <c r="I41" i="37"/>
  <c r="I40" i="37"/>
  <c r="I39" i="37"/>
  <c r="I38" i="37"/>
  <c r="I37" i="37"/>
  <c r="I35" i="37"/>
  <c r="I34" i="37"/>
  <c r="I32" i="37"/>
  <c r="I31" i="37"/>
  <c r="I30" i="37"/>
  <c r="I29" i="37"/>
  <c r="I24" i="37"/>
  <c r="I23" i="37"/>
  <c r="I22" i="37"/>
  <c r="I21" i="37"/>
  <c r="I20" i="37"/>
  <c r="C6" i="20" l="1"/>
  <c r="C7" i="20"/>
  <c r="C8" i="20"/>
  <c r="C9" i="20"/>
  <c r="C10" i="20"/>
  <c r="D16" i="20" l="1"/>
  <c r="F30" i="20" l="1"/>
  <c r="I80" i="36" l="1"/>
  <c r="I79" i="36"/>
  <c r="I50" i="36"/>
  <c r="I49" i="36"/>
  <c r="I48" i="36"/>
  <c r="I47" i="36"/>
  <c r="I45" i="36"/>
  <c r="I44" i="36"/>
  <c r="I42" i="36"/>
  <c r="I41" i="36"/>
  <c r="I40" i="36"/>
  <c r="I39" i="36"/>
  <c r="I37" i="36"/>
  <c r="I36" i="36"/>
  <c r="I35" i="36"/>
  <c r="I33" i="36"/>
  <c r="I32" i="36"/>
  <c r="I31" i="36"/>
  <c r="I30" i="36"/>
  <c r="I28" i="36"/>
  <c r="I27" i="36"/>
  <c r="I26" i="36"/>
  <c r="I25" i="36"/>
  <c r="I24" i="36"/>
  <c r="I22" i="36"/>
  <c r="I21" i="36"/>
  <c r="I20" i="36"/>
  <c r="I52" i="33" l="1"/>
  <c r="I51" i="33"/>
  <c r="I50" i="33"/>
  <c r="I49" i="33"/>
  <c r="I48" i="33"/>
  <c r="I47" i="33"/>
  <c r="I45" i="33"/>
  <c r="I44" i="33"/>
  <c r="I42" i="33"/>
  <c r="I41" i="33"/>
  <c r="I40" i="33"/>
  <c r="I39" i="33"/>
  <c r="I37" i="33"/>
  <c r="I36" i="33"/>
  <c r="I35" i="33"/>
  <c r="I33" i="33"/>
  <c r="I32" i="33"/>
  <c r="I31" i="33"/>
  <c r="I30" i="33"/>
  <c r="I28" i="33"/>
  <c r="I27" i="33"/>
  <c r="I26" i="33"/>
  <c r="I25" i="33"/>
  <c r="I24" i="33"/>
  <c r="I22" i="33"/>
  <c r="I21" i="33"/>
  <c r="I20" i="33"/>
  <c r="I67" i="34"/>
  <c r="I66" i="34"/>
  <c r="I65" i="34"/>
  <c r="I64" i="34"/>
  <c r="I62" i="34"/>
  <c r="I61" i="34"/>
  <c r="I59" i="34"/>
  <c r="I58" i="34"/>
  <c r="I57" i="34"/>
  <c r="I56" i="34"/>
  <c r="I55" i="34"/>
  <c r="I54" i="34"/>
  <c r="I53" i="34"/>
  <c r="I51" i="34"/>
  <c r="I50" i="34"/>
  <c r="I49" i="34"/>
  <c r="I48" i="34"/>
  <c r="I47" i="34"/>
  <c r="I46" i="34"/>
  <c r="I45" i="34"/>
  <c r="I44" i="34"/>
  <c r="I42" i="34"/>
  <c r="I41" i="34"/>
  <c r="I40" i="34"/>
  <c r="I38" i="34"/>
  <c r="I37" i="34"/>
  <c r="I36" i="34"/>
  <c r="I35" i="34"/>
  <c r="I34" i="34"/>
  <c r="I33" i="34"/>
  <c r="I32" i="34"/>
  <c r="I31" i="34"/>
  <c r="I30" i="34"/>
  <c r="I29" i="34"/>
  <c r="I28" i="34"/>
  <c r="I27" i="34"/>
  <c r="I25" i="34"/>
  <c r="I24" i="34"/>
  <c r="I23" i="34"/>
  <c r="I21" i="34"/>
  <c r="I20" i="34"/>
  <c r="L96" i="14" l="1"/>
  <c r="L113" i="14" l="1"/>
  <c r="L114" i="14"/>
  <c r="L115" i="14"/>
  <c r="L105" i="14"/>
  <c r="L106" i="14"/>
  <c r="L107" i="14"/>
  <c r="L108" i="14"/>
  <c r="L109" i="14"/>
  <c r="L110" i="14"/>
  <c r="L111" i="14"/>
  <c r="L112" i="14"/>
  <c r="F19" i="20" l="1"/>
  <c r="F20" i="20"/>
  <c r="F21" i="20"/>
  <c r="F22" i="20"/>
  <c r="F23" i="20"/>
  <c r="F24" i="20"/>
  <c r="F25" i="20"/>
  <c r="F26" i="20"/>
  <c r="F27" i="20"/>
  <c r="F28" i="20"/>
  <c r="F29"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70" i="20"/>
  <c r="F71" i="20"/>
  <c r="F72" i="20"/>
  <c r="F73" i="20"/>
  <c r="F74" i="20"/>
  <c r="F75" i="20"/>
  <c r="F76" i="20"/>
  <c r="F77" i="20"/>
  <c r="F78" i="20"/>
  <c r="F79" i="20"/>
  <c r="F80" i="20"/>
  <c r="F81" i="20"/>
  <c r="F82" i="20"/>
  <c r="F83" i="20"/>
  <c r="F84" i="20"/>
  <c r="F85" i="20"/>
  <c r="F86" i="20"/>
  <c r="F87" i="20"/>
  <c r="F88" i="20"/>
  <c r="F89" i="20"/>
  <c r="F90" i="20"/>
  <c r="F91" i="20"/>
  <c r="F92" i="20"/>
  <c r="F93" i="20"/>
  <c r="F94" i="20"/>
  <c r="F95" i="20"/>
  <c r="F96" i="20"/>
  <c r="F97" i="20"/>
  <c r="F98" i="20"/>
  <c r="F99" i="20"/>
  <c r="F100" i="20"/>
  <c r="F101" i="20"/>
  <c r="F102" i="20"/>
  <c r="F103" i="20"/>
  <c r="F104" i="20"/>
  <c r="F105" i="20"/>
  <c r="F106" i="20"/>
  <c r="F107" i="20"/>
  <c r="F108" i="20"/>
  <c r="F109" i="20"/>
  <c r="F110" i="20"/>
  <c r="F111" i="20"/>
  <c r="F112" i="20"/>
  <c r="F113" i="20"/>
  <c r="F114" i="20"/>
  <c r="F115" i="20"/>
  <c r="F116" i="20"/>
  <c r="F117" i="20"/>
  <c r="F118" i="20"/>
  <c r="F119" i="20"/>
  <c r="F120" i="20"/>
  <c r="F121" i="20"/>
  <c r="F122" i="20"/>
  <c r="F123" i="20"/>
  <c r="F124" i="20"/>
  <c r="F125" i="20"/>
  <c r="F126" i="20"/>
  <c r="F127" i="20"/>
  <c r="F128" i="20"/>
  <c r="F129" i="20"/>
  <c r="F130" i="20"/>
  <c r="F131" i="20"/>
  <c r="F132" i="20"/>
  <c r="F133" i="20"/>
  <c r="F134" i="20"/>
  <c r="F135" i="20"/>
  <c r="F136" i="20"/>
  <c r="F137" i="20"/>
  <c r="F138" i="20"/>
  <c r="F139" i="20"/>
  <c r="F140" i="20"/>
  <c r="F141" i="20"/>
  <c r="F142" i="20"/>
  <c r="F143" i="20"/>
  <c r="F144" i="20"/>
  <c r="F145" i="20"/>
  <c r="F146" i="20"/>
  <c r="F147" i="20"/>
  <c r="F148" i="20"/>
  <c r="F149" i="20"/>
  <c r="F150" i="20"/>
  <c r="F151" i="20"/>
  <c r="F152" i="20"/>
  <c r="F153" i="20"/>
  <c r="F154" i="20"/>
  <c r="F155" i="20"/>
  <c r="F156" i="20"/>
  <c r="F157" i="20"/>
  <c r="F158" i="20"/>
  <c r="F159" i="20"/>
  <c r="F160" i="20"/>
  <c r="F161" i="20"/>
  <c r="F162" i="20"/>
  <c r="F163" i="20"/>
  <c r="F164" i="20"/>
  <c r="F165" i="20"/>
  <c r="F166" i="20"/>
  <c r="F167" i="20"/>
  <c r="F168" i="20"/>
  <c r="F169" i="20"/>
  <c r="F170" i="20"/>
  <c r="F171" i="20"/>
  <c r="F172" i="20"/>
  <c r="F173" i="20"/>
  <c r="F174" i="20"/>
  <c r="F175" i="20"/>
  <c r="F176" i="20"/>
  <c r="F177" i="20"/>
  <c r="F178" i="20"/>
  <c r="F179" i="20"/>
  <c r="F180" i="20"/>
  <c r="F181" i="20"/>
  <c r="F182" i="20"/>
  <c r="F183" i="20"/>
  <c r="F184" i="20"/>
  <c r="F185" i="20"/>
  <c r="F186" i="20"/>
  <c r="F187" i="20"/>
  <c r="F188" i="20"/>
  <c r="F189" i="20"/>
  <c r="F190" i="20"/>
  <c r="F191" i="20"/>
  <c r="F192" i="20"/>
  <c r="F193" i="20"/>
  <c r="F194" i="20"/>
  <c r="F195" i="20"/>
  <c r="F196" i="20"/>
  <c r="F197" i="20"/>
  <c r="F198" i="20"/>
  <c r="F199" i="20"/>
  <c r="F200" i="20"/>
  <c r="F201" i="20"/>
  <c r="F202" i="20"/>
  <c r="F203" i="20"/>
  <c r="F204" i="20"/>
  <c r="F205" i="20"/>
  <c r="F206" i="20"/>
  <c r="F207" i="20"/>
  <c r="F208" i="20"/>
  <c r="F209" i="20"/>
  <c r="F210" i="20"/>
  <c r="F211" i="20"/>
  <c r="F212" i="20"/>
  <c r="F213" i="20"/>
  <c r="F214" i="20"/>
  <c r="F215" i="20"/>
  <c r="F216" i="20"/>
  <c r="F217" i="20"/>
  <c r="F218" i="20"/>
  <c r="F219" i="20"/>
  <c r="F220" i="20"/>
  <c r="F221" i="20"/>
  <c r="F222" i="20"/>
  <c r="F223" i="20"/>
  <c r="F224" i="20"/>
  <c r="F225" i="20"/>
  <c r="F226" i="20"/>
  <c r="F227" i="20"/>
  <c r="F228" i="20"/>
  <c r="F229" i="20"/>
  <c r="F230" i="20"/>
  <c r="F231" i="20"/>
  <c r="F232" i="20"/>
  <c r="F233" i="20"/>
  <c r="F234" i="20"/>
  <c r="F235" i="20"/>
  <c r="F236" i="20"/>
  <c r="F237" i="20"/>
  <c r="F238" i="20"/>
  <c r="F239" i="20"/>
  <c r="F240" i="20"/>
  <c r="F241" i="20"/>
  <c r="F242" i="20"/>
  <c r="F243" i="20"/>
  <c r="F244" i="20"/>
  <c r="F245" i="20"/>
  <c r="F246" i="20"/>
  <c r="F247" i="20"/>
  <c r="F248" i="20"/>
  <c r="F249" i="20"/>
  <c r="F250" i="20"/>
  <c r="F251" i="20"/>
  <c r="F252" i="20"/>
  <c r="F253" i="20"/>
  <c r="F254" i="20"/>
  <c r="F255" i="20"/>
  <c r="F256" i="20"/>
  <c r="F257" i="20"/>
  <c r="F258" i="20"/>
  <c r="F259" i="20"/>
  <c r="F260" i="20"/>
  <c r="F261" i="20"/>
  <c r="F262" i="20"/>
  <c r="F263" i="20"/>
  <c r="F264" i="20"/>
  <c r="F265" i="20"/>
  <c r="F266" i="20"/>
  <c r="F267" i="20"/>
  <c r="F268" i="20"/>
  <c r="F269" i="20"/>
  <c r="F270" i="20"/>
  <c r="F271" i="20"/>
  <c r="F272" i="20"/>
  <c r="F273" i="20"/>
  <c r="F274" i="20"/>
  <c r="F275" i="20"/>
  <c r="F276" i="20"/>
  <c r="F277" i="20"/>
  <c r="F278" i="20"/>
  <c r="F279" i="20"/>
  <c r="F280" i="20"/>
  <c r="F281" i="20"/>
  <c r="F282" i="20"/>
  <c r="F283" i="20"/>
  <c r="F284" i="20"/>
  <c r="F285" i="20"/>
  <c r="F286" i="20"/>
  <c r="F287" i="20"/>
  <c r="F288" i="20"/>
  <c r="F289" i="20"/>
  <c r="F290" i="20"/>
  <c r="F291" i="20"/>
  <c r="F292" i="20"/>
  <c r="F293" i="20"/>
  <c r="F294" i="20"/>
  <c r="F295" i="20"/>
  <c r="F296" i="20"/>
  <c r="F297" i="20"/>
  <c r="F298" i="20"/>
  <c r="F299" i="20"/>
  <c r="F300" i="20"/>
  <c r="F301" i="20"/>
  <c r="F302" i="20"/>
  <c r="F303" i="20"/>
  <c r="F304" i="20"/>
  <c r="F305" i="20"/>
  <c r="F306" i="20"/>
  <c r="F307" i="20"/>
  <c r="F308" i="20"/>
  <c r="F309" i="20"/>
  <c r="F310" i="20"/>
  <c r="F311" i="20"/>
  <c r="F312" i="20"/>
  <c r="F313" i="20"/>
  <c r="F314" i="20"/>
  <c r="F315" i="20"/>
  <c r="I20" i="32" l="1"/>
  <c r="I21" i="32"/>
  <c r="I22" i="32"/>
  <c r="I23" i="32"/>
  <c r="I24" i="32"/>
  <c r="I25" i="32"/>
  <c r="I27" i="32"/>
  <c r="I28" i="32"/>
  <c r="I29" i="32"/>
  <c r="I30" i="32"/>
  <c r="I31" i="32"/>
  <c r="I32" i="32"/>
  <c r="I33" i="32"/>
  <c r="I35" i="32"/>
  <c r="I36" i="32"/>
  <c r="I37" i="32"/>
  <c r="I38" i="32"/>
  <c r="I40" i="32"/>
  <c r="I41" i="32"/>
  <c r="I42" i="32"/>
  <c r="I43" i="32"/>
  <c r="I44" i="32"/>
  <c r="I45" i="32"/>
  <c r="I46" i="32"/>
  <c r="I47" i="32"/>
  <c r="I48" i="32"/>
  <c r="I49" i="32"/>
  <c r="I50" i="32"/>
  <c r="I52" i="32"/>
  <c r="I54" i="32"/>
  <c r="I55" i="32"/>
  <c r="I56" i="32"/>
  <c r="I58" i="32"/>
  <c r="I59" i="32"/>
  <c r="I60" i="32"/>
  <c r="I61" i="32"/>
  <c r="I62" i="32"/>
  <c r="I63" i="32"/>
  <c r="I64" i="32"/>
  <c r="I66" i="32"/>
  <c r="I67" i="32"/>
  <c r="I68" i="32"/>
  <c r="I69" i="32"/>
  <c r="I71" i="32"/>
  <c r="I72" i="32"/>
  <c r="I73" i="32"/>
  <c r="I74" i="32"/>
  <c r="I75" i="32"/>
  <c r="I77" i="32"/>
  <c r="I78" i="32"/>
  <c r="I53" i="30" l="1"/>
  <c r="I52" i="30"/>
  <c r="I50" i="30"/>
  <c r="I40" i="30"/>
  <c r="I38" i="30"/>
  <c r="I37" i="30"/>
  <c r="I36" i="30"/>
  <c r="I35" i="30"/>
  <c r="I34" i="30"/>
  <c r="I33" i="30"/>
  <c r="I32" i="30"/>
  <c r="I31" i="30"/>
  <c r="I29" i="30"/>
  <c r="I28" i="30"/>
  <c r="I27" i="30"/>
  <c r="I24" i="30"/>
  <c r="I22" i="30"/>
  <c r="I21" i="30"/>
  <c r="I20" i="30"/>
  <c r="A19" i="30"/>
  <c r="A20" i="30" s="1"/>
  <c r="A21" i="30" s="1"/>
  <c r="A22" i="30" s="1"/>
  <c r="A23" i="30" s="1"/>
  <c r="A24" i="30" s="1"/>
  <c r="A25" i="30" s="1"/>
  <c r="A26" i="30" s="1"/>
  <c r="A27" i="30" l="1"/>
  <c r="F27" i="24"/>
  <c r="F26" i="24"/>
  <c r="F25" i="24"/>
  <c r="A28" i="30" l="1"/>
  <c r="A10" i="23"/>
  <c r="F9" i="23"/>
  <c r="E9" i="23"/>
  <c r="D9" i="23"/>
  <c r="C9" i="23"/>
  <c r="B9" i="23"/>
  <c r="F8" i="23"/>
  <c r="E8" i="23"/>
  <c r="D8" i="23"/>
  <c r="C8" i="23"/>
  <c r="B8" i="23"/>
  <c r="F7" i="23"/>
  <c r="E7" i="23"/>
  <c r="D7" i="23"/>
  <c r="C7" i="23"/>
  <c r="B7" i="23"/>
  <c r="F6" i="23"/>
  <c r="E6" i="23"/>
  <c r="D6" i="23"/>
  <c r="C6" i="23"/>
  <c r="B6" i="23"/>
  <c r="F5" i="23"/>
  <c r="E5" i="23"/>
  <c r="D5" i="23"/>
  <c r="C5" i="23"/>
  <c r="B5" i="23"/>
  <c r="F4" i="23"/>
  <c r="E4" i="23"/>
  <c r="D4" i="23"/>
  <c r="C4" i="23"/>
  <c r="B4" i="23"/>
  <c r="A29" i="30" l="1"/>
  <c r="D408" i="14"/>
  <c r="C409" i="14" s="1"/>
  <c r="C408" i="14"/>
  <c r="A30" i="30" l="1"/>
  <c r="D409" i="14"/>
  <c r="L104" i="14"/>
  <c r="L103" i="14"/>
  <c r="L102" i="14"/>
  <c r="L101" i="14"/>
  <c r="L100" i="14"/>
  <c r="L99" i="14"/>
  <c r="L98" i="14"/>
  <c r="L97" i="14"/>
  <c r="L95" i="14"/>
  <c r="L94" i="14"/>
  <c r="L93" i="14"/>
  <c r="L92" i="14"/>
  <c r="L91" i="14"/>
  <c r="L90" i="14"/>
  <c r="L89" i="14"/>
  <c r="L88" i="14"/>
  <c r="L87" i="14"/>
  <c r="L86" i="14"/>
  <c r="L85" i="14"/>
  <c r="L84" i="14"/>
  <c r="L83" i="14"/>
  <c r="L82" i="14"/>
  <c r="L81" i="14"/>
  <c r="L80" i="14"/>
  <c r="L79" i="14"/>
  <c r="L78" i="14"/>
  <c r="L77" i="14"/>
  <c r="L76" i="14"/>
  <c r="L75" i="14"/>
  <c r="L74" i="14"/>
  <c r="L73" i="14"/>
  <c r="L72" i="14"/>
  <c r="L71" i="14"/>
  <c r="L70" i="14"/>
  <c r="L69" i="14"/>
  <c r="L68" i="14"/>
  <c r="L67" i="14"/>
  <c r="L66" i="14"/>
  <c r="L65" i="14"/>
  <c r="L64" i="14"/>
  <c r="L63" i="14"/>
  <c r="L62" i="14"/>
  <c r="L61" i="14"/>
  <c r="L60" i="14"/>
  <c r="L59" i="14"/>
  <c r="L58" i="14"/>
  <c r="L57" i="14"/>
  <c r="L56" i="14"/>
  <c r="L55" i="14"/>
  <c r="L54" i="14"/>
  <c r="L53" i="14"/>
  <c r="L52" i="14"/>
  <c r="L51" i="14"/>
  <c r="L50" i="14"/>
  <c r="L49" i="14"/>
  <c r="L48" i="14"/>
  <c r="L47" i="14"/>
  <c r="L46" i="14"/>
  <c r="L45" i="14"/>
  <c r="L44" i="14"/>
  <c r="L43" i="14"/>
  <c r="L42" i="14"/>
  <c r="L41" i="14"/>
  <c r="L40" i="14"/>
  <c r="L39" i="14"/>
  <c r="L38" i="14"/>
  <c r="L37" i="14"/>
  <c r="L36" i="14"/>
  <c r="L35" i="14"/>
  <c r="L34" i="14"/>
  <c r="L33" i="14"/>
  <c r="L32" i="14"/>
  <c r="L31" i="14"/>
  <c r="L30" i="14"/>
  <c r="L29" i="14"/>
  <c r="L28" i="14"/>
  <c r="L27" i="14"/>
  <c r="L26" i="14"/>
  <c r="L25" i="14"/>
  <c r="L24" i="14"/>
  <c r="L23" i="14"/>
  <c r="L22" i="14"/>
  <c r="L21" i="14"/>
  <c r="L20" i="14"/>
  <c r="L19" i="14"/>
  <c r="L18" i="14"/>
  <c r="L17" i="14"/>
  <c r="L16" i="14"/>
  <c r="L15" i="14"/>
  <c r="L14" i="14"/>
  <c r="L13" i="14"/>
  <c r="C31" i="12"/>
  <c r="C30" i="12"/>
  <c r="C29" i="12"/>
  <c r="A31" i="30" l="1"/>
  <c r="D410" i="14"/>
  <c r="C410" i="14"/>
  <c r="C28" i="12"/>
  <c r="C32" i="12" s="1"/>
  <c r="D31" i="12" s="1"/>
  <c r="A32" i="30" l="1"/>
  <c r="D411" i="14"/>
  <c r="C411" i="14"/>
  <c r="D28" i="12"/>
  <c r="D30" i="12"/>
  <c r="D29" i="12"/>
  <c r="A33" i="30" l="1"/>
  <c r="D412" i="14"/>
  <c r="C412" i="14"/>
  <c r="D30" i="20"/>
  <c r="C30" i="20"/>
  <c r="B30" i="20"/>
  <c r="A30" i="20"/>
  <c r="D29" i="20"/>
  <c r="C29" i="20"/>
  <c r="B29" i="20"/>
  <c r="A29" i="20"/>
  <c r="D28" i="20"/>
  <c r="C28" i="20"/>
  <c r="B28" i="20"/>
  <c r="A28" i="20"/>
  <c r="D27" i="20"/>
  <c r="C27" i="20"/>
  <c r="B27" i="20"/>
  <c r="A27" i="20"/>
  <c r="D26" i="20"/>
  <c r="C26" i="20"/>
  <c r="B26" i="20"/>
  <c r="A26" i="20"/>
  <c r="D25" i="20"/>
  <c r="C25" i="20"/>
  <c r="B25" i="20"/>
  <c r="A25" i="20"/>
  <c r="D24" i="20"/>
  <c r="C24" i="20"/>
  <c r="B24" i="20"/>
  <c r="A24" i="20"/>
  <c r="D23" i="20"/>
  <c r="C23" i="20"/>
  <c r="B23" i="20"/>
  <c r="A23" i="20"/>
  <c r="D22" i="20"/>
  <c r="C22" i="20"/>
  <c r="B22" i="20"/>
  <c r="A22" i="20"/>
  <c r="D21" i="20"/>
  <c r="C21" i="20"/>
  <c r="B21" i="20"/>
  <c r="A21" i="20"/>
  <c r="D20" i="20"/>
  <c r="C20" i="20"/>
  <c r="B20" i="20"/>
  <c r="A20" i="20"/>
  <c r="D19" i="20"/>
  <c r="C19" i="20"/>
  <c r="B19" i="20"/>
  <c r="A19" i="20"/>
  <c r="F18" i="20"/>
  <c r="D18" i="20"/>
  <c r="C18" i="20"/>
  <c r="B18" i="20"/>
  <c r="A18" i="20"/>
  <c r="F17" i="20"/>
  <c r="D17" i="20"/>
  <c r="C17" i="20"/>
  <c r="B17" i="20"/>
  <c r="A17" i="20"/>
  <c r="F16" i="20"/>
  <c r="C16" i="20"/>
  <c r="B16" i="20"/>
  <c r="A16" i="20"/>
  <c r="F15" i="20"/>
  <c r="D15" i="20"/>
  <c r="C15" i="20"/>
  <c r="B15" i="20"/>
  <c r="A15" i="20"/>
  <c r="F14" i="20"/>
  <c r="D14" i="20"/>
  <c r="C14" i="20"/>
  <c r="B14" i="20"/>
  <c r="A14" i="20"/>
  <c r="I43" i="27"/>
  <c r="I42" i="27"/>
  <c r="I41" i="27"/>
  <c r="I39" i="27"/>
  <c r="I38" i="27"/>
  <c r="I36" i="27"/>
  <c r="I35" i="27"/>
  <c r="I34" i="27"/>
  <c r="I33" i="27"/>
  <c r="I32" i="27"/>
  <c r="I31" i="27"/>
  <c r="I30" i="27"/>
  <c r="I29" i="27"/>
  <c r="I27" i="27"/>
  <c r="I26" i="27"/>
  <c r="I25" i="27"/>
  <c r="I24" i="27"/>
  <c r="I22" i="27"/>
  <c r="I21" i="27"/>
  <c r="I20" i="27"/>
  <c r="A34" i="30" l="1"/>
  <c r="D413" i="14"/>
  <c r="C413" i="14"/>
  <c r="C6" i="12"/>
  <c r="C10" i="12"/>
  <c r="C8" i="12"/>
  <c r="C11" i="12"/>
  <c r="C9" i="12"/>
  <c r="C7" i="12"/>
  <c r="C12" i="12" l="1"/>
  <c r="D7" i="12" s="1"/>
  <c r="A35" i="30"/>
  <c r="D414" i="14"/>
  <c r="C414" i="14"/>
  <c r="I72" i="25"/>
  <c r="I71" i="25"/>
  <c r="I70" i="25"/>
  <c r="I69" i="25"/>
  <c r="I67" i="25"/>
  <c r="I66" i="25"/>
  <c r="I65" i="25"/>
  <c r="I64" i="25"/>
  <c r="I63" i="25"/>
  <c r="I61" i="25"/>
  <c r="I60" i="25"/>
  <c r="I59" i="25"/>
  <c r="I58" i="25"/>
  <c r="D6" i="12" l="1"/>
  <c r="D8" i="12"/>
  <c r="D10" i="12"/>
  <c r="D9" i="12"/>
  <c r="D11" i="12"/>
  <c r="A36" i="30"/>
  <c r="C415" i="14"/>
  <c r="D415" i="14"/>
  <c r="I56" i="25"/>
  <c r="D12" i="12" l="1"/>
  <c r="A37" i="30"/>
  <c r="A38" i="30" s="1"/>
  <c r="A39" i="30" s="1"/>
  <c r="D416" i="14"/>
  <c r="C416" i="14"/>
  <c r="I55" i="25"/>
  <c r="A40" i="30" l="1"/>
  <c r="A41" i="30" s="1"/>
  <c r="A42" i="30" s="1"/>
  <c r="A43" i="30" s="1"/>
  <c r="A44" i="30" s="1"/>
  <c r="A45" i="30" s="1"/>
  <c r="A46" i="30" s="1"/>
  <c r="A47" i="30" s="1"/>
  <c r="A48" i="30" s="1"/>
  <c r="A49" i="30" s="1"/>
  <c r="A50" i="30" s="1"/>
  <c r="A51" i="30" s="1"/>
  <c r="A52" i="30" s="1"/>
  <c r="A53" i="30" s="1"/>
  <c r="C417" i="14"/>
  <c r="D417" i="14"/>
  <c r="I54" i="25"/>
  <c r="A54" i="30" l="1"/>
  <c r="A55" i="30" s="1"/>
  <c r="A56" i="30" s="1"/>
  <c r="A57" i="30"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D418" i="14"/>
  <c r="C418" i="14"/>
  <c r="I53" i="25"/>
  <c r="D419" i="14" l="1"/>
  <c r="C419" i="14"/>
  <c r="I52" i="25"/>
  <c r="C420" i="14" l="1"/>
  <c r="D420" i="14"/>
  <c r="I50" i="25"/>
  <c r="I49" i="25"/>
  <c r="I47" i="25"/>
  <c r="I46" i="25"/>
  <c r="I45" i="25"/>
  <c r="I44" i="25"/>
  <c r="I43" i="25"/>
  <c r="I42" i="25"/>
  <c r="I41" i="25"/>
  <c r="I40" i="25"/>
  <c r="I39" i="25"/>
  <c r="I38" i="25"/>
  <c r="I37" i="25"/>
  <c r="I36" i="25"/>
  <c r="I35" i="25"/>
  <c r="I34" i="25"/>
  <c r="I32" i="25"/>
  <c r="I31" i="25"/>
  <c r="I30" i="25"/>
  <c r="I29" i="25"/>
  <c r="I28" i="25"/>
  <c r="I27" i="25"/>
  <c r="I25" i="25"/>
  <c r="I24" i="25"/>
  <c r="I23" i="25"/>
  <c r="D421" i="14" l="1"/>
  <c r="C421" i="14"/>
  <c r="I22" i="25"/>
  <c r="I20" i="25"/>
  <c r="I89" i="17"/>
  <c r="I88" i="17"/>
  <c r="I87" i="17"/>
  <c r="I86" i="17"/>
  <c r="I84" i="17"/>
  <c r="I83" i="17"/>
  <c r="I82" i="17"/>
  <c r="I81" i="17"/>
  <c r="I80" i="17"/>
  <c r="I78" i="17"/>
  <c r="I77" i="17"/>
  <c r="I76" i="17"/>
  <c r="I75" i="17"/>
  <c r="I73" i="17"/>
  <c r="I72" i="17"/>
  <c r="I71" i="17"/>
  <c r="I70" i="17"/>
  <c r="I69" i="17"/>
  <c r="I68" i="17"/>
  <c r="I67" i="17"/>
  <c r="I66" i="17"/>
  <c r="I65" i="17"/>
  <c r="I64" i="17"/>
  <c r="I63" i="17"/>
  <c r="I62" i="17"/>
  <c r="I61" i="17"/>
  <c r="I60" i="17"/>
  <c r="I58" i="17"/>
  <c r="I57" i="17"/>
  <c r="I56" i="17"/>
  <c r="I55" i="17"/>
  <c r="I54" i="17"/>
  <c r="I53" i="17"/>
  <c r="I51" i="17"/>
  <c r="I50" i="17"/>
  <c r="I49" i="17"/>
  <c r="I48" i="17"/>
  <c r="I47" i="17"/>
  <c r="I45" i="17"/>
  <c r="I44" i="17"/>
  <c r="I43" i="17"/>
  <c r="I42" i="17"/>
  <c r="I41" i="17"/>
  <c r="I40" i="17"/>
  <c r="I39" i="17"/>
  <c r="I38" i="17"/>
  <c r="I37" i="17"/>
  <c r="I35" i="17"/>
  <c r="I34" i="17"/>
  <c r="I33" i="17"/>
  <c r="I32" i="17"/>
  <c r="I31" i="17"/>
  <c r="I29" i="17"/>
  <c r="I28" i="17"/>
  <c r="I27" i="17"/>
  <c r="I26" i="17"/>
  <c r="I24" i="17"/>
  <c r="I23" i="17"/>
  <c r="I22" i="17"/>
  <c r="I21" i="17"/>
  <c r="I20" i="17"/>
  <c r="I60" i="18"/>
  <c r="I59" i="18"/>
  <c r="I58" i="18"/>
  <c r="D422" i="14" l="1"/>
  <c r="C422" i="14"/>
  <c r="I56" i="18"/>
  <c r="I55" i="18"/>
  <c r="I54" i="18"/>
  <c r="I53" i="18"/>
  <c r="I51" i="18"/>
  <c r="I50" i="18"/>
  <c r="I49" i="18"/>
  <c r="I48" i="18"/>
  <c r="I47" i="18"/>
  <c r="I45" i="18"/>
  <c r="I44" i="18"/>
  <c r="I42" i="18"/>
  <c r="I41" i="18"/>
  <c r="I40" i="18"/>
  <c r="I39" i="18"/>
  <c r="I38" i="18"/>
  <c r="I37" i="18"/>
  <c r="I36" i="18"/>
  <c r="I35" i="18"/>
  <c r="I34" i="18"/>
  <c r="I33" i="18"/>
  <c r="I32" i="18"/>
  <c r="I30" i="18"/>
  <c r="I29" i="18"/>
  <c r="I28" i="18"/>
  <c r="I27" i="18"/>
  <c r="I26" i="18"/>
  <c r="I24" i="18"/>
  <c r="D423" i="14" l="1"/>
  <c r="C423" i="14"/>
  <c r="I23" i="18"/>
  <c r="I22" i="18"/>
  <c r="I21" i="18"/>
  <c r="I20" i="18"/>
  <c r="I85" i="26"/>
  <c r="I84" i="26"/>
  <c r="I82" i="26"/>
  <c r="I81" i="26"/>
  <c r="I80" i="26"/>
  <c r="I79" i="26"/>
  <c r="I78" i="26"/>
  <c r="I76" i="26"/>
  <c r="I75" i="26"/>
  <c r="I74" i="26"/>
  <c r="I73" i="26"/>
  <c r="I71" i="26"/>
  <c r="I70" i="26"/>
  <c r="I69" i="26"/>
  <c r="I68" i="26"/>
  <c r="I67" i="26"/>
  <c r="I66" i="26"/>
  <c r="I65" i="26"/>
  <c r="I63" i="26"/>
  <c r="I62" i="26"/>
  <c r="I61" i="26"/>
  <c r="I59" i="26"/>
  <c r="I57" i="26"/>
  <c r="I56" i="26"/>
  <c r="I55" i="26"/>
  <c r="I54" i="26"/>
  <c r="I53" i="26"/>
  <c r="I52" i="26"/>
  <c r="I51" i="26"/>
  <c r="I50" i="26"/>
  <c r="I49" i="26"/>
  <c r="I48" i="26"/>
  <c r="I47" i="26"/>
  <c r="I46" i="26"/>
  <c r="I45" i="26"/>
  <c r="I44" i="26"/>
  <c r="I42" i="26"/>
  <c r="I41" i="26"/>
  <c r="I40" i="26"/>
  <c r="I39" i="26"/>
  <c r="I38" i="26"/>
  <c r="I37" i="26"/>
  <c r="I36" i="26"/>
  <c r="I34" i="26"/>
  <c r="I33" i="26"/>
  <c r="I32" i="26"/>
  <c r="I31" i="26"/>
  <c r="I30" i="26"/>
  <c r="I29" i="26"/>
  <c r="I28" i="26"/>
  <c r="I26" i="26"/>
  <c r="I25" i="26"/>
  <c r="I24" i="26"/>
  <c r="I23" i="26"/>
  <c r="I22" i="26"/>
  <c r="I21" i="26"/>
  <c r="I20" i="26"/>
  <c r="D424" i="14" l="1"/>
  <c r="C424" i="14"/>
  <c r="D8" i="26"/>
  <c r="D7" i="26"/>
  <c r="D6" i="26"/>
  <c r="A24" i="16"/>
  <c r="E10" i="23" l="1"/>
  <c r="C10" i="23"/>
  <c r="D10" i="23"/>
  <c r="F10" i="23"/>
  <c r="B10" i="23"/>
  <c r="C425" i="14"/>
  <c r="D425" i="14"/>
  <c r="A25" i="16"/>
  <c r="A26" i="16" s="1"/>
  <c r="A27" i="16" s="1"/>
  <c r="A28" i="16" s="1"/>
  <c r="A29" i="16" s="1"/>
  <c r="A30" i="16" s="1"/>
  <c r="D426" i="14" l="1"/>
  <c r="C426" i="14"/>
  <c r="A31" i="16"/>
  <c r="A32" i="16" s="1"/>
  <c r="C427" i="14" l="1"/>
  <c r="D427" i="14"/>
  <c r="A33" i="16"/>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D428" i="14" l="1"/>
  <c r="C428" i="14"/>
  <c r="C429" i="14" l="1"/>
  <c r="D429" i="14"/>
  <c r="D430" i="14" l="1"/>
  <c r="C430" i="14"/>
  <c r="C431" i="14" l="1"/>
  <c r="D431" i="14"/>
  <c r="C432" i="14" l="1"/>
  <c r="D432" i="14"/>
  <c r="C433" i="14" l="1"/>
  <c r="D433" i="14"/>
  <c r="C434" i="14" l="1"/>
  <c r="D434" i="14"/>
  <c r="D435" i="14" l="1"/>
  <c r="C435" i="14"/>
  <c r="D436" i="14" l="1"/>
  <c r="C436" i="14"/>
  <c r="C437" i="14" l="1"/>
  <c r="D437" i="14"/>
  <c r="C438" i="14" l="1"/>
  <c r="D438" i="14"/>
  <c r="D439" i="14" l="1"/>
  <c r="C439" i="14"/>
  <c r="D440" i="14" l="1"/>
  <c r="C440" i="14"/>
  <c r="D441" i="14" l="1"/>
  <c r="C441" i="14"/>
  <c r="D442" i="14" l="1"/>
  <c r="C442" i="14"/>
  <c r="D443" i="14" l="1"/>
  <c r="C443" i="14"/>
  <c r="D444" i="14" l="1"/>
  <c r="C444" i="14"/>
  <c r="D445" i="14" l="1"/>
  <c r="C445" i="14"/>
  <c r="D446" i="14" l="1"/>
  <c r="C446" i="14"/>
  <c r="D447" i="14" l="1"/>
  <c r="C447" i="14"/>
  <c r="D448" i="14" l="1"/>
  <c r="C448" i="14"/>
  <c r="D449" i="14" l="1"/>
  <c r="C449" i="14"/>
  <c r="D450" i="14" l="1"/>
  <c r="C450" i="14"/>
  <c r="D451" i="14" l="1"/>
  <c r="C451" i="14"/>
  <c r="D452" i="14" l="1"/>
  <c r="C452" i="14"/>
  <c r="D453" i="14" l="1"/>
  <c r="C453" i="14"/>
  <c r="D454" i="14" l="1"/>
  <c r="C454" i="14"/>
  <c r="C455" i="14" l="1"/>
  <c r="D455" i="14"/>
  <c r="D456" i="14" l="1"/>
  <c r="C456" i="14"/>
  <c r="D457" i="14" l="1"/>
  <c r="C457" i="14"/>
  <c r="D458" i="14" l="1"/>
  <c r="C458" i="14"/>
  <c r="D459" i="14" l="1"/>
  <c r="C459" i="14"/>
  <c r="D460" i="14" l="1"/>
  <c r="C460" i="14"/>
  <c r="D461" i="14" l="1"/>
  <c r="C461" i="14"/>
  <c r="D462" i="14" l="1"/>
  <c r="C462" i="14"/>
  <c r="D463" i="14" l="1"/>
  <c r="C463" i="14"/>
  <c r="C464" i="14" l="1"/>
  <c r="D464" i="14"/>
  <c r="D465" i="14" l="1"/>
  <c r="C465" i="14"/>
  <c r="D466" i="14" l="1"/>
  <c r="C466" i="14"/>
  <c r="D467" i="14" l="1"/>
  <c r="C467" i="14"/>
  <c r="D468" i="14" l="1"/>
  <c r="C468" i="14"/>
  <c r="D469" i="14" l="1"/>
  <c r="C469" i="14"/>
  <c r="D470" i="14" l="1"/>
  <c r="C470" i="14"/>
  <c r="D471" i="14" l="1"/>
  <c r="C471" i="14"/>
  <c r="D472" i="14" l="1"/>
  <c r="C472" i="14"/>
  <c r="C473" i="14" l="1"/>
  <c r="D473" i="14"/>
  <c r="D474" i="14" l="1"/>
  <c r="C474" i="14"/>
  <c r="D475" i="14" l="1"/>
  <c r="C475" i="14"/>
  <c r="D476" i="14" l="1"/>
  <c r="C476" i="14"/>
  <c r="D477" i="14" l="1"/>
  <c r="C477" i="14"/>
  <c r="D478" i="14" l="1"/>
  <c r="C478" i="14"/>
  <c r="D479" i="14" l="1"/>
  <c r="C479" i="14"/>
  <c r="D480" i="14" l="1"/>
  <c r="C480" i="14"/>
  <c r="D481" i="14" l="1"/>
  <c r="C481" i="14"/>
  <c r="D482" i="14" l="1"/>
  <c r="C482" i="14"/>
  <c r="D483" i="14" l="1"/>
  <c r="C483" i="14"/>
  <c r="D484" i="14" l="1"/>
  <c r="C484" i="14"/>
  <c r="D485" i="14" l="1"/>
  <c r="C485" i="14"/>
  <c r="D486" i="14" l="1"/>
  <c r="C486" i="14"/>
  <c r="D487" i="14" l="1"/>
  <c r="C487" i="14"/>
  <c r="D488" i="14" l="1"/>
  <c r="C488" i="14"/>
  <c r="D489" i="14" l="1"/>
  <c r="C489" i="14"/>
  <c r="D490" i="14" l="1"/>
  <c r="C490" i="14"/>
  <c r="C491" i="14" l="1"/>
  <c r="D491" i="14"/>
  <c r="C492" i="14" l="1"/>
  <c r="D492" i="14"/>
  <c r="C493" i="14" l="1"/>
  <c r="D493" i="14"/>
  <c r="C494" i="14" l="1"/>
  <c r="D494" i="14"/>
  <c r="C495" i="14" l="1"/>
  <c r="D495" i="14"/>
  <c r="C496" i="14" l="1"/>
  <c r="D496" i="14"/>
  <c r="D497" i="14" l="1"/>
  <c r="C497" i="14"/>
  <c r="D498" i="14" l="1"/>
  <c r="C498" i="14"/>
  <c r="D499" i="14" l="1"/>
  <c r="C499" i="14"/>
  <c r="C500" i="14" l="1"/>
  <c r="D500" i="14"/>
  <c r="C501" i="14" l="1"/>
  <c r="D501" i="14"/>
  <c r="C502" i="14" l="1"/>
  <c r="D502" i="14"/>
  <c r="C503" i="14" l="1"/>
  <c r="D503" i="14"/>
  <c r="C504" i="14" l="1"/>
  <c r="D504" i="14"/>
  <c r="C505" i="14" l="1"/>
  <c r="D505" i="14"/>
  <c r="C506" i="14" l="1"/>
  <c r="D506" i="14"/>
  <c r="C507" i="14" l="1"/>
  <c r="D507" i="14"/>
  <c r="C508" i="14" l="1"/>
  <c r="D508" i="14"/>
  <c r="C509" i="14" l="1"/>
  <c r="D509" i="14"/>
  <c r="C510" i="14" l="1"/>
  <c r="D510" i="14"/>
  <c r="C511" i="14" l="1"/>
  <c r="D511" i="14"/>
  <c r="C512" i="14" l="1"/>
  <c r="D512" i="14"/>
  <c r="D513" i="14" l="1"/>
  <c r="C513" i="14"/>
  <c r="D514" i="14" l="1"/>
  <c r="C514" i="14"/>
  <c r="D515" i="14" l="1"/>
  <c r="C515" i="14"/>
  <c r="D516" i="14" l="1"/>
  <c r="C516" i="14"/>
  <c r="D517" i="14" l="1"/>
  <c r="C517" i="14"/>
  <c r="D518" i="14" l="1"/>
  <c r="C518" i="14"/>
  <c r="D519" i="14" l="1"/>
  <c r="C519" i="14"/>
  <c r="C520" i="14" l="1"/>
  <c r="D520" i="14"/>
  <c r="C521" i="14" l="1"/>
  <c r="D521" i="14"/>
  <c r="C522" i="14" l="1"/>
  <c r="D522" i="14"/>
  <c r="C523" i="14" l="1"/>
  <c r="D523" i="14"/>
  <c r="C524" i="14" l="1"/>
  <c r="D524" i="14"/>
  <c r="C525" i="14" l="1"/>
  <c r="D525" i="14"/>
  <c r="C526" i="14" l="1"/>
  <c r="D526" i="14"/>
  <c r="C527" i="14" l="1"/>
  <c r="D527" i="14"/>
  <c r="D528" i="14" l="1"/>
  <c r="C528" i="14"/>
  <c r="C529" i="14" l="1"/>
  <c r="D529" i="14"/>
  <c r="C530" i="14" l="1"/>
  <c r="D530" i="14"/>
  <c r="C531" i="14" l="1"/>
  <c r="D531" i="14"/>
  <c r="D532" i="14" l="1"/>
  <c r="C532" i="14"/>
  <c r="C533" i="14" l="1"/>
  <c r="D533" i="14"/>
  <c r="D534" i="14" l="1"/>
  <c r="C534" i="14"/>
  <c r="C535" i="14" l="1"/>
  <c r="D535" i="14"/>
  <c r="C536" i="14" l="1"/>
  <c r="D536" i="14"/>
  <c r="C537" i="14" l="1"/>
  <c r="D537" i="14"/>
  <c r="D538" i="14" l="1"/>
  <c r="C538" i="14"/>
  <c r="C539" i="14" l="1"/>
  <c r="D539" i="14"/>
  <c r="D540" i="14" l="1"/>
  <c r="C540" i="14"/>
  <c r="D541" i="14" l="1"/>
  <c r="C541" i="14"/>
  <c r="D542" i="14" l="1"/>
  <c r="C542" i="14"/>
  <c r="C543" i="14" l="1"/>
  <c r="D543" i="14"/>
  <c r="D544" i="14" l="1"/>
  <c r="C544" i="14"/>
  <c r="C545" i="14" l="1"/>
  <c r="D545" i="14"/>
  <c r="C546" i="14" l="1"/>
  <c r="D546" i="14"/>
  <c r="C547" i="14" l="1"/>
  <c r="D547" i="14"/>
  <c r="D548" i="14" l="1"/>
  <c r="C548" i="14"/>
  <c r="C549" i="14" l="1"/>
  <c r="D549" i="14"/>
  <c r="C550" i="14" l="1"/>
  <c r="D550" i="14"/>
  <c r="C551" i="14" l="1"/>
  <c r="D551" i="14"/>
  <c r="D552" i="14" l="1"/>
  <c r="C552" i="14"/>
  <c r="D553" i="14" l="1"/>
  <c r="C553" i="14"/>
  <c r="D554" i="14" l="1"/>
  <c r="C554" i="14"/>
  <c r="C555" i="14" l="1"/>
  <c r="D555" i="14"/>
  <c r="D556" i="14" l="1"/>
  <c r="C556" i="14"/>
  <c r="C557" i="14" l="1"/>
  <c r="D557" i="14"/>
  <c r="C558" i="14" l="1"/>
  <c r="D558" i="14"/>
  <c r="C559" i="14" l="1"/>
  <c r="D559" i="14"/>
  <c r="C560" i="14" l="1"/>
  <c r="D560" i="14"/>
  <c r="C561" i="14" l="1"/>
  <c r="D561" i="14"/>
  <c r="D562" i="14" l="1"/>
  <c r="C562" i="14"/>
  <c r="C563" i="14" l="1"/>
  <c r="D563" i="14"/>
  <c r="C564" i="14" l="1"/>
  <c r="D564" i="14"/>
  <c r="C565" i="14" l="1"/>
  <c r="D565" i="14"/>
  <c r="D566" i="14" l="1"/>
  <c r="C566" i="14"/>
  <c r="D567" i="14" l="1"/>
  <c r="C567" i="14"/>
  <c r="D568" i="14" l="1"/>
  <c r="C568" i="14"/>
  <c r="C569" i="14" l="1"/>
  <c r="D569" i="14"/>
  <c r="C570" i="14" l="1"/>
  <c r="D570" i="14"/>
  <c r="D571" i="14" l="1"/>
  <c r="C571" i="14"/>
  <c r="C572" i="14" l="1"/>
  <c r="D572" i="14"/>
  <c r="C573" i="14" l="1"/>
  <c r="D573" i="14"/>
  <c r="C574" i="14" l="1"/>
  <c r="D574" i="14"/>
  <c r="C575" i="14" l="1"/>
  <c r="D575" i="14"/>
  <c r="D576" i="14" l="1"/>
  <c r="C576" i="14"/>
  <c r="D577" i="14" l="1"/>
  <c r="C577" i="14"/>
  <c r="D578" i="14" l="1"/>
  <c r="C578" i="14"/>
  <c r="C579" i="14" l="1"/>
  <c r="D579" i="14"/>
  <c r="C580" i="14" l="1"/>
  <c r="D580" i="14"/>
  <c r="C581" i="14" l="1"/>
  <c r="D581" i="14"/>
  <c r="D582" i="14" l="1"/>
  <c r="C582" i="14"/>
  <c r="D583" i="14" l="1"/>
  <c r="C583" i="14"/>
  <c r="D584" i="14" l="1"/>
  <c r="C584" i="14"/>
  <c r="C585" i="14" l="1"/>
  <c r="D585" i="14"/>
  <c r="C586" i="14" l="1"/>
  <c r="D586" i="14"/>
  <c r="C587" i="14" l="1"/>
  <c r="D587" i="14"/>
  <c r="C588" i="14" l="1"/>
  <c r="D588" i="14"/>
  <c r="C589" i="14" l="1"/>
  <c r="D589" i="14"/>
  <c r="C590" i="14" l="1"/>
  <c r="D590" i="14"/>
  <c r="C591" i="14" l="1"/>
  <c r="D591" i="14"/>
  <c r="D592" i="14" l="1"/>
  <c r="C592" i="14"/>
  <c r="D593" i="14" l="1"/>
  <c r="C593" i="14"/>
  <c r="D594" i="14" l="1"/>
  <c r="C594" i="14"/>
  <c r="C595" i="14" l="1"/>
  <c r="D595" i="14"/>
  <c r="C596" i="14" l="1"/>
  <c r="D596" i="14"/>
  <c r="C597" i="14" l="1"/>
  <c r="D597" i="14"/>
  <c r="C598" i="14" l="1"/>
  <c r="D598" i="14"/>
  <c r="C599" i="14" l="1"/>
  <c r="D599" i="14"/>
  <c r="C600" i="14" l="1"/>
  <c r="D600" i="14"/>
  <c r="C601" i="14" l="1"/>
  <c r="D601" i="14"/>
  <c r="C602" i="14" l="1"/>
  <c r="D602" i="14"/>
  <c r="C603" i="14" l="1"/>
  <c r="D603" i="14"/>
  <c r="D604" i="14" l="1"/>
  <c r="C604" i="14"/>
  <c r="D605" i="14" l="1"/>
  <c r="C605" i="14"/>
  <c r="D606" i="14" l="1"/>
  <c r="C606" i="14"/>
  <c r="C607" i="14" l="1"/>
  <c r="D607" i="14"/>
  <c r="C608" i="14" l="1"/>
  <c r="D608" i="14"/>
  <c r="C609" i="14" l="1"/>
  <c r="D609" i="14"/>
  <c r="C610" i="14" l="1"/>
  <c r="D610" i="14"/>
  <c r="D611" i="14" l="1"/>
  <c r="C611" i="14"/>
  <c r="C612" i="14" l="1"/>
  <c r="D612" i="14"/>
  <c r="D613" i="14" l="1"/>
  <c r="C613" i="14"/>
  <c r="D614" i="14" l="1"/>
  <c r="C614" i="14"/>
  <c r="C615" i="14" l="1"/>
  <c r="D615" i="14"/>
  <c r="C616" i="14" l="1"/>
  <c r="D616" i="14"/>
  <c r="C617" i="14" l="1"/>
  <c r="D617" i="14"/>
  <c r="C618" i="14" l="1"/>
  <c r="D618" i="14"/>
  <c r="C619" i="14" l="1"/>
  <c r="D619" i="14"/>
  <c r="C620" i="14" l="1"/>
  <c r="D620" i="14"/>
  <c r="C621" i="14" l="1"/>
  <c r="D621" i="14"/>
  <c r="C622" i="14" l="1"/>
  <c r="D622" i="14"/>
  <c r="C623" i="14" l="1"/>
  <c r="D623" i="14"/>
  <c r="C624" i="14" l="1"/>
  <c r="D624" i="14"/>
  <c r="C625" i="14" l="1"/>
  <c r="D625" i="14"/>
  <c r="C626" i="14" l="1"/>
  <c r="D626" i="14"/>
  <c r="C627" i="14" l="1"/>
  <c r="D627" i="14"/>
  <c r="D628" i="14" l="1"/>
  <c r="C628" i="14"/>
  <c r="D629" i="14" l="1"/>
  <c r="C629" i="14"/>
  <c r="D630" i="14" l="1"/>
  <c r="C630" i="14"/>
  <c r="D631" i="14" l="1"/>
  <c r="C631" i="14"/>
  <c r="D632" i="14" l="1"/>
  <c r="C632" i="14"/>
  <c r="C633" i="14" l="1"/>
  <c r="D633" i="14"/>
  <c r="C634" i="14" l="1"/>
  <c r="D634" i="14"/>
  <c r="C635" i="14" l="1"/>
  <c r="D635" i="14"/>
  <c r="C636" i="14" l="1"/>
  <c r="D636" i="14"/>
  <c r="D637" i="14" l="1"/>
  <c r="C637" i="14"/>
  <c r="C638" i="14" l="1"/>
  <c r="D638" i="14"/>
  <c r="D639" i="14" l="1"/>
  <c r="C639" i="14"/>
  <c r="C640" i="14" l="1"/>
  <c r="D640" i="14"/>
  <c r="D641" i="14" l="1"/>
  <c r="C641" i="14"/>
  <c r="D642" i="14" l="1"/>
  <c r="C642" i="14"/>
  <c r="D643" i="14" l="1"/>
  <c r="C643" i="14"/>
  <c r="C644" i="14" l="1"/>
  <c r="D644" i="14"/>
  <c r="C645" i="14" l="1"/>
  <c r="D645" i="14"/>
  <c r="C646" i="14" l="1"/>
  <c r="D646" i="14"/>
  <c r="C647" i="14" l="1"/>
  <c r="D647" i="14"/>
  <c r="C648" i="14" l="1"/>
  <c r="D648" i="14"/>
  <c r="C649" i="14" l="1"/>
  <c r="D649" i="14"/>
  <c r="D650" i="14" l="1"/>
  <c r="C650" i="14"/>
  <c r="C651" i="14" l="1"/>
  <c r="D651" i="14"/>
  <c r="D652" i="14" l="1"/>
  <c r="C652" i="14"/>
  <c r="D653" i="14" l="1"/>
  <c r="C653" i="14"/>
  <c r="D654" i="14" l="1"/>
  <c r="C654" i="14"/>
  <c r="D655" i="14" l="1"/>
  <c r="C655" i="14"/>
  <c r="D656" i="14" l="1"/>
  <c r="C656" i="14"/>
  <c r="D657" i="14" l="1"/>
  <c r="C657" i="14"/>
  <c r="D658" i="14" l="1"/>
  <c r="C658" i="14"/>
  <c r="D659" i="14" l="1"/>
  <c r="C659" i="14"/>
  <c r="D660" i="14" l="1"/>
  <c r="C660" i="14"/>
  <c r="D661" i="14" l="1"/>
  <c r="C661" i="14"/>
  <c r="D662" i="14" l="1"/>
  <c r="C662" i="14"/>
  <c r="D663" i="14" l="1"/>
  <c r="C663" i="14"/>
  <c r="D664" i="14" l="1"/>
  <c r="C664" i="14"/>
  <c r="D665" i="14" l="1"/>
  <c r="C665" i="14"/>
  <c r="D666" i="14" l="1"/>
  <c r="C666" i="14"/>
  <c r="D667" i="14" l="1"/>
  <c r="C667" i="14"/>
  <c r="D668" i="14" l="1"/>
  <c r="C668" i="14"/>
  <c r="C669" i="14" l="1"/>
  <c r="D669" i="14"/>
  <c r="C670" i="14" l="1"/>
  <c r="D670" i="14"/>
  <c r="C671" i="14" l="1"/>
  <c r="D671" i="14"/>
  <c r="C672" i="14" l="1"/>
  <c r="D672" i="14"/>
  <c r="C673" i="14" l="1"/>
  <c r="D673" i="14"/>
  <c r="C674" i="14" l="1"/>
  <c r="D674" i="14"/>
  <c r="C675" i="14" l="1"/>
  <c r="D675" i="14"/>
  <c r="C676" i="14" l="1"/>
  <c r="D676" i="14"/>
  <c r="C677" i="14" l="1"/>
  <c r="D677" i="14"/>
  <c r="C678" i="14" l="1"/>
  <c r="D678" i="14"/>
  <c r="C679" i="14" l="1"/>
  <c r="D679" i="14"/>
  <c r="C680" i="14" l="1"/>
  <c r="D680" i="14"/>
  <c r="C681" i="14" l="1"/>
  <c r="D681" i="14"/>
  <c r="D682" i="14" l="1"/>
  <c r="C682" i="14"/>
  <c r="C683" i="14" l="1"/>
  <c r="D683" i="14"/>
  <c r="D684" i="14" l="1"/>
  <c r="C684" i="14"/>
  <c r="C685" i="14" l="1"/>
  <c r="D685" i="14"/>
  <c r="C686" i="14" l="1"/>
  <c r="D686" i="14"/>
  <c r="C687" i="14" l="1"/>
  <c r="D687" i="14"/>
  <c r="C688" i="14" l="1"/>
  <c r="D688" i="14"/>
  <c r="C689" i="14" l="1"/>
  <c r="D689" i="14"/>
  <c r="C690" i="14" l="1"/>
  <c r="D690" i="14"/>
  <c r="C691" i="14" l="1"/>
  <c r="D691" i="14"/>
  <c r="C692" i="14" l="1"/>
  <c r="D692" i="14"/>
  <c r="C693" i="14" l="1"/>
  <c r="D693" i="14"/>
  <c r="C694" i="14" l="1"/>
  <c r="D694" i="14"/>
  <c r="C695" i="14" l="1"/>
  <c r="D695" i="14"/>
  <c r="C696" i="14" l="1"/>
  <c r="D696" i="14"/>
  <c r="C697" i="14" l="1"/>
  <c r="D697" i="14"/>
  <c r="C698" i="14" l="1"/>
  <c r="D698" i="14"/>
  <c r="C699" i="14" l="1"/>
  <c r="D699" i="14"/>
  <c r="C700" i="14" l="1"/>
  <c r="D700" i="14"/>
  <c r="C701" i="14" l="1"/>
  <c r="D701" i="14"/>
  <c r="C702" i="14" l="1"/>
  <c r="D702" i="14"/>
  <c r="C703" i="14" l="1"/>
  <c r="D703" i="14"/>
  <c r="C704" i="14" l="1"/>
  <c r="D704" i="14"/>
  <c r="C705" i="14" l="1"/>
  <c r="D705" i="14"/>
  <c r="D706" i="14" l="1"/>
  <c r="C706" i="14"/>
  <c r="C707" i="14" l="1"/>
  <c r="D707" i="14"/>
  <c r="C708" i="14" l="1"/>
  <c r="D708" i="14"/>
  <c r="C709" i="14" l="1"/>
  <c r="D709" i="14"/>
  <c r="C710" i="14" l="1"/>
  <c r="D710" i="14"/>
  <c r="C711" i="14" l="1"/>
  <c r="D711" i="14"/>
  <c r="C712" i="14" l="1"/>
  <c r="D712" i="14"/>
  <c r="C713" i="14" l="1"/>
  <c r="D713" i="14"/>
  <c r="C714" i="14" l="1"/>
  <c r="D714" i="14"/>
  <c r="C715" i="14" l="1"/>
  <c r="D715" i="14"/>
  <c r="D716" i="14" l="1"/>
  <c r="C716" i="14"/>
  <c r="D717" i="14" l="1"/>
  <c r="C717" i="14"/>
  <c r="D718" i="14" l="1"/>
  <c r="C718" i="14"/>
  <c r="C719" i="14" l="1"/>
  <c r="D719" i="14"/>
  <c r="C720" i="14" l="1"/>
  <c r="D720" i="14"/>
  <c r="C721" i="14" l="1"/>
  <c r="D721" i="14"/>
  <c r="D722" i="14" l="1"/>
  <c r="C722" i="14"/>
  <c r="D723" i="14" l="1"/>
  <c r="C723" i="14"/>
  <c r="D724" i="14" l="1"/>
  <c r="C724" i="14"/>
  <c r="D725" i="14" l="1"/>
  <c r="C725" i="14"/>
  <c r="D726" i="14" l="1"/>
  <c r="C726" i="14"/>
  <c r="C727" i="14" l="1"/>
  <c r="D727" i="14"/>
  <c r="C728" i="14" l="1"/>
  <c r="D728" i="14"/>
  <c r="C729" i="14" l="1"/>
  <c r="D729" i="14"/>
  <c r="C730" i="14" l="1"/>
  <c r="D730" i="14"/>
  <c r="C731" i="14" l="1"/>
  <c r="D731" i="14"/>
  <c r="C732" i="14" l="1"/>
  <c r="D732" i="14"/>
  <c r="C733" i="14" l="1"/>
  <c r="D733" i="14"/>
  <c r="C734" i="14" l="1"/>
  <c r="D734" i="14"/>
  <c r="C735" i="14" l="1"/>
  <c r="D735" i="14"/>
  <c r="C736" i="14" l="1"/>
  <c r="D736" i="14"/>
  <c r="C737" i="14" l="1"/>
  <c r="D737" i="14"/>
  <c r="C738" i="14" l="1"/>
  <c r="D738" i="14"/>
  <c r="C739" i="14" l="1"/>
  <c r="D739" i="14"/>
  <c r="C740" i="14" l="1"/>
  <c r="D740" i="14"/>
  <c r="C741" i="14" l="1"/>
  <c r="D741" i="14"/>
  <c r="C742" i="14" l="1"/>
  <c r="D742" i="14"/>
  <c r="C743" i="14" l="1"/>
  <c r="D743" i="14"/>
  <c r="C744" i="14" l="1"/>
  <c r="D744" i="14"/>
  <c r="C745" i="14" l="1"/>
  <c r="D745" i="14"/>
  <c r="D746" i="14" l="1"/>
  <c r="C746" i="14"/>
  <c r="C747" i="14" l="1"/>
  <c r="D747" i="14"/>
  <c r="C748" i="14" l="1"/>
  <c r="D748" i="14"/>
  <c r="C749" i="14" l="1"/>
  <c r="D749" i="14"/>
  <c r="C750" i="14" l="1"/>
  <c r="D750" i="14"/>
  <c r="C751" i="14" l="1"/>
  <c r="D751" i="14"/>
  <c r="C752" i="14" l="1"/>
  <c r="D752" i="14"/>
  <c r="C753" i="14" l="1"/>
  <c r="D753" i="14"/>
  <c r="C754" i="14" l="1"/>
  <c r="D754" i="14"/>
  <c r="C755" i="14" l="1"/>
  <c r="D755" i="14"/>
  <c r="D756" i="14" l="1"/>
  <c r="C756" i="14"/>
  <c r="D757" i="14" l="1"/>
  <c r="C757" i="14"/>
  <c r="D758" i="14" l="1"/>
  <c r="C758" i="14"/>
  <c r="D759" i="14" l="1"/>
  <c r="C759" i="14"/>
  <c r="D760" i="14" l="1"/>
  <c r="C760" i="14"/>
  <c r="C761" i="14" l="1"/>
  <c r="D761" i="14"/>
  <c r="C762" i="14" l="1"/>
  <c r="D762" i="14"/>
  <c r="C763" i="14" l="1"/>
  <c r="D763" i="14"/>
  <c r="C764" i="14" l="1"/>
  <c r="D764" i="14"/>
  <c r="C765" i="14" l="1"/>
  <c r="D765" i="14"/>
  <c r="C766" i="14" l="1"/>
  <c r="D766" i="14"/>
  <c r="C767" i="14" l="1"/>
  <c r="D767" i="14"/>
  <c r="C768" i="14" l="1"/>
  <c r="D768" i="14"/>
  <c r="C769" i="14" l="1"/>
  <c r="D769" i="14"/>
  <c r="C770" i="14" l="1"/>
  <c r="D770" i="14"/>
  <c r="C771" i="14" l="1"/>
  <c r="D771" i="14"/>
  <c r="D772" i="14" l="1"/>
  <c r="C772" i="14"/>
  <c r="D773" i="14" l="1"/>
  <c r="C773" i="14"/>
  <c r="C774" i="14" l="1"/>
  <c r="D774" i="14"/>
  <c r="C775" i="14" l="1"/>
  <c r="D775" i="14"/>
  <c r="C776" i="14" l="1"/>
  <c r="D776" i="14"/>
  <c r="C777" i="14" l="1"/>
  <c r="D777" i="14"/>
  <c r="C778" i="14" l="1"/>
  <c r="D778" i="14"/>
  <c r="C779" i="14" l="1"/>
  <c r="D779" i="14"/>
  <c r="C780" i="14" l="1"/>
  <c r="D780" i="14"/>
  <c r="C781" i="14" l="1"/>
  <c r="D781" i="14"/>
  <c r="C782" i="14" l="1"/>
  <c r="D782" i="14"/>
  <c r="D783" i="14" l="1"/>
  <c r="C783" i="14"/>
  <c r="C784" i="14" l="1"/>
  <c r="D784" i="14"/>
  <c r="C785" i="14" l="1"/>
  <c r="D785" i="14"/>
  <c r="C786" i="14" l="1"/>
  <c r="D786" i="14"/>
  <c r="C787" i="14" l="1"/>
  <c r="D787" i="14"/>
  <c r="D788" i="14" l="1"/>
  <c r="C788" i="14"/>
  <c r="C789" i="14" l="1"/>
  <c r="D789" i="14"/>
  <c r="D790" i="14" l="1"/>
  <c r="C790" i="14"/>
  <c r="C791" i="14" l="1"/>
  <c r="D791" i="14"/>
  <c r="D792" i="14" l="1"/>
  <c r="C792" i="14"/>
  <c r="C793" i="14" l="1"/>
  <c r="D793" i="14"/>
  <c r="D794" i="14" l="1"/>
  <c r="C794" i="14"/>
  <c r="C795" i="14" l="1"/>
  <c r="D795" i="14"/>
  <c r="D796" i="14" l="1"/>
  <c r="C796" i="14"/>
  <c r="C797" i="14" l="1"/>
  <c r="D797" i="14"/>
  <c r="D798" i="14" l="1"/>
  <c r="C798" i="14"/>
  <c r="C799" i="14" l="1"/>
  <c r="D799" i="14"/>
  <c r="D800" i="14" l="1"/>
  <c r="C800" i="14"/>
  <c r="C801" i="14" l="1"/>
  <c r="D801" i="14"/>
  <c r="D802" i="14" l="1"/>
  <c r="C802" i="14"/>
  <c r="C803" i="14" l="1"/>
  <c r="D803" i="14"/>
  <c r="D804" i="14" l="1"/>
  <c r="C804" i="14"/>
  <c r="C805" i="14" l="1"/>
  <c r="D805" i="14"/>
  <c r="D806" i="14" l="1"/>
  <c r="C806" i="14"/>
  <c r="C807" i="14" l="1"/>
  <c r="D807" i="14"/>
  <c r="D808" i="14" l="1"/>
  <c r="C808" i="14"/>
  <c r="C809" i="14" l="1"/>
  <c r="D809" i="14"/>
  <c r="D810" i="14" l="1"/>
  <c r="C810" i="14"/>
  <c r="C811" i="14" l="1"/>
  <c r="D811" i="14"/>
  <c r="D812" i="14" l="1"/>
  <c r="C812" i="14"/>
  <c r="C813" i="14" l="1"/>
  <c r="D813" i="14"/>
  <c r="D814" i="14" l="1"/>
  <c r="C814" i="14"/>
  <c r="C815" i="14" l="1"/>
  <c r="D815" i="14"/>
  <c r="D816" i="14" l="1"/>
  <c r="C816" i="14"/>
  <c r="A11" i="23"/>
  <c r="A18" i="26"/>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18" i="17" l="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18" i="37"/>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12" i="23"/>
  <c r="D11" i="23"/>
  <c r="C11" i="23"/>
  <c r="B11" i="23"/>
  <c r="E11" i="23"/>
  <c r="F11" i="23"/>
  <c r="D817" i="14"/>
  <c r="C817" i="14"/>
  <c r="A13" i="23" l="1"/>
  <c r="C12" i="23"/>
  <c r="B12" i="23"/>
  <c r="F12" i="23"/>
  <c r="D12" i="23"/>
  <c r="E12" i="23"/>
  <c r="D818" i="14"/>
  <c r="C818" i="14"/>
  <c r="B13" i="23" l="1"/>
  <c r="F13" i="23"/>
  <c r="E13" i="23"/>
  <c r="C13" i="23"/>
  <c r="D13" i="23"/>
  <c r="A14" i="23"/>
  <c r="D819" i="14"/>
  <c r="C819" i="14"/>
  <c r="E14" i="23" l="1"/>
  <c r="D14" i="23"/>
  <c r="B14" i="23"/>
  <c r="F14" i="23"/>
  <c r="C14" i="23"/>
  <c r="A15" i="23"/>
  <c r="D820" i="14"/>
  <c r="C820" i="14"/>
  <c r="D15" i="23" l="1"/>
  <c r="C15" i="23"/>
  <c r="E15" i="23"/>
  <c r="B15" i="23"/>
  <c r="F15" i="23"/>
  <c r="A16" i="23"/>
  <c r="D821" i="14"/>
  <c r="C821" i="14"/>
  <c r="C16" i="23" l="1"/>
  <c r="B16" i="23"/>
  <c r="F16" i="23"/>
  <c r="D16" i="23"/>
  <c r="E16" i="23"/>
  <c r="A17" i="23"/>
  <c r="D822" i="14"/>
  <c r="C822" i="14"/>
  <c r="B17" i="23" l="1"/>
  <c r="F17" i="23"/>
  <c r="E17" i="23"/>
  <c r="C17" i="23"/>
  <c r="D17" i="23"/>
  <c r="A18" i="23"/>
  <c r="D823" i="14"/>
  <c r="C823" i="14"/>
  <c r="E18" i="23" l="1"/>
  <c r="D18" i="23"/>
  <c r="F18" i="23"/>
  <c r="B18" i="23"/>
  <c r="C18" i="23"/>
  <c r="A19" i="23"/>
  <c r="D824" i="14"/>
  <c r="C824" i="14"/>
  <c r="D19" i="23" l="1"/>
  <c r="C19" i="23"/>
  <c r="E19" i="23"/>
  <c r="F19" i="23"/>
  <c r="B19" i="23"/>
  <c r="A20" i="23"/>
  <c r="D825" i="14"/>
  <c r="C825" i="14"/>
  <c r="C20" i="23" l="1"/>
  <c r="B20" i="23"/>
  <c r="F20" i="23"/>
  <c r="D20" i="23"/>
  <c r="E20" i="23"/>
  <c r="A21" i="23"/>
  <c r="D826" i="14"/>
  <c r="C826" i="14"/>
  <c r="B21" i="23" l="1"/>
  <c r="F21" i="23"/>
  <c r="E21" i="23"/>
  <c r="C21" i="23"/>
  <c r="D21" i="23"/>
  <c r="A22" i="23"/>
  <c r="D827" i="14"/>
  <c r="C827" i="14"/>
  <c r="E22" i="23" l="1"/>
  <c r="D22" i="23"/>
  <c r="B22" i="23"/>
  <c r="F22" i="23"/>
  <c r="C22" i="23"/>
  <c r="A23" i="23"/>
  <c r="D828" i="14"/>
  <c r="C828" i="14"/>
  <c r="D23" i="23" l="1"/>
  <c r="C23" i="23"/>
  <c r="E23" i="23"/>
  <c r="F23" i="23"/>
  <c r="B23" i="23"/>
  <c r="A24" i="23"/>
  <c r="D829" i="14"/>
  <c r="C829" i="14"/>
  <c r="C24" i="23" l="1"/>
  <c r="B24" i="23"/>
  <c r="F24" i="23"/>
  <c r="D24" i="23"/>
  <c r="E24" i="23"/>
  <c r="A25" i="23"/>
  <c r="D830" i="14"/>
  <c r="C830" i="14"/>
  <c r="B25" i="23" l="1"/>
  <c r="F25" i="23"/>
  <c r="E25" i="23"/>
  <c r="C25" i="23"/>
  <c r="D25" i="23"/>
  <c r="A26" i="23"/>
  <c r="D831" i="14"/>
  <c r="C831" i="14"/>
  <c r="E26" i="23" l="1"/>
  <c r="D26" i="23"/>
  <c r="F26" i="23"/>
  <c r="B26" i="23"/>
  <c r="C26" i="23"/>
  <c r="A27" i="23"/>
  <c r="D832" i="14"/>
  <c r="C832" i="14"/>
  <c r="D27" i="23" l="1"/>
  <c r="C27" i="23"/>
  <c r="E27" i="23"/>
  <c r="F27" i="23"/>
  <c r="B27" i="23"/>
  <c r="A28" i="23"/>
  <c r="D833" i="14"/>
  <c r="C833" i="14"/>
  <c r="C28" i="23" l="1"/>
  <c r="B28" i="23"/>
  <c r="F28" i="23"/>
  <c r="D28" i="23"/>
  <c r="E28" i="23"/>
  <c r="A29" i="23"/>
  <c r="C834" i="14"/>
  <c r="D834" i="14"/>
  <c r="B29" i="23" l="1"/>
  <c r="F29" i="23"/>
  <c r="E29" i="23"/>
  <c r="C29" i="23"/>
  <c r="D29" i="23"/>
  <c r="A30" i="23"/>
  <c r="C835" i="14"/>
  <c r="D835" i="14"/>
  <c r="E30" i="23" l="1"/>
  <c r="D30" i="23"/>
  <c r="B30" i="23"/>
  <c r="F30" i="23"/>
  <c r="C30" i="23"/>
  <c r="A31" i="23"/>
  <c r="C836" i="14"/>
  <c r="D836" i="14"/>
  <c r="D31" i="23" l="1"/>
  <c r="C31" i="23"/>
  <c r="E31" i="23"/>
  <c r="F31" i="23"/>
  <c r="B31" i="23"/>
  <c r="A32" i="23"/>
  <c r="C837" i="14"/>
  <c r="D837" i="14"/>
  <c r="C32" i="23" l="1"/>
  <c r="B32" i="23"/>
  <c r="F32" i="23"/>
  <c r="D32" i="23"/>
  <c r="E32" i="23"/>
  <c r="A33" i="23"/>
  <c r="C838" i="14"/>
  <c r="D838" i="14"/>
  <c r="B33" i="23" l="1"/>
  <c r="F33" i="23"/>
  <c r="E33" i="23"/>
  <c r="C33" i="23"/>
  <c r="D33" i="23"/>
  <c r="A34" i="23"/>
  <c r="C839" i="14"/>
  <c r="D839" i="14"/>
  <c r="E34" i="23" l="1"/>
  <c r="D34" i="23"/>
  <c r="F34" i="23"/>
  <c r="B34" i="23"/>
  <c r="C34" i="23"/>
  <c r="A35" i="23"/>
  <c r="C840" i="14"/>
  <c r="D840" i="14"/>
  <c r="D35" i="23" l="1"/>
  <c r="C35" i="23"/>
  <c r="B35" i="23"/>
  <c r="E35" i="23"/>
  <c r="F35" i="23"/>
  <c r="A36" i="23"/>
  <c r="C841" i="14"/>
  <c r="D841" i="14"/>
  <c r="C36" i="23" l="1"/>
  <c r="B36" i="23"/>
  <c r="F36" i="23"/>
  <c r="D36" i="23"/>
  <c r="E36" i="23"/>
  <c r="A37" i="23"/>
  <c r="C842" i="14"/>
  <c r="D842" i="14"/>
  <c r="B37" i="23" l="1"/>
  <c r="F37" i="23"/>
  <c r="E37" i="23"/>
  <c r="C37" i="23"/>
  <c r="D37" i="23"/>
  <c r="A38" i="23"/>
  <c r="C843" i="14"/>
  <c r="D843" i="14"/>
  <c r="E38" i="23" l="1"/>
  <c r="D38" i="23"/>
  <c r="B38" i="23"/>
  <c r="C38" i="23"/>
  <c r="F38" i="23"/>
  <c r="A39" i="23"/>
  <c r="C844" i="14"/>
  <c r="D844" i="14"/>
  <c r="D39" i="23" l="1"/>
  <c r="C39" i="23"/>
  <c r="F39" i="23"/>
  <c r="B39" i="23"/>
  <c r="E39" i="23"/>
  <c r="A40" i="23"/>
  <c r="C845" i="14"/>
  <c r="D845" i="14"/>
  <c r="C40" i="23" l="1"/>
  <c r="B40" i="23"/>
  <c r="F40" i="23"/>
  <c r="D40" i="23"/>
  <c r="E40" i="23"/>
  <c r="A41" i="23"/>
  <c r="C846" i="14"/>
  <c r="D846" i="14"/>
  <c r="B41" i="23" l="1"/>
  <c r="F41" i="23"/>
  <c r="E41" i="23"/>
  <c r="C41" i="23"/>
  <c r="D41" i="23"/>
  <c r="A42" i="23"/>
  <c r="C847" i="14"/>
  <c r="D847" i="14"/>
  <c r="E42" i="23" l="1"/>
  <c r="D42" i="23"/>
  <c r="B42" i="23"/>
  <c r="C42" i="23"/>
  <c r="F42" i="23"/>
  <c r="A43" i="23"/>
  <c r="C848" i="14"/>
  <c r="D848" i="14"/>
  <c r="D849" i="14" s="1"/>
  <c r="D850" i="14" s="1"/>
  <c r="D851" i="14" s="1"/>
  <c r="D852" i="14" s="1"/>
  <c r="D43" i="23" l="1"/>
  <c r="C43" i="23"/>
  <c r="B43" i="23"/>
  <c r="E43" i="23"/>
  <c r="F43" i="23"/>
  <c r="A44" i="23"/>
  <c r="D853" i="14"/>
  <c r="C853" i="14"/>
  <c r="C849" i="14"/>
  <c r="C44" i="23" l="1"/>
  <c r="B44" i="23"/>
  <c r="F44" i="23"/>
  <c r="D44" i="23"/>
  <c r="E44" i="23"/>
  <c r="A45" i="23"/>
  <c r="C854" i="14"/>
  <c r="D854" i="14"/>
  <c r="C850" i="14"/>
  <c r="B45" i="23" l="1"/>
  <c r="F45" i="23"/>
  <c r="E45" i="23"/>
  <c r="C45" i="23"/>
  <c r="D45" i="23"/>
  <c r="A46" i="23"/>
  <c r="C855" i="14"/>
  <c r="D855" i="14"/>
  <c r="C851" i="14"/>
  <c r="E46" i="23" l="1"/>
  <c r="D46" i="23"/>
  <c r="C46" i="23"/>
  <c r="F46" i="23"/>
  <c r="B46" i="23"/>
  <c r="A47" i="23"/>
  <c r="C856" i="14"/>
  <c r="D856" i="14"/>
  <c r="C852" i="14"/>
  <c r="D47" i="23" l="1"/>
  <c r="C47" i="23"/>
  <c r="B47" i="23"/>
  <c r="E47" i="23"/>
  <c r="F47" i="23"/>
  <c r="A48" i="23"/>
  <c r="D857" i="14"/>
  <c r="C857" i="14"/>
  <c r="C48" i="23" l="1"/>
  <c r="B48" i="23"/>
  <c r="F48" i="23"/>
  <c r="D48" i="23"/>
  <c r="E48" i="23"/>
  <c r="A49" i="23"/>
  <c r="D858" i="14"/>
  <c r="C858" i="14"/>
  <c r="B49" i="23" l="1"/>
  <c r="F49" i="23"/>
  <c r="E49" i="23"/>
  <c r="C49" i="23"/>
  <c r="D49" i="23"/>
  <c r="A50" i="23"/>
  <c r="C859" i="14"/>
  <c r="D859" i="14"/>
  <c r="E50" i="23" l="1"/>
  <c r="D50" i="23"/>
  <c r="B50" i="23"/>
  <c r="C50" i="23"/>
  <c r="F50" i="23"/>
  <c r="A51" i="23"/>
  <c r="C860" i="14"/>
  <c r="D860" i="14"/>
  <c r="D51" i="23" l="1"/>
  <c r="C51" i="23"/>
  <c r="E51" i="23"/>
  <c r="F51" i="23"/>
  <c r="B51" i="23"/>
  <c r="A52" i="23"/>
  <c r="C861" i="14"/>
  <c r="D861" i="14"/>
  <c r="C52" i="23" l="1"/>
  <c r="B52" i="23"/>
  <c r="F52" i="23"/>
  <c r="E52" i="23"/>
  <c r="D52" i="23"/>
  <c r="A53" i="23"/>
  <c r="C862" i="14"/>
  <c r="D862" i="14"/>
  <c r="B53" i="23" l="1"/>
  <c r="F53" i="23"/>
  <c r="E53" i="23"/>
  <c r="C53" i="23"/>
  <c r="D53" i="23"/>
  <c r="A54" i="23"/>
  <c r="C863" i="14"/>
  <c r="D863" i="14"/>
  <c r="D54" i="23" l="1"/>
  <c r="B54" i="23"/>
  <c r="C54" i="23"/>
  <c r="E54" i="23"/>
  <c r="F54" i="23"/>
  <c r="A55" i="23"/>
  <c r="D864" i="14"/>
  <c r="C864" i="14"/>
  <c r="C55" i="23" l="1"/>
  <c r="E55" i="23"/>
  <c r="F55" i="23"/>
  <c r="B55" i="23"/>
  <c r="D55" i="23"/>
  <c r="A56" i="23"/>
  <c r="D865" i="14"/>
  <c r="C865" i="14"/>
  <c r="B56" i="23" l="1"/>
  <c r="F56" i="23"/>
  <c r="D56" i="23"/>
  <c r="E56" i="23"/>
  <c r="C56" i="23"/>
  <c r="A57" i="23"/>
  <c r="C866" i="14"/>
  <c r="D866" i="14"/>
  <c r="E57" i="23" l="1"/>
  <c r="D57" i="23"/>
  <c r="B57" i="23"/>
  <c r="C57" i="23"/>
  <c r="F57" i="23"/>
  <c r="A58" i="23"/>
  <c r="D867" i="14"/>
  <c r="C867" i="14"/>
  <c r="D58" i="23" l="1"/>
  <c r="F58" i="23"/>
  <c r="B58" i="23"/>
  <c r="C58" i="23"/>
  <c r="E58" i="23"/>
  <c r="A59" i="23"/>
  <c r="D868" i="14"/>
  <c r="C868" i="14"/>
  <c r="C59" i="23" l="1"/>
  <c r="D59" i="23"/>
  <c r="E59" i="23"/>
  <c r="F59" i="23"/>
  <c r="B59" i="23"/>
  <c r="A60" i="23"/>
  <c r="C869" i="14"/>
  <c r="D869" i="14"/>
  <c r="B60" i="23" l="1"/>
  <c r="F60" i="23"/>
  <c r="C60" i="23"/>
  <c r="D60" i="23"/>
  <c r="E60" i="23"/>
  <c r="A61" i="23"/>
  <c r="D870" i="14"/>
  <c r="C870" i="14"/>
  <c r="E61" i="23" l="1"/>
  <c r="F61" i="23"/>
  <c r="B61" i="23"/>
  <c r="C61" i="23"/>
  <c r="D61" i="23"/>
  <c r="A62" i="23"/>
  <c r="C871" i="14"/>
  <c r="D871" i="14"/>
  <c r="D62" i="23" l="1"/>
  <c r="B62" i="23"/>
  <c r="C62" i="23"/>
  <c r="E62" i="23"/>
  <c r="F62" i="23"/>
  <c r="A63" i="23"/>
  <c r="C872" i="14"/>
  <c r="D872" i="14"/>
  <c r="C63" i="23" l="1"/>
  <c r="E63" i="23"/>
  <c r="F63" i="23"/>
  <c r="B63" i="23"/>
  <c r="D63" i="23"/>
  <c r="A64" i="23"/>
  <c r="C873" i="14"/>
  <c r="D873" i="14"/>
  <c r="B64" i="23" l="1"/>
  <c r="F64" i="23"/>
  <c r="D64" i="23"/>
  <c r="E64" i="23"/>
  <c r="C64" i="23"/>
  <c r="A65" i="23"/>
  <c r="D874" i="14"/>
  <c r="C874" i="14"/>
  <c r="E65" i="23" l="1"/>
  <c r="B65" i="23"/>
  <c r="C65" i="23"/>
  <c r="D65" i="23"/>
  <c r="F65" i="23"/>
  <c r="A66" i="23"/>
  <c r="C875" i="14"/>
  <c r="D875" i="14"/>
  <c r="D66" i="23" l="1"/>
  <c r="C66" i="23"/>
  <c r="E66" i="23"/>
  <c r="F66" i="23"/>
  <c r="B66" i="23"/>
  <c r="A67" i="23"/>
  <c r="D876" i="14"/>
  <c r="C876" i="14"/>
  <c r="C67" i="23" l="1"/>
  <c r="F67" i="23"/>
  <c r="B67" i="23"/>
  <c r="E67" i="23"/>
  <c r="D67" i="23"/>
  <c r="A68" i="23"/>
  <c r="C877" i="14"/>
  <c r="D877" i="14"/>
  <c r="B68" i="23" l="1"/>
  <c r="F68" i="23"/>
  <c r="C68" i="23"/>
  <c r="D68" i="23"/>
  <c r="E68" i="23"/>
  <c r="A69" i="23"/>
  <c r="D878" i="14"/>
  <c r="C878" i="14"/>
  <c r="E69" i="23" l="1"/>
  <c r="D69" i="23"/>
  <c r="F69" i="23"/>
  <c r="B69" i="23"/>
  <c r="C69" i="23"/>
  <c r="A70" i="23"/>
  <c r="D879" i="14"/>
  <c r="C879" i="14"/>
  <c r="D70" i="23" l="1"/>
  <c r="C70" i="23"/>
  <c r="F70" i="23"/>
  <c r="B70" i="23"/>
  <c r="E70" i="23"/>
  <c r="A71" i="23"/>
  <c r="C880" i="14"/>
  <c r="D880" i="14"/>
  <c r="C71" i="23" l="1"/>
  <c r="E71" i="23"/>
  <c r="F71" i="23"/>
  <c r="B71" i="23"/>
  <c r="D71" i="23"/>
  <c r="A72" i="23"/>
  <c r="C881" i="14"/>
  <c r="D881" i="14"/>
  <c r="B72" i="23" l="1"/>
  <c r="F72" i="23"/>
  <c r="C72" i="23"/>
  <c r="D72" i="23"/>
  <c r="E72" i="23"/>
  <c r="A73" i="23"/>
  <c r="C882" i="14"/>
  <c r="D882" i="14"/>
  <c r="E73" i="23" l="1"/>
  <c r="D73" i="23"/>
  <c r="B73" i="23"/>
  <c r="C73" i="23"/>
  <c r="F73" i="23"/>
  <c r="A74" i="23"/>
  <c r="D883" i="14"/>
  <c r="C883" i="14"/>
  <c r="D74" i="23" l="1"/>
  <c r="F74" i="23"/>
  <c r="B74" i="23"/>
  <c r="C74" i="23"/>
  <c r="E74" i="23"/>
  <c r="A75" i="23"/>
  <c r="D884" i="14"/>
  <c r="C884" i="14"/>
  <c r="C75" i="23" l="1"/>
  <c r="E75" i="23"/>
  <c r="B75" i="23"/>
  <c r="D75" i="23"/>
  <c r="F75" i="23"/>
  <c r="A76" i="23"/>
  <c r="D885" i="14"/>
  <c r="C885" i="14"/>
  <c r="B76" i="23" l="1"/>
  <c r="F76" i="23"/>
  <c r="D76" i="23"/>
  <c r="E76" i="23"/>
  <c r="C76" i="23"/>
  <c r="A77" i="23"/>
  <c r="D886" i="14"/>
  <c r="C886" i="14"/>
  <c r="F77" i="23" l="1"/>
  <c r="B77" i="23"/>
  <c r="C77" i="23"/>
  <c r="D77" i="23"/>
  <c r="E77" i="23"/>
  <c r="A78" i="23"/>
  <c r="D887" i="14"/>
  <c r="C887" i="14"/>
  <c r="D78" i="23" l="1"/>
  <c r="E78" i="23"/>
  <c r="B78" i="23"/>
  <c r="F78" i="23"/>
  <c r="C78" i="23"/>
  <c r="A79" i="23"/>
  <c r="D888" i="14"/>
  <c r="C888" i="14"/>
  <c r="B79" i="23" l="1"/>
  <c r="C79" i="23"/>
  <c r="E79" i="23"/>
  <c r="F79" i="23"/>
  <c r="D79" i="23"/>
  <c r="A80" i="23"/>
  <c r="D889" i="14"/>
  <c r="C889" i="14"/>
  <c r="F80" i="23" l="1"/>
  <c r="C80" i="23"/>
  <c r="D80" i="23"/>
  <c r="E80" i="23"/>
  <c r="B80" i="23"/>
  <c r="A81" i="23"/>
  <c r="D890" i="14"/>
  <c r="C890" i="14"/>
  <c r="D81" i="23" l="1"/>
  <c r="E81" i="23"/>
  <c r="B81" i="23"/>
  <c r="F81" i="23"/>
  <c r="C81" i="23"/>
  <c r="A82" i="23"/>
  <c r="D891" i="14"/>
  <c r="C891" i="14"/>
  <c r="B82" i="23" l="1"/>
  <c r="F82" i="23"/>
  <c r="C82" i="23"/>
  <c r="D82" i="23"/>
  <c r="E82" i="23"/>
  <c r="A83" i="23"/>
  <c r="D892" i="14"/>
  <c r="C892" i="14"/>
  <c r="F83" i="23" l="1"/>
  <c r="D83" i="23"/>
  <c r="C83" i="23"/>
  <c r="E83" i="23"/>
  <c r="B83" i="23"/>
  <c r="A84" i="23"/>
  <c r="C893" i="14"/>
  <c r="D893" i="14"/>
  <c r="F84" i="23" l="1"/>
  <c r="D84" i="23"/>
  <c r="E84" i="23"/>
  <c r="B84" i="23"/>
  <c r="C84" i="23"/>
  <c r="A85" i="23"/>
  <c r="D894" i="14"/>
  <c r="C894" i="14"/>
  <c r="E85" i="23" l="1"/>
  <c r="B85" i="23"/>
  <c r="F85" i="23"/>
  <c r="C85" i="23"/>
  <c r="D85" i="23"/>
  <c r="A86" i="23"/>
  <c r="C895" i="14"/>
  <c r="D895" i="14"/>
  <c r="C86" i="23" l="1"/>
  <c r="B86" i="23"/>
  <c r="F86" i="23"/>
  <c r="D86" i="23"/>
  <c r="E86" i="23"/>
  <c r="A87" i="23"/>
  <c r="D896" i="14"/>
  <c r="C896" i="14"/>
  <c r="E87" i="23" l="1"/>
  <c r="F87" i="23"/>
  <c r="B87" i="23"/>
  <c r="A88" i="23"/>
  <c r="D87" i="23"/>
  <c r="C87" i="23"/>
  <c r="C897" i="14"/>
  <c r="D897" i="14"/>
  <c r="C88" i="23" l="1"/>
  <c r="B88" i="23"/>
  <c r="D88" i="23"/>
  <c r="A89" i="23"/>
  <c r="F88" i="23"/>
  <c r="E88" i="23"/>
  <c r="D898" i="14"/>
  <c r="C898" i="14"/>
  <c r="E89" i="23" l="1"/>
  <c r="D89" i="23"/>
  <c r="C89" i="23"/>
  <c r="A90" i="23"/>
  <c r="B89" i="23"/>
  <c r="F89" i="23"/>
  <c r="C899" i="14"/>
  <c r="D899" i="14"/>
  <c r="F90" i="23" l="1"/>
  <c r="B90" i="23"/>
  <c r="A91" i="23"/>
  <c r="E90" i="23"/>
  <c r="D90" i="23"/>
  <c r="C90" i="23"/>
  <c r="D900" i="14"/>
  <c r="C900" i="14"/>
  <c r="E91" i="23" l="1"/>
  <c r="F91" i="23"/>
  <c r="A92" i="23"/>
  <c r="D91" i="23"/>
  <c r="C91" i="23"/>
  <c r="B91" i="23"/>
  <c r="C901" i="14"/>
  <c r="D901" i="14"/>
  <c r="C92" i="23" l="1"/>
  <c r="D92" i="23"/>
  <c r="F92" i="23"/>
  <c r="A93" i="23"/>
  <c r="B92" i="23"/>
  <c r="E92" i="23"/>
  <c r="D902" i="14"/>
  <c r="C902" i="14"/>
  <c r="A94" i="23" l="1"/>
  <c r="E93" i="23"/>
  <c r="D93" i="23"/>
  <c r="B93" i="23"/>
  <c r="F93" i="23"/>
  <c r="C93" i="23"/>
  <c r="C903" i="14"/>
  <c r="D903" i="14"/>
  <c r="B94" i="23" l="1"/>
  <c r="F94" i="23"/>
  <c r="A95" i="23"/>
  <c r="E94" i="23"/>
  <c r="D94" i="23"/>
  <c r="C94" i="23"/>
  <c r="D904" i="14"/>
  <c r="C904" i="14"/>
  <c r="E95" i="23" l="1"/>
  <c r="B95" i="23"/>
  <c r="A96" i="23"/>
  <c r="D95" i="23"/>
  <c r="C95" i="23"/>
  <c r="F95" i="23"/>
  <c r="C905" i="14"/>
  <c r="D905" i="14"/>
  <c r="F96" i="23" l="1"/>
  <c r="C96" i="23"/>
  <c r="D96" i="23"/>
  <c r="A97" i="23"/>
  <c r="B96" i="23"/>
  <c r="E96" i="23"/>
  <c r="D906" i="14"/>
  <c r="C906" i="14"/>
  <c r="F97" i="23" l="1"/>
  <c r="A98" i="23"/>
  <c r="D97" i="23"/>
  <c r="B97" i="23"/>
  <c r="C97" i="23"/>
  <c r="E97" i="23"/>
  <c r="C907" i="14"/>
  <c r="D907" i="14"/>
  <c r="D98" i="23" l="1"/>
  <c r="C98" i="23"/>
  <c r="B98" i="23"/>
  <c r="A99" i="23"/>
  <c r="E98" i="23"/>
  <c r="F98" i="23"/>
  <c r="D908" i="14"/>
  <c r="C908" i="14"/>
  <c r="F99" i="23" l="1"/>
  <c r="A100" i="23"/>
  <c r="D99" i="23"/>
  <c r="E99" i="23"/>
  <c r="C99" i="23"/>
  <c r="B99" i="23"/>
  <c r="C909" i="14"/>
  <c r="D909" i="14"/>
  <c r="B100" i="23" l="1"/>
  <c r="E100" i="23"/>
  <c r="D100" i="23"/>
  <c r="A101" i="23"/>
  <c r="F100" i="23"/>
  <c r="C100" i="23"/>
  <c r="D910" i="14"/>
  <c r="C910" i="14"/>
  <c r="C101" i="23" l="1"/>
  <c r="A102" i="23"/>
  <c r="B101" i="23"/>
  <c r="F101" i="23"/>
  <c r="E101" i="23"/>
  <c r="D101" i="23"/>
  <c r="C911" i="14"/>
  <c r="D911" i="14"/>
  <c r="B102" i="23" l="1"/>
  <c r="F102" i="23"/>
  <c r="A103" i="23"/>
  <c r="E102" i="23"/>
  <c r="D102" i="23"/>
  <c r="C102" i="23"/>
  <c r="D912" i="14"/>
  <c r="C912" i="14"/>
  <c r="B103" i="23" l="1"/>
  <c r="A104" i="23"/>
  <c r="C103" i="23"/>
  <c r="F103" i="23"/>
  <c r="D103" i="23"/>
  <c r="E103" i="23"/>
  <c r="C913" i="14"/>
  <c r="D913" i="14"/>
  <c r="F104" i="23" l="1"/>
  <c r="C104" i="23"/>
  <c r="D104" i="23"/>
  <c r="A105" i="23"/>
  <c r="B104" i="23"/>
  <c r="E104" i="23"/>
  <c r="D914" i="14"/>
  <c r="C914" i="14"/>
  <c r="D105" i="23" l="1"/>
  <c r="C105" i="23"/>
  <c r="A106" i="23"/>
  <c r="B105" i="23"/>
  <c r="F105" i="23"/>
  <c r="E105" i="23"/>
  <c r="C915" i="14"/>
  <c r="D915" i="14"/>
  <c r="D106" i="23" l="1"/>
  <c r="F106" i="23"/>
  <c r="A107" i="23"/>
  <c r="C106" i="23"/>
  <c r="E106" i="23"/>
  <c r="B106" i="23"/>
  <c r="D916" i="14"/>
  <c r="C916" i="14"/>
  <c r="B107" i="23" l="1"/>
  <c r="D107" i="23"/>
  <c r="E107" i="23"/>
  <c r="A108" i="23"/>
  <c r="C107" i="23"/>
  <c r="F107" i="23"/>
  <c r="C917" i="14"/>
  <c r="D917" i="14"/>
  <c r="C108" i="23" l="1"/>
  <c r="F108" i="23"/>
  <c r="D108" i="23"/>
  <c r="A109" i="23"/>
  <c r="B108" i="23"/>
  <c r="E108" i="23"/>
  <c r="D918" i="14"/>
  <c r="C918" i="14"/>
  <c r="A110" i="23" l="1"/>
  <c r="C109" i="23"/>
  <c r="B109" i="23"/>
  <c r="E109" i="23"/>
  <c r="F109" i="23"/>
  <c r="D109" i="23"/>
  <c r="C919" i="14"/>
  <c r="D919" i="14"/>
  <c r="A111" i="23" l="1"/>
  <c r="D110" i="23"/>
  <c r="B110" i="23"/>
  <c r="C110" i="23"/>
  <c r="F110" i="23"/>
  <c r="E110" i="23"/>
  <c r="D920" i="14"/>
  <c r="C920" i="14"/>
  <c r="A112" i="23" l="1"/>
  <c r="D111" i="23"/>
  <c r="C111" i="23"/>
  <c r="F111" i="23"/>
  <c r="E111" i="23"/>
  <c r="B111" i="23"/>
  <c r="C921" i="14"/>
  <c r="D921" i="14"/>
  <c r="A113" i="23" l="1"/>
  <c r="C112" i="23"/>
  <c r="B112" i="23"/>
  <c r="E112" i="23"/>
  <c r="F112" i="23"/>
  <c r="D112" i="23"/>
  <c r="D922" i="14"/>
  <c r="C922" i="14"/>
  <c r="A114" i="23" l="1"/>
  <c r="C113" i="23"/>
  <c r="B113" i="23"/>
  <c r="E113" i="23"/>
  <c r="F113" i="23"/>
  <c r="D113" i="23"/>
  <c r="C923" i="14"/>
  <c r="D923" i="14"/>
  <c r="A115" i="23" l="1"/>
  <c r="D114" i="23"/>
  <c r="B114" i="23"/>
  <c r="F114" i="23"/>
  <c r="C114" i="23"/>
  <c r="E114" i="23"/>
  <c r="D924" i="14"/>
  <c r="C924" i="14"/>
  <c r="A116" i="23" l="1"/>
  <c r="D115" i="23"/>
  <c r="E115" i="23"/>
  <c r="C115" i="23"/>
  <c r="F115" i="23"/>
  <c r="B115" i="23"/>
  <c r="C925" i="14"/>
  <c r="D925" i="14"/>
  <c r="A117" i="23" l="1"/>
  <c r="C116" i="23"/>
  <c r="F116" i="23"/>
  <c r="D116" i="23"/>
  <c r="E116" i="23"/>
  <c r="B116" i="23"/>
  <c r="D926" i="14"/>
  <c r="C926" i="14"/>
  <c r="A118" i="23" l="1"/>
  <c r="C117" i="23"/>
  <c r="D117" i="23"/>
  <c r="B117" i="23"/>
  <c r="E117" i="23"/>
  <c r="F117" i="23"/>
  <c r="D927" i="14"/>
  <c r="C927" i="14"/>
  <c r="A119" i="23" l="1"/>
  <c r="B118" i="23"/>
  <c r="F118" i="23"/>
  <c r="D118" i="23"/>
  <c r="C118" i="23"/>
  <c r="E118" i="23"/>
  <c r="D928" i="14"/>
  <c r="C928" i="14"/>
  <c r="A120" i="23" l="1"/>
  <c r="D119" i="23"/>
  <c r="C119" i="23"/>
  <c r="F119" i="23"/>
  <c r="B119" i="23"/>
  <c r="E119" i="23"/>
  <c r="C929" i="14"/>
  <c r="D929" i="14"/>
  <c r="A121" i="23" l="1"/>
  <c r="D120" i="23"/>
  <c r="E120" i="23"/>
  <c r="B120" i="23"/>
  <c r="F120" i="23"/>
  <c r="C120" i="23"/>
  <c r="D930" i="14"/>
  <c r="C930" i="14"/>
  <c r="A122" i="23" l="1"/>
  <c r="B121" i="23"/>
  <c r="F121" i="23"/>
  <c r="D121" i="23"/>
  <c r="E121" i="23"/>
  <c r="C121" i="23"/>
  <c r="D931" i="14"/>
  <c r="C931" i="14"/>
  <c r="A123" i="23" l="1"/>
  <c r="B122" i="23"/>
  <c r="C122" i="23"/>
  <c r="E122" i="23"/>
  <c r="D122" i="23"/>
  <c r="F122" i="23"/>
  <c r="D932" i="14"/>
  <c r="C932" i="14"/>
  <c r="A124" i="23" l="1"/>
  <c r="D123" i="23"/>
  <c r="E123" i="23"/>
  <c r="C123" i="23"/>
  <c r="F123" i="23"/>
  <c r="B123" i="23"/>
  <c r="D933" i="14"/>
  <c r="C933" i="14"/>
  <c r="A125" i="23" l="1"/>
  <c r="C124" i="23"/>
  <c r="D124" i="23"/>
  <c r="E124" i="23"/>
  <c r="F124" i="23"/>
  <c r="B124" i="23"/>
  <c r="D934" i="14"/>
  <c r="C934" i="14"/>
  <c r="A126" i="23" l="1"/>
  <c r="C125" i="23"/>
  <c r="D125" i="23"/>
  <c r="B125" i="23"/>
  <c r="E125" i="23"/>
  <c r="F125" i="23"/>
  <c r="C935" i="14"/>
  <c r="D935" i="14"/>
  <c r="A127" i="23" l="1"/>
  <c r="D126" i="23"/>
  <c r="B126" i="23"/>
  <c r="F126" i="23"/>
  <c r="E126" i="23"/>
  <c r="C126" i="23"/>
  <c r="C936" i="14"/>
  <c r="D936" i="14"/>
  <c r="A128" i="23" l="1"/>
  <c r="D127" i="23"/>
  <c r="E127" i="23"/>
  <c r="B127" i="23"/>
  <c r="C127" i="23"/>
  <c r="F127" i="23"/>
  <c r="D937" i="14"/>
  <c r="C937" i="14"/>
  <c r="A129" i="23" l="1"/>
  <c r="B128" i="23"/>
  <c r="E128" i="23"/>
  <c r="D128" i="23"/>
  <c r="C128" i="23"/>
  <c r="F128" i="23"/>
  <c r="C938" i="14"/>
  <c r="D938" i="14"/>
  <c r="A130" i="23" l="1"/>
  <c r="F129" i="23"/>
  <c r="D129" i="23"/>
  <c r="E129" i="23"/>
  <c r="C129" i="23"/>
  <c r="B129" i="23"/>
  <c r="C939" i="14"/>
  <c r="D939" i="14"/>
  <c r="A131" i="23" l="1"/>
  <c r="C130" i="23"/>
  <c r="F130" i="23"/>
  <c r="D130" i="23"/>
  <c r="E130" i="23"/>
  <c r="B130" i="23"/>
  <c r="C940" i="14"/>
  <c r="D940" i="14"/>
  <c r="A132" i="23" l="1"/>
  <c r="D131" i="23"/>
  <c r="E131" i="23"/>
  <c r="C131" i="23"/>
  <c r="B131" i="23"/>
  <c r="F131" i="23"/>
  <c r="D941" i="14"/>
  <c r="C941" i="14"/>
  <c r="A133" i="23" l="1"/>
  <c r="C132" i="23"/>
  <c r="D132" i="23"/>
  <c r="B132" i="23"/>
  <c r="E132" i="23"/>
  <c r="F132" i="23"/>
  <c r="C942" i="14"/>
  <c r="D942" i="14"/>
  <c r="A134" i="23" l="1"/>
  <c r="F133" i="23"/>
  <c r="C133" i="23"/>
  <c r="B133" i="23"/>
  <c r="D133" i="23"/>
  <c r="E133" i="23"/>
  <c r="C943" i="14"/>
  <c r="D943" i="14"/>
  <c r="A135" i="23" l="1"/>
  <c r="C134" i="23"/>
  <c r="E134" i="23"/>
  <c r="F134" i="23"/>
  <c r="D134" i="23"/>
  <c r="B134" i="23"/>
  <c r="D944" i="14"/>
  <c r="C944" i="14"/>
  <c r="A136" i="23" l="1"/>
  <c r="D135" i="23"/>
  <c r="F135" i="23"/>
  <c r="E135" i="23"/>
  <c r="B135" i="23"/>
  <c r="C135" i="23"/>
  <c r="D945" i="14"/>
  <c r="C945" i="14"/>
  <c r="A137" i="23" l="1"/>
  <c r="D136" i="23"/>
  <c r="E136" i="23"/>
  <c r="B136" i="23"/>
  <c r="C136" i="23"/>
  <c r="F136" i="23"/>
  <c r="C946" i="14"/>
  <c r="D946" i="14"/>
  <c r="A138" i="23" l="1"/>
  <c r="C137" i="23"/>
  <c r="D137" i="23"/>
  <c r="E137" i="23"/>
  <c r="B137" i="23"/>
  <c r="F137" i="23"/>
  <c r="D947" i="14"/>
  <c r="C947" i="14"/>
  <c r="A139" i="23" l="1"/>
  <c r="E138" i="23"/>
  <c r="F138" i="23"/>
  <c r="D138" i="23"/>
  <c r="B138" i="23"/>
  <c r="C138" i="23"/>
  <c r="C948" i="14"/>
  <c r="D948" i="14"/>
  <c r="A140" i="23" l="1"/>
  <c r="D139" i="23"/>
  <c r="E139" i="23"/>
  <c r="B139" i="23"/>
  <c r="C139" i="23"/>
  <c r="F139" i="23"/>
  <c r="D949" i="14"/>
  <c r="C949" i="14"/>
  <c r="A141" i="23" l="1"/>
  <c r="B140" i="23"/>
  <c r="E140" i="23"/>
  <c r="D140" i="23"/>
  <c r="C140" i="23"/>
  <c r="F140" i="23"/>
  <c r="D950" i="14"/>
  <c r="C950" i="14"/>
  <c r="A142" i="23" l="1"/>
  <c r="C141" i="23"/>
  <c r="F141" i="23"/>
  <c r="B141" i="23"/>
  <c r="D141" i="23"/>
  <c r="E141" i="23"/>
  <c r="C951" i="14"/>
  <c r="D951" i="14"/>
  <c r="A143" i="23" l="1"/>
  <c r="B142" i="23"/>
  <c r="F142" i="23"/>
  <c r="E142" i="23"/>
  <c r="D142" i="23"/>
  <c r="C142" i="23"/>
  <c r="C952" i="14"/>
  <c r="D952" i="14"/>
  <c r="A144" i="23" l="1"/>
  <c r="D143" i="23"/>
  <c r="E143" i="23"/>
  <c r="B143" i="23"/>
  <c r="C143" i="23"/>
  <c r="F143" i="23"/>
  <c r="D953" i="14"/>
  <c r="C953" i="14"/>
  <c r="A145" i="23" l="1"/>
  <c r="C144" i="23"/>
  <c r="F144" i="23"/>
  <c r="B144" i="23"/>
  <c r="D144" i="23"/>
  <c r="E144" i="23"/>
  <c r="D954" i="14"/>
  <c r="C954" i="14"/>
  <c r="A146" i="23" l="1"/>
  <c r="C145" i="23"/>
  <c r="D145" i="23"/>
  <c r="E145" i="23"/>
  <c r="B145" i="23"/>
  <c r="F145" i="23"/>
  <c r="C955" i="14"/>
  <c r="D955" i="14"/>
  <c r="A147" i="23" l="1"/>
  <c r="E146" i="23"/>
  <c r="D146" i="23"/>
  <c r="B146" i="23"/>
  <c r="C146" i="23"/>
  <c r="F146" i="23"/>
  <c r="D956" i="14"/>
  <c r="C956" i="14"/>
  <c r="A148" i="23" l="1"/>
  <c r="D147" i="23"/>
  <c r="E147" i="23"/>
  <c r="C147" i="23"/>
  <c r="F147" i="23"/>
  <c r="B147" i="23"/>
  <c r="D957" i="14"/>
  <c r="C957" i="14"/>
  <c r="A149" i="23" l="1"/>
  <c r="C148" i="23"/>
  <c r="B148" i="23"/>
  <c r="E148" i="23"/>
  <c r="F148" i="23"/>
  <c r="D148" i="23"/>
  <c r="D958" i="14"/>
  <c r="C958" i="14"/>
  <c r="A150" i="23" l="1"/>
  <c r="C149" i="23"/>
  <c r="F149" i="23"/>
  <c r="D149" i="23"/>
  <c r="E149" i="23"/>
  <c r="B149" i="23"/>
  <c r="C959" i="14"/>
  <c r="D959" i="14"/>
  <c r="A151" i="23" l="1"/>
  <c r="E150" i="23"/>
  <c r="D150" i="23"/>
  <c r="B150" i="23"/>
  <c r="C150" i="23"/>
  <c r="F150" i="23"/>
  <c r="D960" i="14"/>
  <c r="C960" i="14"/>
  <c r="A152" i="23" l="1"/>
  <c r="D151" i="23"/>
  <c r="E151" i="23"/>
  <c r="B151" i="23"/>
  <c r="C151" i="23"/>
  <c r="F151" i="23"/>
  <c r="D961" i="14"/>
  <c r="C961" i="14"/>
  <c r="A153" i="23" l="1"/>
  <c r="B152" i="23"/>
  <c r="E152" i="23"/>
  <c r="D152" i="23"/>
  <c r="C152" i="23"/>
  <c r="F152" i="23"/>
  <c r="C962" i="14"/>
  <c r="D962" i="14"/>
  <c r="A154" i="23" l="1"/>
  <c r="C153" i="23"/>
  <c r="E153" i="23"/>
  <c r="F153" i="23"/>
  <c r="B153" i="23"/>
  <c r="D153" i="23"/>
  <c r="C963" i="14"/>
  <c r="D963" i="14"/>
  <c r="A155" i="23" l="1"/>
  <c r="B154" i="23"/>
  <c r="F154" i="23"/>
  <c r="E154" i="23"/>
  <c r="D154" i="23"/>
  <c r="C154" i="23"/>
  <c r="D964" i="14"/>
  <c r="C964" i="14"/>
  <c r="A156" i="23" l="1"/>
  <c r="E155" i="23"/>
  <c r="C155" i="23"/>
  <c r="F155" i="23"/>
  <c r="D155" i="23"/>
  <c r="B155" i="23"/>
  <c r="C965" i="14"/>
  <c r="D965" i="14"/>
  <c r="A157" i="23" l="1"/>
  <c r="D156" i="23"/>
  <c r="B156" i="23"/>
  <c r="F156" i="23"/>
  <c r="E156" i="23"/>
  <c r="C156" i="23"/>
  <c r="D966" i="14"/>
  <c r="C966" i="14"/>
  <c r="A158" i="23" l="1"/>
  <c r="C157" i="23"/>
  <c r="B157" i="23"/>
  <c r="F157" i="23"/>
  <c r="E157" i="23"/>
  <c r="D157" i="23"/>
  <c r="C967" i="14"/>
  <c r="D967" i="14"/>
  <c r="A159" i="23" l="1"/>
  <c r="C158" i="23"/>
  <c r="F158" i="23"/>
  <c r="B158" i="23"/>
  <c r="D158" i="23"/>
  <c r="E158" i="23"/>
  <c r="C968" i="14"/>
  <c r="D968" i="14"/>
  <c r="A160" i="23" l="1"/>
  <c r="D159" i="23"/>
  <c r="E159" i="23"/>
  <c r="B159" i="23"/>
  <c r="C159" i="23"/>
  <c r="F159" i="23"/>
  <c r="D969" i="14"/>
  <c r="C969" i="14"/>
  <c r="A161" i="23" l="1"/>
  <c r="D160" i="23"/>
  <c r="E160" i="23"/>
  <c r="B160" i="23"/>
  <c r="C160" i="23"/>
  <c r="F160" i="23"/>
  <c r="D970" i="14"/>
  <c r="C970" i="14"/>
  <c r="A162" i="23" l="1"/>
  <c r="C161" i="23"/>
  <c r="F161" i="23"/>
  <c r="B161" i="23"/>
  <c r="D161" i="23"/>
  <c r="E161" i="23"/>
  <c r="D971" i="14"/>
  <c r="C971" i="14"/>
  <c r="A163" i="23" l="1"/>
  <c r="B162" i="23"/>
  <c r="F162" i="23"/>
  <c r="E162" i="23"/>
  <c r="D162" i="23"/>
  <c r="C162" i="23"/>
  <c r="D972" i="14"/>
  <c r="C972" i="14"/>
  <c r="A164" i="23" l="1"/>
  <c r="E163" i="23"/>
  <c r="C163" i="23"/>
  <c r="F163" i="23"/>
  <c r="D163" i="23"/>
  <c r="B163" i="23"/>
  <c r="C973" i="14"/>
  <c r="D973" i="14"/>
  <c r="A165" i="23" l="1"/>
  <c r="D164" i="23"/>
  <c r="B164" i="23"/>
  <c r="F164" i="23"/>
  <c r="E164" i="23"/>
  <c r="C164" i="23"/>
  <c r="D974" i="14"/>
  <c r="C974" i="14"/>
  <c r="A166" i="23" l="1"/>
  <c r="C165" i="23"/>
  <c r="D165" i="23"/>
  <c r="E165" i="23"/>
  <c r="B165" i="23"/>
  <c r="F165" i="23"/>
  <c r="D975" i="14"/>
  <c r="C975" i="14"/>
  <c r="A167" i="23" l="1"/>
  <c r="E166" i="23"/>
  <c r="D166" i="23"/>
  <c r="B166" i="23"/>
  <c r="C166" i="23"/>
  <c r="F166" i="23"/>
  <c r="D976" i="14"/>
  <c r="C976" i="14"/>
  <c r="A168" i="23" l="1"/>
  <c r="E167" i="23"/>
  <c r="F167" i="23"/>
  <c r="B167" i="23"/>
  <c r="D167" i="23"/>
  <c r="C167" i="23"/>
  <c r="D977" i="14"/>
  <c r="C977" i="14"/>
  <c r="A169" i="23" l="1"/>
  <c r="D168" i="23"/>
  <c r="C168" i="23"/>
  <c r="F168" i="23"/>
  <c r="B168" i="23"/>
  <c r="E168" i="23"/>
  <c r="D978" i="14"/>
  <c r="C978" i="14"/>
  <c r="A170" i="23" l="1"/>
  <c r="C169" i="23"/>
  <c r="B169" i="23"/>
  <c r="E169" i="23"/>
  <c r="D169" i="23"/>
  <c r="F169" i="23"/>
  <c r="C979" i="14"/>
  <c r="D979" i="14"/>
  <c r="A171" i="23" l="1"/>
  <c r="E170" i="23"/>
  <c r="D170" i="23"/>
  <c r="B170" i="23"/>
  <c r="F170" i="23"/>
  <c r="C170" i="23"/>
  <c r="D980" i="14"/>
  <c r="C980" i="14"/>
  <c r="A172" i="23" l="1"/>
  <c r="B171" i="23"/>
  <c r="E171" i="23"/>
  <c r="C171" i="23"/>
  <c r="D171" i="23"/>
  <c r="F171" i="23"/>
  <c r="D981" i="14"/>
  <c r="C981" i="14"/>
  <c r="A173" i="23" l="1"/>
  <c r="C172" i="23"/>
  <c r="B172" i="23"/>
  <c r="E172" i="23"/>
  <c r="F172" i="23"/>
  <c r="D172" i="23"/>
  <c r="D982" i="14"/>
  <c r="C982" i="14"/>
  <c r="A174" i="23" l="1"/>
  <c r="B173" i="23"/>
  <c r="F173" i="23"/>
  <c r="E173" i="23"/>
  <c r="D173" i="23"/>
  <c r="C173" i="23"/>
  <c r="C983" i="14"/>
  <c r="D983" i="14"/>
  <c r="A175" i="23" l="1"/>
  <c r="B174" i="23"/>
  <c r="E174" i="23"/>
  <c r="C174" i="23"/>
  <c r="F174" i="23"/>
  <c r="D174" i="23"/>
  <c r="D984" i="14"/>
  <c r="C984" i="14"/>
  <c r="A176" i="23" l="1"/>
  <c r="B175" i="23"/>
  <c r="D175" i="23"/>
  <c r="E175" i="23"/>
  <c r="C175" i="23"/>
  <c r="F175" i="23"/>
  <c r="D985" i="14"/>
  <c r="C985" i="14"/>
  <c r="A177" i="23" l="1"/>
  <c r="D176" i="23"/>
  <c r="E176" i="23"/>
  <c r="C176" i="23"/>
  <c r="B176" i="23"/>
  <c r="F176" i="23"/>
  <c r="D986" i="14"/>
  <c r="C986" i="14"/>
  <c r="A178" i="23" l="1"/>
  <c r="D177" i="23"/>
  <c r="C177" i="23"/>
  <c r="F177" i="23"/>
  <c r="E177" i="23"/>
  <c r="B177" i="23"/>
  <c r="C987" i="14"/>
  <c r="D987" i="14"/>
  <c r="A179" i="23" l="1"/>
  <c r="F178" i="23"/>
  <c r="E178" i="23"/>
  <c r="C178" i="23"/>
  <c r="D178" i="23"/>
  <c r="B178" i="23"/>
  <c r="D988" i="14"/>
  <c r="C988" i="14"/>
  <c r="A180" i="23" l="1"/>
  <c r="B179" i="23"/>
  <c r="E179" i="23"/>
  <c r="C179" i="23"/>
  <c r="F179" i="23"/>
  <c r="D179" i="23"/>
  <c r="D989" i="14"/>
  <c r="C989" i="14"/>
  <c r="A181" i="23" l="1"/>
  <c r="C180" i="23"/>
  <c r="B180" i="23"/>
  <c r="E180" i="23"/>
  <c r="F180" i="23"/>
  <c r="D180" i="23"/>
  <c r="D990" i="14"/>
  <c r="C990" i="14"/>
  <c r="A182" i="23" l="1"/>
  <c r="C181" i="23"/>
  <c r="D181" i="23"/>
  <c r="E181" i="23"/>
  <c r="B181" i="23"/>
  <c r="F181" i="23"/>
  <c r="C991" i="14"/>
  <c r="D991" i="14"/>
  <c r="A183" i="23" l="1"/>
  <c r="E182" i="23"/>
  <c r="D182" i="23"/>
  <c r="B182" i="23"/>
  <c r="C182" i="23"/>
  <c r="F182" i="23"/>
  <c r="D992" i="14"/>
  <c r="C992" i="14"/>
  <c r="A184" i="23" l="1"/>
  <c r="F183" i="23"/>
  <c r="B183" i="23"/>
  <c r="C183" i="23"/>
  <c r="E183" i="23"/>
  <c r="D183" i="23"/>
  <c r="C993" i="14"/>
  <c r="D993" i="14"/>
  <c r="A185" i="23" l="1"/>
  <c r="B184" i="23"/>
  <c r="E184" i="23"/>
  <c r="F184" i="23"/>
  <c r="C184" i="23"/>
  <c r="D184" i="23"/>
  <c r="D994" i="14"/>
  <c r="C994" i="14"/>
  <c r="A186" i="23" l="1"/>
  <c r="B185" i="23"/>
  <c r="E185" i="23"/>
  <c r="F185" i="23"/>
  <c r="C185" i="23"/>
  <c r="D185" i="23"/>
  <c r="C995" i="14"/>
  <c r="D995" i="14"/>
  <c r="A187" i="23" l="1"/>
  <c r="F186" i="23"/>
  <c r="C186" i="23"/>
  <c r="D186" i="23"/>
  <c r="B186" i="23"/>
  <c r="E186" i="23"/>
  <c r="D996" i="14"/>
  <c r="C996" i="14"/>
  <c r="A188" i="23" l="1"/>
  <c r="D187" i="23"/>
  <c r="E187" i="23"/>
  <c r="C187" i="23"/>
  <c r="F187" i="23"/>
  <c r="B187" i="23"/>
  <c r="D997" i="14"/>
  <c r="C997" i="14"/>
  <c r="A189" i="23" l="1"/>
  <c r="C188" i="23"/>
  <c r="D188" i="23"/>
  <c r="B188" i="23"/>
  <c r="E188" i="23"/>
  <c r="F188" i="23"/>
  <c r="D998" i="14"/>
  <c r="C998" i="14"/>
  <c r="A190" i="23" l="1"/>
  <c r="C189" i="23"/>
  <c r="F189" i="23"/>
  <c r="B189" i="23"/>
  <c r="E189" i="23"/>
  <c r="D189" i="23"/>
  <c r="C999" i="14"/>
  <c r="D999" i="14"/>
  <c r="A191" i="23" l="1"/>
  <c r="E190" i="23"/>
  <c r="B190" i="23"/>
  <c r="F190" i="23"/>
  <c r="D190" i="23"/>
  <c r="C190" i="23"/>
  <c r="D1000" i="14"/>
  <c r="C1000" i="14"/>
  <c r="A192" i="23" l="1"/>
  <c r="B191" i="23"/>
  <c r="E191" i="23"/>
  <c r="C191" i="23"/>
  <c r="D191" i="23"/>
  <c r="F191" i="23"/>
  <c r="C1001" i="14"/>
  <c r="D1001" i="14"/>
  <c r="A193" i="23" l="1"/>
  <c r="C192" i="23"/>
  <c r="B192" i="23"/>
  <c r="E192" i="23"/>
  <c r="F192" i="23"/>
  <c r="D192" i="23"/>
  <c r="D1002" i="14"/>
  <c r="C1002" i="14"/>
  <c r="A194" i="23" l="1"/>
  <c r="C193" i="23"/>
  <c r="B193" i="23"/>
  <c r="E193" i="23"/>
  <c r="F193" i="23"/>
  <c r="D193" i="23"/>
  <c r="C1003" i="14"/>
  <c r="D1003" i="14"/>
  <c r="A195" i="23" l="1"/>
  <c r="E194" i="23"/>
  <c r="D194" i="23"/>
  <c r="B194" i="23"/>
  <c r="C194" i="23"/>
  <c r="F194" i="23"/>
  <c r="D1004" i="14"/>
  <c r="C1004" i="14"/>
  <c r="A196" i="23" l="1"/>
  <c r="E195" i="23"/>
  <c r="C195" i="23"/>
  <c r="D195" i="23"/>
  <c r="F195" i="23"/>
  <c r="B195" i="23"/>
  <c r="C1005" i="14"/>
  <c r="D1005" i="14"/>
  <c r="A197" i="23" l="1"/>
  <c r="D196" i="23"/>
  <c r="B196" i="23"/>
  <c r="F196" i="23"/>
  <c r="C196" i="23"/>
  <c r="E196" i="23"/>
  <c r="D1006" i="14"/>
  <c r="C1006" i="14"/>
  <c r="A198" i="23" l="1"/>
  <c r="C197" i="23"/>
  <c r="D197" i="23"/>
  <c r="E197" i="23"/>
  <c r="F197" i="23"/>
  <c r="B197" i="23"/>
  <c r="C1007" i="14"/>
  <c r="D1007" i="14"/>
  <c r="A199" i="23" l="1"/>
  <c r="E198" i="23"/>
  <c r="C198" i="23"/>
  <c r="D198" i="23"/>
  <c r="B198" i="23"/>
  <c r="F198" i="23"/>
  <c r="D1008" i="14"/>
  <c r="C1008" i="14"/>
  <c r="A200" i="23" l="1"/>
  <c r="E199" i="23"/>
  <c r="B199" i="23"/>
  <c r="D199" i="23"/>
  <c r="C199" i="23"/>
  <c r="F199" i="23"/>
  <c r="C1009" i="14"/>
  <c r="D1009" i="14"/>
  <c r="A201" i="23" l="1"/>
  <c r="D200" i="23"/>
  <c r="F200" i="23"/>
  <c r="E200" i="23"/>
  <c r="B200" i="23"/>
  <c r="C200" i="23"/>
  <c r="D1010" i="14"/>
  <c r="C1010" i="14"/>
  <c r="A202" i="23" l="1"/>
  <c r="B201" i="23"/>
  <c r="F201" i="23"/>
  <c r="E201" i="23"/>
  <c r="C201" i="23"/>
  <c r="D201" i="23"/>
  <c r="D1011" i="14"/>
  <c r="C1011" i="14"/>
  <c r="B202" i="23" l="1"/>
  <c r="F202" i="23"/>
  <c r="E202" i="23"/>
  <c r="C202" i="23"/>
  <c r="D202" i="23"/>
  <c r="A203" i="23"/>
  <c r="C1012" i="14"/>
  <c r="D1012" i="14"/>
  <c r="A204" i="23" l="1"/>
  <c r="E203" i="23"/>
  <c r="D203" i="23"/>
  <c r="B203" i="23"/>
  <c r="F203" i="23"/>
  <c r="C203" i="23"/>
  <c r="C1013" i="14"/>
  <c r="D1013" i="14"/>
  <c r="A205" i="23" l="1"/>
  <c r="D204" i="23"/>
  <c r="E204" i="23"/>
  <c r="C204" i="23"/>
  <c r="F204" i="23"/>
  <c r="B204" i="23"/>
  <c r="D1014" i="14"/>
  <c r="C1014" i="14"/>
  <c r="A206" i="23" l="1"/>
  <c r="C205" i="23"/>
  <c r="B205" i="23"/>
  <c r="E205" i="23"/>
  <c r="F205" i="23"/>
  <c r="D205" i="23"/>
  <c r="C1015" i="14"/>
  <c r="D1015" i="14"/>
  <c r="A207" i="23" l="1"/>
  <c r="E206" i="23"/>
  <c r="F206" i="23"/>
  <c r="D206" i="23"/>
  <c r="B206" i="23"/>
  <c r="C206" i="23"/>
  <c r="D1016" i="14"/>
  <c r="C1016" i="14"/>
  <c r="A208" i="23" l="1"/>
  <c r="B207" i="23"/>
  <c r="E207" i="23"/>
  <c r="C207" i="23"/>
  <c r="F207" i="23"/>
  <c r="D207" i="23"/>
  <c r="D1017" i="14"/>
  <c r="C1017" i="14"/>
  <c r="A209" i="23" l="1"/>
  <c r="C208" i="23"/>
  <c r="B208" i="23"/>
  <c r="E208" i="23"/>
  <c r="D208" i="23"/>
  <c r="F208" i="23"/>
  <c r="D1018" i="14"/>
  <c r="C1018" i="14"/>
  <c r="A210" i="23" l="1"/>
  <c r="B209" i="23"/>
  <c r="C209" i="23"/>
  <c r="D209" i="23"/>
  <c r="F209" i="23"/>
  <c r="E209" i="23"/>
  <c r="C1019" i="14"/>
  <c r="D1019" i="14"/>
  <c r="A211" i="23" l="1"/>
  <c r="F210" i="23"/>
  <c r="E210" i="23"/>
  <c r="B210" i="23"/>
  <c r="D210" i="23"/>
  <c r="C210" i="23"/>
  <c r="D1020" i="14"/>
  <c r="C1020" i="14"/>
  <c r="A212" i="23" l="1"/>
  <c r="E211" i="23"/>
  <c r="C211" i="23"/>
  <c r="F211" i="23"/>
  <c r="D211" i="23"/>
  <c r="B211" i="23"/>
  <c r="D1021" i="14"/>
  <c r="C1021" i="14"/>
  <c r="A213" i="23" l="1"/>
  <c r="D212" i="23"/>
  <c r="B212" i="23"/>
  <c r="F212" i="23"/>
  <c r="C212" i="23"/>
  <c r="E212" i="23"/>
  <c r="D1022" i="14"/>
  <c r="C1022" i="14"/>
  <c r="A214" i="23" l="1"/>
  <c r="B213" i="23"/>
  <c r="D213" i="23"/>
  <c r="F213" i="23"/>
  <c r="E213" i="23"/>
  <c r="C213" i="23"/>
  <c r="C1023" i="14"/>
  <c r="D1023" i="14"/>
  <c r="A215" i="23" l="1"/>
  <c r="F214" i="23"/>
  <c r="E214" i="23"/>
  <c r="C214" i="23"/>
  <c r="B214" i="23"/>
  <c r="D214" i="23"/>
  <c r="D1024" i="14"/>
  <c r="C1024" i="14"/>
  <c r="A216" i="23" l="1"/>
  <c r="D215" i="23"/>
  <c r="B215" i="23"/>
  <c r="C215" i="23"/>
  <c r="E215" i="23"/>
  <c r="F215" i="23"/>
  <c r="D1025" i="14"/>
  <c r="C1025" i="14"/>
  <c r="A217" i="23" l="1"/>
  <c r="C216" i="23"/>
  <c r="D216" i="23"/>
  <c r="E216" i="23"/>
  <c r="F216" i="23"/>
  <c r="B216" i="23"/>
  <c r="D1026" i="14"/>
  <c r="C1026" i="14"/>
  <c r="A218" i="23" l="1"/>
  <c r="C217" i="23"/>
  <c r="E217" i="23"/>
  <c r="D217" i="23"/>
  <c r="F217" i="23"/>
  <c r="B217" i="23"/>
  <c r="C1027" i="14"/>
  <c r="D1027" i="14"/>
  <c r="A219" i="23" l="1"/>
  <c r="B218" i="23"/>
  <c r="C218" i="23"/>
  <c r="F218" i="23"/>
  <c r="E218" i="23"/>
  <c r="D218" i="23"/>
  <c r="D9" i="26"/>
  <c r="D10" i="26"/>
  <c r="A220" i="23" l="1"/>
  <c r="D219" i="23"/>
  <c r="E219" i="23"/>
  <c r="F219" i="23"/>
  <c r="C219" i="23"/>
  <c r="B219" i="23"/>
  <c r="A221" i="23" l="1"/>
  <c r="C220" i="23"/>
  <c r="D220" i="23"/>
  <c r="B220" i="23"/>
  <c r="E220" i="23"/>
  <c r="F220" i="23"/>
  <c r="F221" i="23" l="1"/>
  <c r="B221" i="23"/>
  <c r="C221" i="23"/>
  <c r="D221" i="23"/>
  <c r="E221" i="23"/>
  <c r="A222" i="23"/>
  <c r="F222" i="23" l="1"/>
  <c r="A223" i="23"/>
  <c r="C222" i="23"/>
  <c r="D222" i="23"/>
  <c r="B222" i="23"/>
  <c r="E222" i="23"/>
  <c r="D223" i="23" l="1"/>
  <c r="F223" i="23"/>
  <c r="A224" i="23"/>
  <c r="B223" i="23"/>
  <c r="C223" i="23"/>
  <c r="E223" i="23"/>
  <c r="D224" i="23" l="1"/>
  <c r="A225" i="23"/>
  <c r="C224" i="23"/>
  <c r="F224" i="23"/>
  <c r="B224" i="23"/>
  <c r="E224" i="23"/>
  <c r="F225" i="23" l="1"/>
  <c r="A226" i="23"/>
  <c r="C225" i="23"/>
  <c r="B225" i="23"/>
  <c r="D225" i="23"/>
  <c r="E225" i="23"/>
  <c r="F226" i="23" l="1"/>
  <c r="E226" i="23"/>
  <c r="C226" i="23"/>
  <c r="D226" i="23"/>
  <c r="B226" i="23"/>
  <c r="A227" i="23"/>
  <c r="B227" i="23" l="1"/>
  <c r="F227" i="23"/>
  <c r="A228" i="23"/>
  <c r="D227" i="23"/>
  <c r="E227" i="23"/>
  <c r="C227" i="23"/>
  <c r="D228" i="23" l="1"/>
  <c r="C228" i="23"/>
  <c r="F228" i="23"/>
  <c r="B228" i="23"/>
  <c r="E228" i="23"/>
  <c r="A229" i="23"/>
  <c r="F229" i="23" l="1"/>
  <c r="B229" i="23"/>
  <c r="A230" i="23"/>
  <c r="C229" i="23"/>
  <c r="D229" i="23"/>
  <c r="E229" i="23"/>
  <c r="F230" i="23" l="1"/>
  <c r="A231" i="23"/>
  <c r="C230" i="23"/>
  <c r="D230" i="23"/>
  <c r="B230" i="23"/>
  <c r="E230" i="23"/>
  <c r="D231" i="23" l="1"/>
  <c r="F231" i="23"/>
  <c r="A232" i="23"/>
  <c r="E231" i="23"/>
  <c r="C231" i="23"/>
  <c r="B231" i="23"/>
  <c r="D232" i="23" l="1"/>
  <c r="F232" i="23"/>
  <c r="A233" i="23"/>
  <c r="B232" i="23"/>
  <c r="E232" i="23"/>
  <c r="C232" i="23"/>
  <c r="E233" i="23" l="1"/>
  <c r="F233" i="23"/>
  <c r="C233" i="23"/>
  <c r="B233" i="23"/>
  <c r="D233" i="23"/>
  <c r="A234" i="23"/>
  <c r="C234" i="23" l="1"/>
  <c r="B234" i="23"/>
  <c r="A235" i="23"/>
  <c r="F234" i="23"/>
  <c r="D234" i="23"/>
  <c r="E234" i="23"/>
  <c r="D235" i="23" l="1"/>
  <c r="A236" i="23"/>
  <c r="B235" i="23"/>
  <c r="E235" i="23"/>
  <c r="C235" i="23"/>
  <c r="F235" i="23"/>
  <c r="A237" i="23" l="1"/>
  <c r="D236" i="23"/>
  <c r="C236" i="23"/>
  <c r="B236" i="23"/>
  <c r="E236" i="23"/>
  <c r="F236" i="23"/>
  <c r="D237" i="23" l="1"/>
  <c r="E237" i="23"/>
  <c r="F237" i="23"/>
  <c r="A238" i="23"/>
  <c r="B237" i="23"/>
  <c r="C237" i="23"/>
  <c r="F238" i="23" l="1"/>
  <c r="D238" i="23"/>
  <c r="B238" i="23"/>
  <c r="E238" i="23"/>
  <c r="C238" i="23"/>
  <c r="A239" i="23"/>
  <c r="C239" i="23" l="1"/>
  <c r="E239" i="23"/>
  <c r="D239" i="23"/>
  <c r="B239" i="23"/>
  <c r="F239" i="23"/>
  <c r="A240" i="23"/>
  <c r="A241" i="23" l="1"/>
  <c r="E240" i="23"/>
  <c r="F240" i="23"/>
  <c r="B240" i="23"/>
  <c r="C240" i="23"/>
  <c r="D240" i="23"/>
  <c r="F241" i="23" l="1"/>
  <c r="B241" i="23"/>
  <c r="E241" i="23"/>
  <c r="C241" i="23"/>
  <c r="D241" i="23"/>
  <c r="A242" i="23"/>
  <c r="C242" i="23" l="1"/>
  <c r="B242" i="23"/>
  <c r="E242" i="23"/>
  <c r="F242" i="23"/>
  <c r="A243" i="23"/>
  <c r="D242" i="23"/>
  <c r="A244" i="23" l="1"/>
  <c r="D243" i="23"/>
  <c r="B243" i="23"/>
  <c r="F243" i="23"/>
  <c r="E243" i="23"/>
  <c r="C243" i="23"/>
  <c r="E244" i="23" l="1"/>
  <c r="D244" i="23"/>
  <c r="F244" i="23"/>
  <c r="B244" i="23"/>
  <c r="C244" i="23"/>
  <c r="A245" i="23"/>
  <c r="C245" i="23" l="1"/>
  <c r="D245" i="23"/>
  <c r="E245" i="23"/>
  <c r="F245" i="23"/>
  <c r="B245" i="23"/>
  <c r="A246" i="23"/>
  <c r="B246" i="23" l="1"/>
  <c r="E246" i="23"/>
  <c r="C246" i="23"/>
  <c r="F246" i="23"/>
  <c r="D246" i="23"/>
  <c r="A247" i="23"/>
  <c r="A248" i="23" l="1"/>
  <c r="D247" i="23"/>
  <c r="E247" i="23"/>
  <c r="C247" i="23"/>
  <c r="B247" i="23"/>
  <c r="F247" i="23"/>
  <c r="F248" i="23" l="1"/>
  <c r="E248" i="23"/>
  <c r="C248" i="23"/>
  <c r="D248" i="23"/>
  <c r="A249" i="23"/>
  <c r="B248" i="23"/>
  <c r="B249" i="23" l="1"/>
  <c r="F249" i="23"/>
  <c r="E249" i="23"/>
  <c r="C249" i="23"/>
  <c r="D249" i="23"/>
  <c r="A250" i="23"/>
  <c r="F250" i="23" l="1"/>
  <c r="E250" i="23"/>
  <c r="D250" i="23"/>
  <c r="C250" i="23"/>
  <c r="A251" i="23"/>
  <c r="B250" i="23"/>
  <c r="B251" i="23" l="1"/>
  <c r="F251" i="23"/>
  <c r="A252" i="23"/>
  <c r="C251" i="23"/>
  <c r="E251" i="23"/>
  <c r="D251" i="23"/>
  <c r="C252" i="23" l="1"/>
  <c r="E252" i="23"/>
  <c r="A253" i="23"/>
  <c r="B252" i="23"/>
  <c r="D252" i="23"/>
  <c r="F252" i="23"/>
  <c r="D253" i="23" l="1"/>
  <c r="C253" i="23"/>
  <c r="A254" i="23"/>
  <c r="F253" i="23"/>
  <c r="B253" i="23"/>
  <c r="E253" i="23"/>
  <c r="D254" i="23" l="1"/>
  <c r="B254" i="23"/>
  <c r="C254" i="23"/>
  <c r="F254" i="23"/>
  <c r="E254" i="23"/>
  <c r="A255" i="23"/>
  <c r="A256" i="23" l="1"/>
  <c r="E255" i="23"/>
  <c r="B255" i="23"/>
  <c r="C255" i="23"/>
  <c r="F255" i="23"/>
  <c r="D255" i="23"/>
  <c r="D256" i="23" l="1"/>
  <c r="E256" i="23"/>
  <c r="F256" i="23"/>
  <c r="A257" i="23"/>
  <c r="B256" i="23"/>
  <c r="C256" i="23"/>
  <c r="D257" i="23" l="1"/>
  <c r="E257" i="23"/>
  <c r="C257" i="23"/>
  <c r="B257" i="23"/>
  <c r="F257" i="23"/>
  <c r="A258" i="23"/>
  <c r="C258" i="23" l="1"/>
  <c r="B258" i="23"/>
  <c r="A259" i="23"/>
  <c r="E258" i="23"/>
  <c r="D258" i="23"/>
  <c r="F258" i="23"/>
  <c r="B259" i="23" l="1"/>
  <c r="E259" i="23"/>
  <c r="D259" i="23"/>
  <c r="C259" i="23"/>
  <c r="A260" i="23"/>
  <c r="F259" i="23"/>
  <c r="C260" i="23" l="1"/>
  <c r="D260" i="23"/>
  <c r="F260" i="23"/>
  <c r="A261" i="23"/>
  <c r="B260" i="23"/>
  <c r="E260" i="23"/>
  <c r="F261" i="23" l="1"/>
  <c r="E261" i="23"/>
  <c r="D261" i="23"/>
  <c r="B261" i="23"/>
  <c r="C261" i="23"/>
  <c r="A262" i="23"/>
  <c r="D262" i="23" l="1"/>
  <c r="C262" i="23"/>
  <c r="B262" i="23"/>
  <c r="A263" i="23"/>
  <c r="E262" i="23"/>
  <c r="F262" i="23"/>
  <c r="C263" i="23" l="1"/>
  <c r="F263" i="23"/>
  <c r="A264" i="23"/>
  <c r="D263" i="23"/>
  <c r="E263" i="23"/>
  <c r="B263" i="23"/>
  <c r="E264" i="23" l="1"/>
  <c r="F264" i="23"/>
  <c r="A265" i="23"/>
  <c r="C264" i="23"/>
  <c r="D264" i="23"/>
  <c r="B264" i="23"/>
  <c r="B265" i="23" l="1"/>
  <c r="A266" i="23"/>
  <c r="F265" i="23"/>
  <c r="E265" i="23"/>
  <c r="C265" i="23"/>
  <c r="D265" i="23"/>
  <c r="F266" i="23" l="1"/>
  <c r="C266" i="23"/>
  <c r="B266" i="23"/>
  <c r="D266" i="23"/>
  <c r="A267" i="23"/>
  <c r="E266" i="23"/>
  <c r="E267" i="23" l="1"/>
  <c r="F267" i="23"/>
  <c r="B267" i="23"/>
  <c r="D267" i="23"/>
  <c r="C267" i="23"/>
  <c r="A268" i="23"/>
  <c r="F268" i="23" l="1"/>
  <c r="B268" i="23"/>
  <c r="A269" i="23"/>
  <c r="E268" i="23"/>
  <c r="C268" i="23"/>
  <c r="D268" i="23"/>
  <c r="B269" i="23" l="1"/>
  <c r="C269" i="23"/>
  <c r="E269" i="23"/>
  <c r="A270" i="23"/>
  <c r="D269" i="23"/>
  <c r="F269" i="23"/>
  <c r="A271" i="23" l="1"/>
  <c r="C270" i="23"/>
  <c r="B270" i="23"/>
  <c r="E270" i="23"/>
  <c r="F270" i="23"/>
  <c r="D270" i="23"/>
  <c r="A272" i="23" l="1"/>
  <c r="D271" i="23"/>
  <c r="E271" i="23"/>
  <c r="C271" i="23"/>
  <c r="B271" i="23"/>
  <c r="F271" i="23"/>
  <c r="F272" i="23" l="1"/>
  <c r="B272" i="23"/>
  <c r="A273" i="23"/>
  <c r="D272" i="23"/>
  <c r="C272" i="23"/>
  <c r="E272" i="23"/>
  <c r="F273" i="23" l="1"/>
  <c r="D273" i="23"/>
  <c r="B273" i="23"/>
  <c r="E273" i="23"/>
  <c r="C273" i="23"/>
  <c r="A274" i="23"/>
  <c r="D274" i="23" l="1"/>
  <c r="C274" i="23"/>
  <c r="E274" i="23"/>
  <c r="B274" i="23"/>
  <c r="F274" i="23"/>
  <c r="A275" i="23"/>
  <c r="F275" i="23" l="1"/>
  <c r="B275" i="23"/>
  <c r="E275" i="23"/>
  <c r="A276" i="23"/>
  <c r="D275" i="23"/>
  <c r="C275" i="23"/>
  <c r="C276" i="23" l="1"/>
  <c r="B276" i="23"/>
  <c r="F276" i="23"/>
  <c r="E276" i="23"/>
  <c r="A277" i="23"/>
  <c r="D276" i="23"/>
  <c r="E277" i="23" l="1"/>
  <c r="F277" i="23"/>
  <c r="D277" i="23"/>
  <c r="C277" i="23"/>
  <c r="B277" i="23"/>
  <c r="A278" i="23"/>
  <c r="E278" i="23" l="1"/>
  <c r="C278" i="23"/>
  <c r="B278" i="23"/>
  <c r="A279" i="23"/>
  <c r="D278" i="23"/>
  <c r="F278" i="23"/>
  <c r="A280" i="23" l="1"/>
  <c r="B279" i="23"/>
  <c r="E279" i="23"/>
  <c r="D279" i="23"/>
  <c r="F279" i="23"/>
  <c r="C279" i="23"/>
  <c r="C280" i="23" l="1"/>
  <c r="D280" i="23"/>
  <c r="B280" i="23"/>
  <c r="E280" i="23"/>
  <c r="F280" i="23"/>
  <c r="A281" i="23"/>
  <c r="D281" i="23" l="1"/>
  <c r="F281" i="23"/>
  <c r="E281" i="23"/>
  <c r="B281" i="23"/>
  <c r="A282" i="23"/>
  <c r="C281" i="23"/>
  <c r="A283" i="23" l="1"/>
  <c r="E282" i="23"/>
  <c r="D282" i="23"/>
  <c r="C282" i="23"/>
  <c r="B282" i="23"/>
  <c r="F282" i="23"/>
  <c r="C283" i="23" l="1"/>
  <c r="E283" i="23"/>
  <c r="A284" i="23"/>
  <c r="F283" i="23"/>
  <c r="D283" i="23"/>
  <c r="B283" i="23"/>
  <c r="C284" i="23" l="1"/>
  <c r="E284" i="23"/>
  <c r="F284" i="23"/>
  <c r="D284" i="23"/>
  <c r="B284" i="23"/>
  <c r="A285" i="23"/>
  <c r="A286" i="23" l="1"/>
  <c r="C285" i="23"/>
  <c r="F285" i="23"/>
  <c r="D285" i="23"/>
  <c r="E285" i="23"/>
  <c r="B285" i="23"/>
  <c r="E286" i="23" l="1"/>
  <c r="C286" i="23"/>
  <c r="D286" i="23"/>
  <c r="F286" i="23"/>
  <c r="B286" i="23"/>
  <c r="A287" i="23"/>
  <c r="E287" i="23" l="1"/>
  <c r="B287" i="23"/>
  <c r="F287" i="23"/>
  <c r="D287" i="23"/>
  <c r="C287" i="23"/>
  <c r="A288" i="23"/>
  <c r="D288" i="23" l="1"/>
  <c r="E288" i="23"/>
  <c r="C288" i="23"/>
  <c r="A289" i="23"/>
  <c r="B288" i="23"/>
  <c r="F288" i="23"/>
  <c r="C289" i="23" l="1"/>
  <c r="D289" i="23"/>
  <c r="E289" i="23"/>
  <c r="F289" i="23"/>
  <c r="A290" i="23"/>
  <c r="B289" i="23"/>
  <c r="B290" i="23" l="1"/>
  <c r="D290" i="23"/>
  <c r="C290" i="23"/>
  <c r="F290" i="23"/>
  <c r="E290" i="23"/>
  <c r="A291" i="23"/>
  <c r="B291" i="23" l="1"/>
  <c r="E291" i="23"/>
  <c r="F291" i="23"/>
  <c r="C291" i="23"/>
  <c r="A292" i="23"/>
  <c r="D291" i="23"/>
  <c r="C292" i="23" l="1"/>
  <c r="D292" i="23"/>
  <c r="F292" i="23"/>
  <c r="A293" i="23"/>
  <c r="E292" i="23"/>
  <c r="B292" i="23"/>
  <c r="D293" i="23" l="1"/>
  <c r="E293" i="23"/>
  <c r="F293" i="23"/>
  <c r="C293" i="23"/>
  <c r="A294" i="23"/>
  <c r="B293" i="23"/>
  <c r="A295" i="23" l="1"/>
  <c r="F294" i="23"/>
  <c r="C294" i="23"/>
  <c r="E294" i="23"/>
  <c r="B294" i="23"/>
  <c r="D294" i="23"/>
  <c r="B295" i="23" l="1"/>
  <c r="E295" i="23"/>
  <c r="D295" i="23"/>
  <c r="F295" i="23"/>
  <c r="C295" i="23"/>
  <c r="A296" i="23"/>
  <c r="D296" i="23" l="1"/>
  <c r="B296" i="23"/>
  <c r="E296" i="23"/>
  <c r="C296" i="23"/>
  <c r="A297" i="23"/>
  <c r="F296" i="23"/>
  <c r="A298" i="23" l="1"/>
  <c r="C297" i="23"/>
  <c r="B297" i="23"/>
  <c r="E297" i="23"/>
  <c r="F297" i="23"/>
  <c r="D297" i="23"/>
  <c r="A299" i="23" l="1"/>
  <c r="E298" i="23"/>
  <c r="C298" i="23"/>
  <c r="B298" i="23"/>
  <c r="F298" i="23"/>
  <c r="D298" i="23"/>
  <c r="E299" i="23" l="1"/>
  <c r="B299" i="23"/>
  <c r="F299" i="23"/>
  <c r="C299" i="23"/>
  <c r="A300" i="23"/>
  <c r="D299" i="23"/>
  <c r="B300" i="23" l="1"/>
  <c r="C300" i="23"/>
  <c r="D300" i="23"/>
  <c r="A301" i="23"/>
  <c r="F300" i="23"/>
  <c r="E300" i="23"/>
  <c r="B301" i="23" l="1"/>
  <c r="C301" i="23"/>
  <c r="A302" i="23"/>
  <c r="E301" i="23"/>
  <c r="F301" i="23"/>
  <c r="D301" i="23"/>
  <c r="F302" i="23" l="1"/>
  <c r="B302" i="23"/>
  <c r="E302" i="23"/>
  <c r="C302" i="23"/>
  <c r="D302" i="23"/>
  <c r="A303" i="23"/>
  <c r="B303" i="23" l="1"/>
  <c r="F303" i="23"/>
  <c r="C303" i="23"/>
  <c r="A304" i="23"/>
  <c r="E303" i="23"/>
  <c r="D303" i="23"/>
  <c r="C304" i="23" l="1"/>
  <c r="B304" i="23"/>
  <c r="D304" i="23"/>
  <c r="E304" i="23"/>
  <c r="A305" i="23"/>
  <c r="F304" i="23"/>
  <c r="E305" i="23" l="1"/>
  <c r="A306" i="23"/>
  <c r="F305" i="23"/>
  <c r="D305" i="23"/>
  <c r="C305" i="23"/>
  <c r="B305" i="23"/>
  <c r="E306" i="23" l="1"/>
  <c r="B306" i="23"/>
  <c r="A307" i="23"/>
  <c r="C306" i="23"/>
  <c r="D306" i="23"/>
  <c r="F306" i="23"/>
  <c r="D307" i="23" l="1"/>
  <c r="C307" i="23"/>
  <c r="A308" i="23"/>
  <c r="E307" i="23"/>
  <c r="B307" i="23"/>
  <c r="F307" i="23"/>
  <c r="B308" i="23" l="1"/>
  <c r="E308" i="23"/>
  <c r="C308" i="23"/>
  <c r="F308" i="23"/>
  <c r="A309" i="23"/>
  <c r="D308" i="23"/>
  <c r="C309" i="23" l="1"/>
  <c r="F309" i="23"/>
  <c r="A310" i="23"/>
  <c r="E309" i="23"/>
  <c r="D309" i="23"/>
  <c r="B309" i="23"/>
  <c r="D310" i="23" l="1"/>
  <c r="A311" i="23"/>
  <c r="C310" i="23"/>
  <c r="F310" i="23"/>
  <c r="B310" i="23"/>
  <c r="E310" i="23"/>
  <c r="E311" i="23" l="1"/>
  <c r="C311" i="23"/>
  <c r="A312" i="23"/>
  <c r="D311" i="23"/>
  <c r="B311" i="23"/>
  <c r="F311" i="23"/>
  <c r="D312" i="23" l="1"/>
  <c r="B312" i="23"/>
  <c r="E312" i="23"/>
  <c r="C312" i="23"/>
  <c r="A313" i="23"/>
  <c r="F312" i="23"/>
  <c r="B313" i="23" l="1"/>
  <c r="F313" i="23"/>
  <c r="C313" i="23"/>
  <c r="A314" i="23"/>
  <c r="E313" i="23"/>
  <c r="D313" i="23"/>
  <c r="E314" i="23" l="1"/>
  <c r="C314" i="23"/>
  <c r="F314" i="23"/>
  <c r="A315" i="23"/>
  <c r="B314" i="23"/>
  <c r="D314" i="23"/>
  <c r="E315" i="23" l="1"/>
  <c r="B315" i="23"/>
  <c r="F315" i="23"/>
  <c r="C315" i="23"/>
  <c r="A316" i="23"/>
  <c r="D315" i="23"/>
  <c r="E316" i="23" l="1"/>
  <c r="C316" i="23"/>
  <c r="B316" i="23"/>
  <c r="A317" i="23"/>
  <c r="F316" i="23"/>
  <c r="D316" i="23"/>
  <c r="C317" i="23" l="1"/>
  <c r="B317" i="23"/>
  <c r="E317" i="23"/>
  <c r="A318" i="23"/>
  <c r="F317" i="23"/>
  <c r="D317" i="23"/>
  <c r="F318" i="23" l="1"/>
  <c r="B318" i="23"/>
  <c r="E318" i="23"/>
  <c r="D318" i="23"/>
  <c r="A319" i="23"/>
  <c r="C318" i="23"/>
  <c r="E319" i="23" l="1"/>
  <c r="C319" i="23"/>
  <c r="F319" i="23"/>
  <c r="A320" i="23"/>
  <c r="D319" i="23"/>
  <c r="B319" i="23"/>
  <c r="D320" i="23" l="1"/>
  <c r="B320" i="23"/>
  <c r="E320" i="23"/>
  <c r="A321" i="23"/>
  <c r="F320" i="23"/>
  <c r="C320" i="23"/>
  <c r="C321" i="23" l="1"/>
  <c r="B321" i="23"/>
  <c r="A322" i="23"/>
  <c r="E321" i="23"/>
  <c r="F321" i="23"/>
  <c r="D321" i="23"/>
  <c r="A323" i="23" l="1"/>
  <c r="E322" i="23"/>
  <c r="B322" i="23"/>
  <c r="C322" i="23"/>
  <c r="F322" i="23"/>
  <c r="D322" i="23"/>
  <c r="D323" i="23" l="1"/>
  <c r="B323" i="23"/>
  <c r="E323" i="23"/>
  <c r="A324" i="23"/>
  <c r="C323" i="23"/>
  <c r="F323" i="23"/>
  <c r="C324" i="23" l="1"/>
  <c r="F324" i="23"/>
  <c r="D324" i="23"/>
  <c r="E324" i="23"/>
  <c r="A325" i="23"/>
  <c r="B324" i="23"/>
  <c r="B325" i="23" l="1"/>
  <c r="F325" i="23"/>
  <c r="A326" i="23"/>
  <c r="C325" i="23"/>
  <c r="E325" i="23"/>
  <c r="D325" i="23"/>
  <c r="F326" i="23" l="1"/>
  <c r="B326" i="23"/>
  <c r="A327" i="23"/>
  <c r="E326" i="23"/>
  <c r="D326" i="23"/>
  <c r="C326" i="23"/>
  <c r="B327" i="23" l="1"/>
  <c r="A328" i="23"/>
  <c r="D327" i="23"/>
  <c r="F327" i="23"/>
  <c r="E327" i="23"/>
  <c r="C327" i="23"/>
  <c r="D328" i="23" l="1"/>
  <c r="F328" i="23"/>
  <c r="A329" i="23"/>
  <c r="E328" i="23"/>
  <c r="B328" i="23"/>
  <c r="C328" i="23"/>
  <c r="C329" i="23" l="1"/>
  <c r="E329" i="23"/>
  <c r="D329" i="23"/>
  <c r="B329" i="23"/>
  <c r="F329" i="23"/>
  <c r="A330" i="23"/>
  <c r="D330" i="23" l="1"/>
  <c r="B330" i="23"/>
  <c r="C330" i="23"/>
  <c r="F330" i="23"/>
  <c r="E330" i="23"/>
  <c r="A331" i="23"/>
  <c r="D331" i="23" l="1"/>
  <c r="E331" i="23"/>
  <c r="B331" i="23"/>
  <c r="A332" i="23"/>
  <c r="C331" i="23"/>
  <c r="F331" i="23"/>
  <c r="D332" i="23" l="1"/>
  <c r="C332" i="23"/>
  <c r="A333" i="23"/>
  <c r="E332" i="23"/>
  <c r="F332" i="23"/>
  <c r="B332" i="23"/>
  <c r="E333" i="23" l="1"/>
  <c r="C333" i="23"/>
  <c r="F333" i="23"/>
  <c r="D333" i="23"/>
  <c r="B333" i="23"/>
  <c r="A334" i="23"/>
  <c r="F334" i="23" l="1"/>
  <c r="C334" i="23"/>
  <c r="A335" i="23"/>
  <c r="B334" i="23"/>
  <c r="D334" i="23"/>
  <c r="E334" i="23"/>
  <c r="F335" i="23" l="1"/>
  <c r="D335" i="23"/>
  <c r="E335" i="23"/>
  <c r="B335" i="23"/>
  <c r="C335" i="23"/>
  <c r="A336" i="23"/>
  <c r="A337" i="23" l="1"/>
  <c r="C336" i="23"/>
  <c r="B336" i="23"/>
  <c r="D336" i="23"/>
  <c r="E336" i="23"/>
  <c r="F336" i="23"/>
  <c r="B337" i="23" l="1"/>
  <c r="F337" i="23"/>
  <c r="A338" i="23"/>
  <c r="C337" i="23"/>
  <c r="E337" i="23"/>
  <c r="D337" i="23"/>
  <c r="C338" i="23" l="1"/>
  <c r="D338" i="23"/>
  <c r="F338" i="23"/>
  <c r="A339" i="23"/>
  <c r="B338" i="23"/>
  <c r="E338" i="23"/>
  <c r="E339" i="23" l="1"/>
  <c r="B339" i="23"/>
  <c r="D339" i="23"/>
  <c r="A340" i="23"/>
  <c r="C339" i="23"/>
  <c r="F339" i="23"/>
  <c r="B340" i="23" l="1"/>
  <c r="F340" i="23"/>
  <c r="D340" i="23"/>
  <c r="C340" i="23"/>
  <c r="E340" i="23"/>
  <c r="A341" i="23"/>
  <c r="D341" i="23" l="1"/>
  <c r="A342" i="23"/>
  <c r="E341" i="23"/>
  <c r="C341" i="23"/>
  <c r="F341" i="23"/>
  <c r="B341" i="23"/>
  <c r="C342" i="23" l="1"/>
  <c r="A343" i="23"/>
  <c r="D342" i="23"/>
  <c r="B342" i="23"/>
  <c r="E342" i="23"/>
  <c r="F342" i="23"/>
  <c r="F343" i="23" l="1"/>
  <c r="E343" i="23"/>
  <c r="D343" i="23"/>
  <c r="B343" i="23"/>
  <c r="C343" i="23"/>
  <c r="A344" i="23"/>
  <c r="A345" i="23" l="1"/>
  <c r="C344" i="23"/>
  <c r="E344" i="23"/>
  <c r="B344" i="23"/>
  <c r="D344" i="23"/>
  <c r="F344" i="23"/>
  <c r="E345" i="23" l="1"/>
  <c r="F345" i="23"/>
  <c r="C345" i="23"/>
  <c r="A346" i="23"/>
  <c r="D345" i="23"/>
  <c r="B345" i="23"/>
  <c r="B346" i="23" l="1"/>
  <c r="C346" i="23"/>
  <c r="D346" i="23"/>
  <c r="A347" i="23"/>
  <c r="E346" i="23"/>
  <c r="F346" i="23"/>
  <c r="D347" i="23" l="1"/>
  <c r="B347" i="23"/>
  <c r="C347" i="23"/>
  <c r="A348" i="23"/>
  <c r="F347" i="23"/>
  <c r="E347" i="23"/>
  <c r="B348" i="23" l="1"/>
  <c r="A349" i="23"/>
  <c r="E348" i="23"/>
  <c r="F348" i="23"/>
  <c r="C348" i="23"/>
  <c r="D348" i="23"/>
  <c r="A350" i="23" l="1"/>
  <c r="C349" i="23"/>
  <c r="D349" i="23"/>
  <c r="F349" i="23"/>
  <c r="E349" i="23"/>
  <c r="B349" i="23"/>
  <c r="E350" i="23" l="1"/>
  <c r="B350" i="23"/>
  <c r="F350" i="23"/>
  <c r="C350" i="23"/>
  <c r="A351" i="23"/>
  <c r="D350" i="23"/>
  <c r="A352" i="23" l="1"/>
  <c r="D351" i="23"/>
  <c r="F351" i="23"/>
  <c r="E351" i="23"/>
  <c r="C351" i="23"/>
  <c r="B351" i="23"/>
  <c r="C352" i="23" l="1"/>
  <c r="E352" i="23"/>
  <c r="B352" i="23"/>
  <c r="F352" i="23"/>
  <c r="D352" i="23"/>
  <c r="A353" i="23"/>
  <c r="B353" i="23" l="1"/>
  <c r="E353" i="23"/>
  <c r="F353" i="23"/>
  <c r="A354" i="23"/>
  <c r="D353" i="23"/>
  <c r="C353" i="23"/>
  <c r="F354" i="23" l="1"/>
  <c r="E354" i="23"/>
  <c r="D354" i="23"/>
  <c r="C354" i="23"/>
  <c r="B354" i="23"/>
  <c r="A355" i="23"/>
  <c r="D355" i="23" l="1"/>
  <c r="B355" i="23"/>
  <c r="F355" i="23"/>
  <c r="C355" i="23"/>
  <c r="E355" i="23"/>
  <c r="A356" i="23"/>
  <c r="E356" i="23" l="1"/>
  <c r="C356" i="23"/>
  <c r="A357" i="23"/>
  <c r="F356" i="23"/>
  <c r="B356" i="23"/>
  <c r="D356" i="23"/>
  <c r="C357" i="23" l="1"/>
  <c r="E357" i="23"/>
  <c r="B357" i="23"/>
  <c r="A358" i="23"/>
  <c r="F357" i="23"/>
  <c r="D357" i="23"/>
  <c r="B358" i="23" l="1"/>
  <c r="E358" i="23"/>
  <c r="F358" i="23"/>
  <c r="C358" i="23"/>
  <c r="A359" i="23"/>
  <c r="D358" i="23"/>
  <c r="A360" i="23" l="1"/>
  <c r="D359" i="23"/>
  <c r="B359" i="23"/>
  <c r="F359" i="23"/>
  <c r="E359" i="23"/>
  <c r="C359" i="23"/>
  <c r="C360" i="23" l="1"/>
  <c r="D360" i="23"/>
  <c r="A361" i="23"/>
  <c r="E360" i="23"/>
  <c r="B360" i="23"/>
  <c r="F360" i="23"/>
  <c r="A362" i="23" l="1"/>
  <c r="B361" i="23"/>
  <c r="F361" i="23"/>
  <c r="C361" i="23"/>
  <c r="E361" i="23"/>
  <c r="D361" i="23"/>
  <c r="E362" i="23" l="1"/>
  <c r="B362" i="23"/>
  <c r="C362" i="23"/>
  <c r="A363" i="23"/>
  <c r="D362" i="23"/>
  <c r="F362" i="23"/>
  <c r="F363" i="23" l="1"/>
  <c r="D363" i="23"/>
  <c r="C363" i="23"/>
  <c r="E363" i="23"/>
  <c r="B363" i="23"/>
  <c r="A364" i="23"/>
  <c r="D364" i="23" l="1"/>
  <c r="F364" i="23"/>
  <c r="C364" i="23"/>
  <c r="B364" i="23"/>
  <c r="E364" i="23"/>
  <c r="A365" i="23"/>
  <c r="C365" i="23" l="1"/>
  <c r="E365" i="23"/>
  <c r="A366" i="23"/>
  <c r="B365" i="23"/>
  <c r="D365" i="23"/>
  <c r="F365" i="23"/>
  <c r="C366" i="23" l="1"/>
  <c r="E366" i="23"/>
  <c r="F366" i="23"/>
  <c r="A367" i="23"/>
  <c r="D366" i="23"/>
  <c r="B366" i="23"/>
  <c r="F367" i="23" l="1"/>
  <c r="E367" i="23"/>
  <c r="B367" i="23"/>
  <c r="C367" i="23"/>
  <c r="A368" i="23"/>
  <c r="D367" i="23"/>
  <c r="C368" i="23" l="1"/>
  <c r="D368" i="23"/>
  <c r="E368" i="23"/>
  <c r="B368" i="23"/>
  <c r="A369" i="23"/>
  <c r="F368" i="23"/>
  <c r="E369" i="23" l="1"/>
  <c r="B369" i="23"/>
  <c r="A370" i="23"/>
  <c r="F369" i="23"/>
  <c r="D369" i="23"/>
  <c r="C369" i="23"/>
  <c r="E370" i="23" l="1"/>
  <c r="F370" i="23"/>
  <c r="C370" i="23"/>
  <c r="D370" i="23"/>
  <c r="B370" i="23"/>
  <c r="A371" i="23"/>
  <c r="D371" i="23" l="1"/>
  <c r="B371" i="23"/>
  <c r="C371" i="23"/>
  <c r="A372" i="23"/>
  <c r="F371" i="23"/>
  <c r="E371" i="23"/>
  <c r="D372" i="23" l="1"/>
  <c r="E372" i="23"/>
  <c r="C372" i="23"/>
  <c r="F372" i="23"/>
  <c r="A373" i="23"/>
  <c r="B372" i="23"/>
  <c r="D373" i="23" l="1"/>
  <c r="E373" i="23"/>
  <c r="C373" i="23"/>
  <c r="A374" i="23"/>
  <c r="F373" i="23"/>
  <c r="B373" i="23"/>
  <c r="D374" i="23" l="1"/>
  <c r="B374" i="23"/>
  <c r="C374" i="23"/>
  <c r="A375" i="23"/>
  <c r="F374" i="23"/>
  <c r="E374" i="23"/>
  <c r="F375" i="23" l="1"/>
  <c r="A376" i="23"/>
  <c r="C375" i="23"/>
  <c r="D375" i="23"/>
  <c r="E375" i="23"/>
  <c r="B375" i="23"/>
  <c r="C376" i="23" l="1"/>
  <c r="A377" i="23"/>
  <c r="D376" i="23"/>
  <c r="B376" i="23"/>
  <c r="E376" i="23"/>
  <c r="F376" i="23"/>
  <c r="D377" i="23" l="1"/>
  <c r="A378" i="23"/>
  <c r="E377" i="23"/>
  <c r="B377" i="23"/>
  <c r="C377" i="23"/>
  <c r="F377" i="23"/>
  <c r="D378" i="23" l="1"/>
  <c r="F378" i="23"/>
  <c r="B378" i="23"/>
  <c r="A379" i="23"/>
  <c r="C378" i="23"/>
  <c r="E378" i="23"/>
  <c r="D379" i="23" l="1"/>
  <c r="A380" i="23"/>
  <c r="B379" i="23"/>
  <c r="E379" i="23"/>
  <c r="F379" i="23"/>
  <c r="C379" i="23"/>
  <c r="B380" i="23" l="1"/>
  <c r="E380" i="23"/>
  <c r="F380" i="23"/>
  <c r="D380" i="23"/>
  <c r="C380" i="23"/>
  <c r="A381" i="23"/>
  <c r="F381" i="23" l="1"/>
  <c r="A382" i="23"/>
  <c r="E381" i="23"/>
  <c r="D381" i="23"/>
  <c r="B381" i="23"/>
  <c r="C381" i="23"/>
  <c r="F382" i="23" l="1"/>
  <c r="D382" i="23"/>
  <c r="E382" i="23"/>
  <c r="B382" i="23"/>
  <c r="C382" i="23"/>
  <c r="A383" i="23"/>
  <c r="B383" i="23" l="1"/>
  <c r="C383" i="23"/>
  <c r="E383" i="23"/>
  <c r="A384" i="23"/>
  <c r="D383" i="23"/>
  <c r="F383" i="23"/>
  <c r="C384" i="23" l="1"/>
  <c r="E384" i="23"/>
  <c r="F384" i="23"/>
  <c r="A385" i="23"/>
  <c r="B384" i="23"/>
  <c r="D384" i="23"/>
  <c r="A386" i="23" l="1"/>
  <c r="E385" i="23"/>
  <c r="B385" i="23"/>
  <c r="F385" i="23"/>
  <c r="D385" i="23"/>
  <c r="C385" i="23"/>
  <c r="C386" i="23" l="1"/>
  <c r="A387" i="23"/>
  <c r="F386" i="23"/>
  <c r="D386" i="23"/>
  <c r="B386" i="23"/>
  <c r="E386" i="23"/>
  <c r="E387" i="23" l="1"/>
  <c r="B387" i="23"/>
  <c r="D387" i="23"/>
  <c r="F387" i="23"/>
  <c r="A388" i="23"/>
  <c r="C387" i="23"/>
  <c r="A389" i="23" l="1"/>
  <c r="E388" i="23"/>
  <c r="B388" i="23"/>
  <c r="D388" i="23"/>
  <c r="F388" i="23"/>
  <c r="C388" i="23"/>
  <c r="D389" i="23" l="1"/>
  <c r="B389" i="23"/>
  <c r="F389" i="23"/>
  <c r="C389" i="23"/>
  <c r="E389" i="23"/>
  <c r="A390" i="23"/>
  <c r="B390" i="23" l="1"/>
  <c r="C390" i="23"/>
  <c r="D390" i="23"/>
  <c r="E390" i="23"/>
  <c r="F390" i="23"/>
  <c r="A391" i="23"/>
  <c r="E391" i="23" l="1"/>
  <c r="F391" i="23"/>
  <c r="A392" i="23"/>
  <c r="C391" i="23"/>
  <c r="B391" i="23"/>
  <c r="D391" i="23"/>
  <c r="D392" i="23" l="1"/>
  <c r="A393" i="23"/>
  <c r="F392" i="23"/>
  <c r="E392" i="23"/>
  <c r="B392" i="23"/>
  <c r="C392" i="23"/>
  <c r="C393" i="23" l="1"/>
  <c r="D393" i="23"/>
  <c r="F393" i="23"/>
  <c r="E393" i="23"/>
  <c r="B393" i="23"/>
  <c r="A394" i="23"/>
  <c r="A395" i="23" l="1"/>
  <c r="E394" i="23"/>
  <c r="F394" i="23"/>
  <c r="C394" i="23"/>
  <c r="B394" i="23"/>
  <c r="D394" i="23"/>
  <c r="A396" i="23" l="1"/>
  <c r="F395" i="23"/>
  <c r="D395" i="23"/>
  <c r="B395" i="23"/>
  <c r="C395" i="23"/>
  <c r="E395" i="23"/>
  <c r="E396" i="23" l="1"/>
  <c r="C396" i="23"/>
  <c r="A397" i="23"/>
  <c r="F396" i="23"/>
  <c r="B396" i="23"/>
  <c r="D396" i="23"/>
  <c r="B397" i="23" l="1"/>
  <c r="C397" i="23"/>
  <c r="E397" i="23"/>
  <c r="A398" i="23"/>
  <c r="D397" i="23"/>
  <c r="F397" i="23"/>
  <c r="A399" i="23" l="1"/>
  <c r="C398" i="23"/>
  <c r="F398" i="23"/>
  <c r="D398" i="23"/>
  <c r="E398" i="23"/>
  <c r="B398" i="23"/>
  <c r="C399" i="23" l="1"/>
  <c r="E399" i="23"/>
  <c r="B399" i="23"/>
  <c r="D399" i="23"/>
  <c r="F399" i="23"/>
  <c r="A400" i="23"/>
  <c r="F400" i="23" l="1"/>
  <c r="D400" i="23"/>
  <c r="E400" i="23"/>
  <c r="A401" i="23"/>
  <c r="B400" i="23"/>
  <c r="C400" i="23"/>
  <c r="B401" i="23" l="1"/>
  <c r="A402" i="23"/>
  <c r="D401" i="23"/>
  <c r="F401" i="23"/>
  <c r="C401" i="23"/>
  <c r="E401" i="23"/>
  <c r="C402" i="23" l="1"/>
  <c r="B402" i="23"/>
  <c r="A403" i="23"/>
  <c r="D402" i="23"/>
  <c r="E402" i="23"/>
  <c r="F402" i="23"/>
  <c r="C403" i="23" l="1"/>
  <c r="D403" i="23"/>
  <c r="F403" i="23"/>
  <c r="A404" i="23"/>
  <c r="B403" i="23"/>
  <c r="E403" i="23"/>
  <c r="D404" i="23" l="1"/>
  <c r="F404" i="23"/>
  <c r="E404" i="23"/>
  <c r="B404" i="23"/>
  <c r="C404" i="23"/>
  <c r="A405" i="23"/>
  <c r="F405" i="23" l="1"/>
  <c r="C405" i="23"/>
  <c r="E405" i="23"/>
  <c r="D405" i="23"/>
  <c r="A406" i="23"/>
  <c r="B405" i="23"/>
  <c r="E406" i="23" l="1"/>
  <c r="C406" i="23"/>
  <c r="F406" i="23"/>
  <c r="A407" i="23"/>
  <c r="B406" i="23"/>
  <c r="D406" i="23"/>
  <c r="D407" i="23" l="1"/>
  <c r="E407" i="23"/>
  <c r="A408" i="23"/>
  <c r="B407" i="23"/>
  <c r="C407" i="23"/>
  <c r="F407" i="23"/>
  <c r="B408" i="23" l="1"/>
  <c r="C408" i="23"/>
  <c r="D408" i="23"/>
  <c r="E408" i="23"/>
  <c r="F408" i="23"/>
  <c r="A409" i="23"/>
  <c r="E409" i="23" l="1"/>
  <c r="B409" i="23"/>
  <c r="A410" i="23"/>
  <c r="D409" i="23"/>
  <c r="C409" i="23"/>
  <c r="F409" i="23"/>
  <c r="D410" i="23" l="1"/>
  <c r="B410" i="23"/>
  <c r="E410" i="23"/>
  <c r="F410" i="23"/>
  <c r="C410" i="23"/>
  <c r="A411" i="23"/>
  <c r="D411" i="23" l="1"/>
  <c r="E411" i="23"/>
  <c r="C411" i="23"/>
  <c r="F411" i="23"/>
  <c r="B411" i="23"/>
  <c r="A412" i="23"/>
  <c r="E412" i="23" l="1"/>
  <c r="B412" i="23"/>
  <c r="F412" i="23"/>
  <c r="D412" i="23"/>
  <c r="C412" i="23"/>
  <c r="A413" i="23"/>
  <c r="E413" i="23" l="1"/>
  <c r="C413" i="23"/>
  <c r="D413" i="23"/>
  <c r="A414" i="23"/>
  <c r="B413" i="23"/>
  <c r="F413" i="23"/>
  <c r="C414" i="23" l="1"/>
  <c r="F414" i="23"/>
  <c r="E414" i="23"/>
  <c r="D414" i="23"/>
  <c r="B414" i="23"/>
  <c r="A415" i="23"/>
  <c r="B415" i="23" l="1"/>
  <c r="E415" i="23"/>
  <c r="C415" i="23"/>
  <c r="A416" i="23"/>
  <c r="D415" i="23"/>
  <c r="F415" i="23"/>
  <c r="D416" i="23" l="1"/>
  <c r="F416" i="23"/>
  <c r="C416" i="23"/>
  <c r="A417" i="23"/>
  <c r="B416" i="23"/>
  <c r="E416" i="23"/>
  <c r="C417" i="23" l="1"/>
  <c r="F417" i="23"/>
  <c r="D417" i="23"/>
  <c r="A418" i="23"/>
  <c r="B417" i="23"/>
  <c r="E417" i="23"/>
  <c r="F418" i="23" l="1"/>
  <c r="B418" i="23"/>
  <c r="C418" i="23"/>
  <c r="D418" i="23"/>
  <c r="A419" i="23"/>
  <c r="E418" i="23"/>
  <c r="B419" i="23" l="1"/>
  <c r="E419" i="23"/>
  <c r="D419" i="23"/>
  <c r="C419" i="23"/>
  <c r="F419" i="23"/>
  <c r="A420" i="23"/>
  <c r="E420" i="23" l="1"/>
  <c r="B420" i="23"/>
  <c r="D420" i="23"/>
  <c r="F420" i="23"/>
  <c r="A421" i="23"/>
  <c r="C420" i="23"/>
  <c r="C421" i="23" l="1"/>
  <c r="D421" i="23"/>
  <c r="F421" i="23"/>
  <c r="E421" i="23"/>
  <c r="A422" i="23"/>
  <c r="B421" i="23"/>
  <c r="A423" i="23" l="1"/>
  <c r="B422" i="23"/>
  <c r="C422" i="23"/>
  <c r="D422" i="23"/>
  <c r="E422" i="23"/>
  <c r="F422" i="23"/>
  <c r="F423" i="23" l="1"/>
  <c r="C423" i="23"/>
  <c r="A424" i="23"/>
  <c r="D423" i="23"/>
  <c r="E423" i="23"/>
  <c r="B423" i="23"/>
  <c r="C424" i="23" l="1"/>
  <c r="B424" i="23"/>
  <c r="F424" i="23"/>
  <c r="D424" i="23"/>
  <c r="E424" i="23"/>
  <c r="A425" i="23"/>
  <c r="D425" i="23" l="1"/>
  <c r="B425" i="23"/>
  <c r="A426" i="23"/>
  <c r="C425" i="23"/>
  <c r="F425" i="23"/>
  <c r="E425" i="23"/>
  <c r="F426" i="23" l="1"/>
  <c r="A427" i="23"/>
  <c r="B426" i="23"/>
  <c r="C426" i="23"/>
  <c r="D426" i="23"/>
  <c r="E426" i="23"/>
  <c r="F427" i="23" l="1"/>
  <c r="C427" i="23"/>
  <c r="D427" i="23"/>
  <c r="E427" i="23"/>
  <c r="A428" i="23"/>
  <c r="B427" i="23"/>
  <c r="D428" i="23" l="1"/>
  <c r="C428" i="23"/>
  <c r="E428" i="23"/>
  <c r="B428" i="23"/>
  <c r="A429" i="23"/>
  <c r="F428" i="23"/>
  <c r="E429" i="23" l="1"/>
  <c r="B429" i="23"/>
  <c r="C429" i="23"/>
  <c r="D429" i="23"/>
  <c r="A430" i="23"/>
  <c r="F429" i="23"/>
  <c r="E430" i="23" l="1"/>
  <c r="F430" i="23"/>
  <c r="D430" i="23"/>
  <c r="C430" i="23"/>
  <c r="B430" i="23"/>
  <c r="A431" i="23"/>
  <c r="E431" i="23" l="1"/>
  <c r="A432" i="23"/>
  <c r="B431" i="23"/>
  <c r="C431" i="23"/>
  <c r="D431" i="23"/>
  <c r="F431" i="23"/>
  <c r="D432" i="23" l="1"/>
  <c r="E432" i="23"/>
  <c r="C432" i="23"/>
  <c r="B432" i="23"/>
  <c r="A433" i="23"/>
  <c r="F432" i="23"/>
  <c r="A434" i="23" l="1"/>
  <c r="D433" i="23"/>
  <c r="B433" i="23"/>
  <c r="C433" i="23"/>
  <c r="E433" i="23"/>
  <c r="F433" i="23"/>
  <c r="A435" i="23" l="1"/>
  <c r="F434" i="23"/>
  <c r="D434" i="23"/>
  <c r="B434" i="23"/>
  <c r="C434" i="23"/>
  <c r="E434" i="23"/>
  <c r="E435" i="23" l="1"/>
  <c r="B435" i="23"/>
  <c r="A436" i="23"/>
  <c r="C435" i="23"/>
  <c r="D435" i="23"/>
  <c r="F435" i="23"/>
  <c r="A437" i="23" l="1"/>
  <c r="C436" i="23"/>
  <c r="D436" i="23"/>
  <c r="F436" i="23"/>
  <c r="B436" i="23"/>
  <c r="E436" i="23"/>
  <c r="A438" i="23" l="1"/>
  <c r="D437" i="23"/>
  <c r="F437" i="23"/>
  <c r="E437" i="23"/>
  <c r="B437" i="23"/>
  <c r="C437" i="23"/>
  <c r="C438" i="23" l="1"/>
  <c r="F438" i="23"/>
  <c r="D438" i="23"/>
  <c r="E438" i="23"/>
  <c r="A439" i="23"/>
  <c r="B438" i="23"/>
  <c r="B439" i="23" l="1"/>
  <c r="E439" i="23"/>
  <c r="C439" i="23"/>
  <c r="F439" i="23"/>
  <c r="D439" i="23"/>
  <c r="A440" i="23"/>
  <c r="E440" i="23" l="1"/>
  <c r="D440" i="23"/>
  <c r="F440" i="23"/>
  <c r="B440" i="23"/>
  <c r="C440" i="23"/>
  <c r="A441" i="23"/>
  <c r="C441" i="23" l="1"/>
  <c r="F441" i="23"/>
  <c r="B441" i="23"/>
  <c r="D441" i="23"/>
  <c r="A442" i="23"/>
  <c r="E441" i="23"/>
  <c r="A443" i="23" l="1"/>
  <c r="D442" i="23"/>
  <c r="B442" i="23"/>
  <c r="C442" i="23"/>
  <c r="E442" i="23"/>
  <c r="F442" i="23"/>
  <c r="E443" i="23" l="1"/>
  <c r="F443" i="23"/>
  <c r="C443" i="23"/>
  <c r="A444" i="23"/>
  <c r="D443" i="23"/>
  <c r="B443" i="23"/>
  <c r="F444" i="23" l="1"/>
  <c r="C444" i="23"/>
  <c r="D444" i="23"/>
  <c r="A445" i="23"/>
  <c r="E444" i="23"/>
  <c r="B444" i="23"/>
  <c r="B445" i="23" l="1"/>
  <c r="C445" i="23"/>
  <c r="E445" i="23"/>
  <c r="D445" i="23"/>
  <c r="F445" i="23"/>
  <c r="A446" i="23"/>
  <c r="A447" i="23" l="1"/>
  <c r="D446" i="23"/>
  <c r="E446" i="23"/>
  <c r="C446" i="23"/>
  <c r="F446" i="23"/>
  <c r="B446" i="23"/>
  <c r="D447" i="23" l="1"/>
  <c r="A448" i="23"/>
  <c r="C447" i="23"/>
  <c r="F447" i="23"/>
  <c r="E447" i="23"/>
  <c r="B447" i="23"/>
  <c r="E448" i="23" l="1"/>
  <c r="B448" i="23"/>
  <c r="D448" i="23"/>
  <c r="C448" i="23"/>
  <c r="F448" i="23"/>
  <c r="A449" i="23"/>
  <c r="D449" i="23" l="1"/>
  <c r="E449" i="23"/>
  <c r="C449" i="23"/>
  <c r="F449" i="23"/>
  <c r="A450" i="23"/>
  <c r="B449" i="23"/>
  <c r="E450" i="23" l="1"/>
  <c r="F450" i="23"/>
  <c r="C450" i="23"/>
  <c r="D450" i="23"/>
  <c r="B450" i="23"/>
  <c r="A451" i="23"/>
  <c r="E451" i="23" l="1"/>
  <c r="A452" i="23"/>
  <c r="D451" i="23"/>
  <c r="B451" i="23"/>
  <c r="F451" i="23"/>
  <c r="C451" i="23"/>
  <c r="B452" i="23" l="1"/>
  <c r="D452" i="23"/>
  <c r="C452" i="23"/>
  <c r="E452" i="23"/>
  <c r="A453" i="23"/>
  <c r="F452" i="23"/>
  <c r="B453" i="23" l="1"/>
  <c r="F453" i="23"/>
  <c r="C453" i="23"/>
  <c r="E453" i="23"/>
  <c r="A454" i="23"/>
  <c r="D453" i="23"/>
  <c r="B454" i="23" l="1"/>
  <c r="C454" i="23"/>
  <c r="E454" i="23"/>
  <c r="F454" i="23"/>
  <c r="D454" i="23"/>
  <c r="A455" i="23"/>
  <c r="E455" i="23" l="1"/>
  <c r="B455" i="23"/>
  <c r="D455" i="23"/>
  <c r="C455" i="23"/>
  <c r="A456" i="23"/>
  <c r="F455" i="23"/>
  <c r="F456" i="23" l="1"/>
  <c r="E456" i="23"/>
  <c r="C456" i="23"/>
  <c r="A457" i="23"/>
  <c r="D456" i="23"/>
  <c r="B456" i="23"/>
  <c r="E457" i="23" l="1"/>
  <c r="B457" i="23"/>
  <c r="D457" i="23"/>
  <c r="F457" i="23"/>
  <c r="C457" i="23"/>
  <c r="A458" i="23"/>
  <c r="C458" i="23" l="1"/>
  <c r="F458" i="23"/>
  <c r="E458" i="23"/>
  <c r="A459" i="23"/>
  <c r="B458" i="23"/>
  <c r="D458" i="23"/>
  <c r="E459" i="23" l="1"/>
  <c r="D459" i="23"/>
  <c r="B459" i="23"/>
  <c r="F459" i="23"/>
  <c r="C459" i="23"/>
  <c r="A460" i="23"/>
  <c r="E460" i="23" l="1"/>
  <c r="D460" i="23"/>
  <c r="A461" i="23"/>
  <c r="F460" i="23"/>
  <c r="B460" i="23"/>
  <c r="C460" i="23"/>
  <c r="B461" i="23" l="1"/>
  <c r="F461" i="23"/>
  <c r="C461" i="23"/>
  <c r="E461" i="23"/>
  <c r="D461" i="23"/>
  <c r="A462" i="23"/>
  <c r="F462" i="23" l="1"/>
  <c r="C462" i="23"/>
  <c r="E462" i="23"/>
  <c r="A463" i="23"/>
  <c r="B462" i="23"/>
  <c r="D462" i="23"/>
  <c r="B463" i="23" l="1"/>
  <c r="F463" i="23"/>
  <c r="E463" i="23"/>
  <c r="C463" i="23"/>
  <c r="A464" i="23"/>
  <c r="D463" i="23"/>
  <c r="F464" i="23" l="1"/>
  <c r="E464" i="23"/>
  <c r="C464" i="23"/>
  <c r="A465" i="23"/>
  <c r="B464" i="23"/>
  <c r="D464" i="23"/>
  <c r="E465" i="23" l="1"/>
  <c r="A466" i="23"/>
  <c r="C465" i="23"/>
  <c r="B465" i="23"/>
  <c r="F465" i="23"/>
  <c r="D465" i="23"/>
  <c r="B466" i="23" l="1"/>
  <c r="D466" i="23"/>
  <c r="F466" i="23"/>
  <c r="E466" i="23"/>
  <c r="A467" i="23"/>
  <c r="C466" i="23"/>
  <c r="E467" i="23" l="1"/>
  <c r="B467" i="23"/>
  <c r="F467" i="23"/>
  <c r="D467" i="23"/>
  <c r="C467" i="23"/>
  <c r="A468" i="23"/>
  <c r="C468" i="23" l="1"/>
  <c r="D468" i="23"/>
  <c r="F468" i="23"/>
  <c r="B468" i="23"/>
  <c r="A469" i="23"/>
  <c r="E468" i="23"/>
  <c r="E469" i="23" l="1"/>
  <c r="C469" i="23"/>
  <c r="D469" i="23"/>
  <c r="F469" i="23"/>
  <c r="B469" i="23"/>
  <c r="A470" i="23"/>
  <c r="C470" i="23" l="1"/>
  <c r="D470" i="23"/>
  <c r="F470" i="23"/>
  <c r="B470" i="23"/>
  <c r="A471" i="23"/>
  <c r="E470" i="23"/>
  <c r="F471" i="23" l="1"/>
  <c r="D471" i="23"/>
  <c r="C471" i="23"/>
  <c r="A472" i="23"/>
  <c r="E471" i="23"/>
  <c r="B471" i="23"/>
  <c r="D472" i="23" l="1"/>
  <c r="A473" i="23"/>
  <c r="F472" i="23"/>
  <c r="C472" i="23"/>
  <c r="E472" i="23"/>
  <c r="B472" i="23"/>
  <c r="D473" i="23" l="1"/>
  <c r="A474" i="23"/>
  <c r="C473" i="23"/>
  <c r="E473" i="23"/>
  <c r="F473" i="23"/>
  <c r="B473" i="23"/>
  <c r="F474" i="23" l="1"/>
  <c r="D474" i="23"/>
  <c r="C474" i="23"/>
  <c r="A475" i="23"/>
  <c r="E474" i="23"/>
  <c r="B474" i="23"/>
  <c r="F475" i="23" l="1"/>
  <c r="D475" i="23"/>
  <c r="C475" i="23"/>
  <c r="E475" i="23"/>
  <c r="B475" i="23"/>
  <c r="A476" i="23"/>
  <c r="C476" i="23" l="1"/>
  <c r="E476" i="23"/>
  <c r="F476" i="23"/>
  <c r="B476" i="23"/>
  <c r="A477" i="23"/>
  <c r="D476" i="23"/>
  <c r="B477" i="23" l="1"/>
  <c r="D477" i="23"/>
  <c r="F477" i="23"/>
  <c r="C477" i="23"/>
  <c r="E477" i="23"/>
  <c r="A478" i="23"/>
  <c r="B478" i="23" l="1"/>
  <c r="C478" i="23"/>
  <c r="D478" i="23"/>
  <c r="E478" i="23"/>
  <c r="F478" i="23"/>
  <c r="A479" i="23"/>
  <c r="F479" i="23" l="1"/>
  <c r="D479" i="23"/>
  <c r="B479" i="23"/>
  <c r="A480" i="23"/>
  <c r="E479" i="23"/>
  <c r="C479" i="23"/>
  <c r="C480" i="23" l="1"/>
  <c r="B480" i="23"/>
  <c r="E480" i="23"/>
  <c r="F480" i="23"/>
  <c r="D480" i="23"/>
  <c r="A481" i="23"/>
  <c r="C481" i="23" l="1"/>
  <c r="F481" i="23"/>
  <c r="D481" i="23"/>
  <c r="B481" i="23"/>
  <c r="E481" i="23"/>
  <c r="A482" i="23"/>
  <c r="C482" i="23" l="1"/>
  <c r="B482" i="23"/>
  <c r="D482" i="23"/>
  <c r="E482" i="23"/>
  <c r="F482" i="23"/>
  <c r="A483" i="23"/>
  <c r="C483" i="23" l="1"/>
  <c r="E483" i="23"/>
  <c r="F483" i="23"/>
  <c r="A484" i="23"/>
  <c r="D483" i="23"/>
  <c r="B483" i="23"/>
  <c r="C484" i="23" l="1"/>
  <c r="A485" i="23"/>
  <c r="D484" i="23"/>
  <c r="F484" i="23"/>
  <c r="B484" i="23"/>
  <c r="E484" i="23"/>
  <c r="B485" i="23" l="1"/>
  <c r="A486" i="23"/>
  <c r="F485" i="23"/>
  <c r="E485" i="23"/>
  <c r="C485" i="23"/>
  <c r="D485" i="23"/>
  <c r="F486" i="23" l="1"/>
  <c r="B486" i="23"/>
  <c r="A487" i="23"/>
  <c r="E486" i="23"/>
  <c r="D486" i="23"/>
  <c r="C486" i="23"/>
  <c r="C487" i="23" l="1"/>
  <c r="A488" i="23"/>
  <c r="F487" i="23"/>
  <c r="B487" i="23"/>
  <c r="D487" i="23"/>
  <c r="E487" i="23"/>
  <c r="B488" i="23" l="1"/>
  <c r="D488" i="23"/>
  <c r="E488" i="23"/>
  <c r="C488" i="23"/>
  <c r="A489" i="23"/>
  <c r="F488" i="23"/>
  <c r="F489" i="23" l="1"/>
  <c r="D489" i="23"/>
  <c r="E489" i="23"/>
  <c r="B489" i="23"/>
  <c r="C489" i="23"/>
  <c r="A490" i="23"/>
  <c r="E490" i="23" l="1"/>
  <c r="D490" i="23"/>
  <c r="F490" i="23"/>
  <c r="C490" i="23"/>
  <c r="B490" i="23"/>
  <c r="A491" i="23"/>
  <c r="E491" i="23" l="1"/>
  <c r="B491" i="23"/>
  <c r="C491" i="23"/>
  <c r="D491" i="23"/>
  <c r="F491" i="23"/>
  <c r="A492" i="23"/>
  <c r="F492" i="23" l="1"/>
  <c r="C492" i="23"/>
  <c r="B492" i="23"/>
  <c r="D492" i="23"/>
  <c r="A493" i="23"/>
  <c r="E492" i="23"/>
  <c r="B493" i="23" l="1"/>
  <c r="D493" i="23"/>
  <c r="F493" i="23"/>
  <c r="E493" i="23"/>
  <c r="A494" i="23"/>
  <c r="C493" i="23"/>
  <c r="F494" i="23" l="1"/>
  <c r="D494" i="23"/>
  <c r="C494" i="23"/>
  <c r="E494" i="23"/>
  <c r="B494" i="23"/>
  <c r="A495" i="23"/>
  <c r="E495" i="23" l="1"/>
  <c r="C495" i="23"/>
  <c r="B495" i="23"/>
  <c r="D495" i="23"/>
  <c r="F495" i="23"/>
  <c r="A496" i="23"/>
  <c r="B496" i="23" l="1"/>
  <c r="E496" i="23"/>
  <c r="C496" i="23"/>
  <c r="F496" i="23"/>
  <c r="D496" i="23"/>
  <c r="A497" i="23"/>
  <c r="E497" i="23" l="1"/>
  <c r="F497" i="23"/>
  <c r="D497" i="23"/>
  <c r="B497" i="23"/>
  <c r="A498" i="23"/>
  <c r="C497" i="23"/>
  <c r="F498" i="23" l="1"/>
  <c r="D498" i="23"/>
  <c r="C498" i="23"/>
  <c r="E498" i="23"/>
  <c r="B498" i="23"/>
  <c r="A499" i="23"/>
  <c r="E499" i="23" l="1"/>
  <c r="B499" i="23"/>
  <c r="D499" i="23"/>
  <c r="A500" i="23"/>
  <c r="C499" i="23"/>
  <c r="F499" i="23"/>
  <c r="F500" i="23" l="1"/>
  <c r="E500" i="23"/>
  <c r="C500" i="23"/>
  <c r="D500" i="23"/>
  <c r="A501" i="23"/>
  <c r="B500" i="23"/>
  <c r="B501" i="23" l="1"/>
  <c r="E501" i="23"/>
  <c r="D501" i="23"/>
  <c r="F501" i="23"/>
  <c r="C501" i="23"/>
  <c r="A502" i="23"/>
  <c r="F502" i="23" l="1"/>
  <c r="D502" i="23"/>
  <c r="B502" i="23"/>
  <c r="A503" i="23"/>
  <c r="C502" i="23"/>
  <c r="E502" i="23"/>
  <c r="E503" i="23" l="1"/>
  <c r="C503" i="23"/>
  <c r="B503" i="23"/>
  <c r="D503" i="23"/>
  <c r="A504" i="23"/>
  <c r="F503" i="23"/>
  <c r="B504" i="23" l="1"/>
  <c r="E504" i="23"/>
  <c r="F504" i="23"/>
  <c r="A505" i="23"/>
  <c r="C504" i="23"/>
  <c r="D504" i="23"/>
  <c r="E505" i="23" l="1"/>
  <c r="F505" i="23"/>
  <c r="D505" i="23"/>
  <c r="B505" i="23"/>
  <c r="C505" i="23"/>
  <c r="A506" i="23"/>
  <c r="F506" i="23" l="1"/>
  <c r="D506" i="23"/>
  <c r="C506" i="23"/>
  <c r="E506" i="23"/>
  <c r="B506" i="23"/>
  <c r="A507" i="23"/>
  <c r="E507" i="23" l="1"/>
  <c r="C507" i="23"/>
  <c r="B507" i="23"/>
  <c r="D507" i="23"/>
  <c r="F507" i="23"/>
  <c r="A508" i="23"/>
  <c r="F508" i="23" l="1"/>
  <c r="E508" i="23"/>
  <c r="C508" i="23"/>
  <c r="D508" i="23"/>
  <c r="A509" i="23"/>
  <c r="B508" i="23"/>
  <c r="B509" i="23" l="1"/>
  <c r="E509" i="23"/>
  <c r="D509" i="23"/>
  <c r="F509" i="23"/>
  <c r="C509" i="23"/>
  <c r="A510" i="23"/>
  <c r="F510" i="23" l="1"/>
  <c r="D510" i="23"/>
  <c r="C510" i="23"/>
  <c r="E510" i="23"/>
  <c r="B510" i="23"/>
  <c r="A511" i="23"/>
  <c r="E511" i="23" l="1"/>
  <c r="B511" i="23"/>
  <c r="D511" i="23"/>
  <c r="C511" i="23"/>
  <c r="A512" i="23"/>
  <c r="F511" i="23"/>
  <c r="B512" i="23" l="1"/>
  <c r="E512" i="23"/>
  <c r="C512" i="23"/>
  <c r="D512" i="23"/>
  <c r="A513" i="23"/>
  <c r="F512" i="23"/>
  <c r="E513" i="23" l="1"/>
  <c r="F513" i="23"/>
  <c r="D513" i="23"/>
  <c r="B513" i="23"/>
  <c r="C513" i="23"/>
  <c r="A514" i="23"/>
  <c r="F514" i="23" l="1"/>
  <c r="C514" i="23"/>
  <c r="E514" i="23"/>
  <c r="B514" i="23"/>
  <c r="A515" i="23"/>
  <c r="D514" i="23"/>
  <c r="E515" i="23" l="1"/>
  <c r="B515" i="23"/>
  <c r="D515" i="23"/>
  <c r="F515" i="23"/>
  <c r="C515" i="23"/>
  <c r="A516" i="23"/>
  <c r="F516" i="23" l="1"/>
  <c r="E516" i="23"/>
  <c r="C516" i="23"/>
  <c r="D516" i="23"/>
  <c r="A517" i="23"/>
  <c r="B516" i="23"/>
  <c r="B517" i="23" l="1"/>
  <c r="E517" i="23"/>
  <c r="D517" i="23"/>
  <c r="F517" i="23"/>
  <c r="A518" i="23"/>
  <c r="C517" i="23"/>
  <c r="F518" i="23" l="1"/>
  <c r="D518" i="23"/>
  <c r="C518" i="23"/>
  <c r="E518" i="23"/>
  <c r="A519" i="23"/>
  <c r="B518" i="23"/>
  <c r="E519" i="23" l="1"/>
  <c r="C519" i="23"/>
  <c r="F519" i="23"/>
  <c r="A520" i="23"/>
  <c r="B519" i="23"/>
  <c r="D519" i="23"/>
  <c r="B520" i="23" l="1"/>
  <c r="C520" i="23"/>
  <c r="F520" i="23"/>
  <c r="E520" i="23"/>
  <c r="D520" i="23"/>
  <c r="A521" i="23"/>
  <c r="E521" i="23" l="1"/>
  <c r="D521" i="23"/>
  <c r="B521" i="23"/>
  <c r="F521" i="23"/>
  <c r="C521" i="23"/>
  <c r="A522" i="23"/>
  <c r="D522" i="23" l="1"/>
  <c r="C522" i="23"/>
  <c r="E522" i="23"/>
  <c r="B522" i="23"/>
  <c r="A523" i="23"/>
  <c r="F522" i="23"/>
  <c r="E523" i="23" l="1"/>
  <c r="B523" i="23"/>
  <c r="D523" i="23"/>
  <c r="C523" i="23"/>
  <c r="F523" i="23"/>
  <c r="A524" i="23"/>
  <c r="F524" i="23" l="1"/>
  <c r="E524" i="23"/>
  <c r="C524" i="23"/>
  <c r="B524" i="23"/>
  <c r="D524" i="23"/>
  <c r="A525" i="23"/>
  <c r="B525" i="23" l="1"/>
  <c r="D525" i="23"/>
  <c r="F525" i="23"/>
  <c r="C525" i="23"/>
  <c r="E525" i="23"/>
  <c r="A526" i="23"/>
  <c r="F526" i="23" l="1"/>
  <c r="D526" i="23"/>
  <c r="C526" i="23"/>
  <c r="E526" i="23"/>
  <c r="B526" i="23"/>
  <c r="A527" i="23"/>
  <c r="E527" i="23" l="1"/>
  <c r="B527" i="23"/>
  <c r="D527" i="23"/>
  <c r="F527" i="23"/>
  <c r="A528" i="23"/>
  <c r="C527" i="23"/>
  <c r="B528" i="23" l="1"/>
  <c r="C528" i="23"/>
  <c r="E528" i="23"/>
  <c r="F528" i="23"/>
  <c r="D528" i="23"/>
  <c r="A529" i="23"/>
  <c r="E529" i="23" l="1"/>
  <c r="C529" i="23"/>
  <c r="F529" i="23"/>
  <c r="B529" i="23"/>
  <c r="D529" i="23"/>
  <c r="A530" i="23"/>
  <c r="D530" i="23" l="1"/>
  <c r="B530" i="23"/>
  <c r="C530" i="23"/>
  <c r="E530" i="23"/>
  <c r="F530" i="23"/>
  <c r="A531" i="23"/>
  <c r="F531" i="23" l="1"/>
  <c r="E531" i="23"/>
  <c r="C531" i="23"/>
  <c r="B531" i="23"/>
  <c r="D531" i="23"/>
  <c r="A532" i="23"/>
  <c r="F532" i="23" l="1"/>
  <c r="D532" i="23"/>
  <c r="C532" i="23"/>
  <c r="A533" i="23"/>
  <c r="B532" i="23"/>
  <c r="E532" i="23"/>
  <c r="F533" i="23" l="1"/>
  <c r="C533" i="23"/>
  <c r="D533" i="23"/>
  <c r="B533" i="23"/>
  <c r="E533" i="23"/>
  <c r="A534" i="23"/>
  <c r="E534" i="23" l="1"/>
  <c r="B534" i="23"/>
  <c r="D534" i="23"/>
  <c r="C534" i="23"/>
  <c r="F534" i="23"/>
  <c r="A535" i="23"/>
  <c r="E535" i="23" l="1"/>
  <c r="D535" i="23"/>
  <c r="F535" i="23"/>
  <c r="A536" i="23"/>
  <c r="B535" i="23"/>
  <c r="C535" i="23"/>
  <c r="B536" i="23" l="1"/>
  <c r="E536" i="23"/>
  <c r="D536" i="23"/>
  <c r="C536" i="23"/>
  <c r="F536" i="23"/>
  <c r="A537" i="23"/>
  <c r="B537" i="23" l="1"/>
  <c r="D537" i="23"/>
  <c r="C537" i="23"/>
  <c r="E537" i="23"/>
  <c r="F537" i="23"/>
  <c r="A538" i="23"/>
  <c r="B538" i="23" l="1"/>
  <c r="E538" i="23"/>
  <c r="D538" i="23"/>
  <c r="F538" i="23"/>
  <c r="A539" i="23"/>
  <c r="C538" i="23"/>
  <c r="C539" i="23" l="1"/>
  <c r="E539" i="23"/>
  <c r="F539" i="23"/>
  <c r="B539" i="23"/>
  <c r="D539" i="23"/>
  <c r="A540" i="23"/>
  <c r="C540" i="23" l="1"/>
  <c r="D540" i="23"/>
  <c r="F540" i="23"/>
  <c r="B540" i="23"/>
  <c r="E540" i="23"/>
  <c r="A541" i="23"/>
  <c r="D541" i="23" l="1"/>
  <c r="E541" i="23"/>
  <c r="B541" i="23"/>
  <c r="A542" i="23"/>
  <c r="C541" i="23"/>
  <c r="F541" i="23"/>
  <c r="C542" i="23" l="1"/>
  <c r="B542" i="23"/>
  <c r="E542" i="23"/>
  <c r="D542" i="23"/>
  <c r="F542" i="23"/>
  <c r="A543" i="23"/>
  <c r="D543" i="23" l="1"/>
  <c r="E543" i="23"/>
  <c r="B543" i="23"/>
  <c r="F543" i="23"/>
  <c r="C543" i="23"/>
  <c r="A544" i="23"/>
  <c r="D544" i="23" l="1"/>
  <c r="F544" i="23"/>
  <c r="C544" i="23"/>
  <c r="A545" i="23"/>
  <c r="E544" i="23"/>
  <c r="B544" i="23"/>
  <c r="E545" i="23" l="1"/>
  <c r="C545" i="23"/>
  <c r="B545" i="23"/>
  <c r="F545" i="23"/>
  <c r="D545" i="23"/>
  <c r="A546" i="23"/>
  <c r="D546" i="23" l="1"/>
  <c r="F546" i="23"/>
  <c r="A547" i="23"/>
  <c r="E546" i="23"/>
  <c r="B546" i="23"/>
  <c r="C546" i="23"/>
  <c r="E547" i="23" l="1"/>
  <c r="C547" i="23"/>
  <c r="B547" i="23"/>
  <c r="D547" i="23"/>
  <c r="A548" i="23"/>
  <c r="F547" i="23"/>
  <c r="F548" i="23" l="1"/>
  <c r="D548" i="23"/>
  <c r="C548" i="23"/>
  <c r="E548" i="23"/>
  <c r="A549" i="23"/>
  <c r="B548" i="23"/>
  <c r="D549" i="23" l="1"/>
  <c r="C549" i="23"/>
  <c r="B549" i="23"/>
  <c r="E549" i="23"/>
  <c r="A550" i="23"/>
  <c r="F549" i="23"/>
  <c r="E550" i="23" l="1"/>
  <c r="C550" i="23"/>
  <c r="B550" i="23"/>
  <c r="D550" i="23"/>
  <c r="F550" i="23"/>
  <c r="A551" i="23"/>
  <c r="B551" i="23" l="1"/>
  <c r="E551" i="23"/>
  <c r="D551" i="23"/>
  <c r="F551" i="23"/>
  <c r="A552" i="23"/>
  <c r="C551" i="23"/>
  <c r="A553" i="23" l="1"/>
  <c r="D552" i="23"/>
  <c r="E552" i="23"/>
  <c r="F552" i="23"/>
  <c r="B552" i="23"/>
  <c r="C552" i="23"/>
  <c r="A554" i="23" l="1"/>
  <c r="D553" i="23"/>
  <c r="B553" i="23"/>
  <c r="F553" i="23"/>
  <c r="E553" i="23"/>
  <c r="C553" i="23"/>
  <c r="A555" i="23" l="1"/>
  <c r="F554" i="23"/>
  <c r="E554" i="23"/>
  <c r="D554" i="23"/>
  <c r="B554" i="23"/>
  <c r="C554" i="23"/>
  <c r="D555" i="23" l="1"/>
  <c r="B555" i="23"/>
  <c r="A556" i="23"/>
  <c r="C555" i="23"/>
  <c r="F555" i="23"/>
  <c r="E555" i="23"/>
  <c r="E556" i="23" l="1"/>
  <c r="C556" i="23"/>
  <c r="D556" i="23"/>
  <c r="B556" i="23"/>
  <c r="A557" i="23"/>
  <c r="F556" i="23"/>
  <c r="B557" i="23" l="1"/>
  <c r="F557" i="23"/>
  <c r="C557" i="23"/>
  <c r="E557" i="23"/>
  <c r="A558" i="23"/>
  <c r="D557" i="23"/>
  <c r="B558" i="23" l="1"/>
  <c r="E558" i="23"/>
  <c r="F558" i="23"/>
  <c r="D558" i="23"/>
  <c r="C558" i="23"/>
  <c r="A559" i="23"/>
  <c r="F559" i="23" l="1"/>
  <c r="C559" i="23"/>
  <c r="B559" i="23"/>
  <c r="E559" i="23"/>
  <c r="D559" i="23"/>
  <c r="A560" i="23"/>
  <c r="A561" i="23" l="1"/>
  <c r="C560" i="23"/>
  <c r="D560" i="23"/>
  <c r="B560" i="23"/>
  <c r="E560" i="23"/>
  <c r="F560" i="23"/>
  <c r="F561" i="23" l="1"/>
  <c r="C561" i="23"/>
  <c r="B561" i="23"/>
  <c r="E561" i="23"/>
  <c r="D561" i="23"/>
  <c r="A562" i="23"/>
  <c r="A563" i="23" l="1"/>
  <c r="D562" i="23"/>
  <c r="F562" i="23"/>
  <c r="E562" i="23"/>
  <c r="B562" i="23"/>
  <c r="C562" i="23"/>
  <c r="F563" i="23" l="1"/>
  <c r="C563" i="23"/>
  <c r="E563" i="23"/>
  <c r="B563" i="23"/>
  <c r="A564" i="23"/>
  <c r="D563" i="23"/>
  <c r="E564" i="23" l="1"/>
  <c r="A565" i="23"/>
  <c r="F564" i="23"/>
  <c r="C564" i="23"/>
  <c r="B564" i="23"/>
  <c r="D564" i="23"/>
  <c r="B565" i="23" l="1"/>
  <c r="D565" i="23"/>
  <c r="F565" i="23"/>
  <c r="E565" i="23"/>
  <c r="A566" i="23"/>
  <c r="C565" i="23"/>
  <c r="A567" i="23" l="1"/>
  <c r="C566" i="23"/>
  <c r="B566" i="23"/>
  <c r="E566" i="23"/>
  <c r="F566" i="23"/>
  <c r="D566" i="23"/>
  <c r="B567" i="23" l="1"/>
  <c r="D567" i="23"/>
  <c r="E567" i="23"/>
  <c r="F567" i="23"/>
  <c r="A568" i="23"/>
  <c r="C567" i="23"/>
  <c r="A569" i="23" l="1"/>
  <c r="F568" i="23"/>
  <c r="C568" i="23"/>
  <c r="D568" i="23"/>
  <c r="B568" i="23"/>
  <c r="E568" i="23"/>
  <c r="B569" i="23" l="1"/>
  <c r="E569" i="23"/>
  <c r="F569" i="23"/>
  <c r="D569" i="23"/>
  <c r="A570" i="23"/>
  <c r="C569" i="23"/>
  <c r="A571" i="23" l="1"/>
  <c r="B570" i="23"/>
  <c r="C570" i="23"/>
  <c r="D570" i="23"/>
  <c r="E570" i="23"/>
  <c r="F570" i="23"/>
  <c r="B571" i="23" l="1"/>
  <c r="D571" i="23"/>
  <c r="E571" i="23"/>
  <c r="F571" i="23"/>
  <c r="A572" i="23"/>
  <c r="C571" i="23"/>
  <c r="A573" i="23" l="1"/>
  <c r="C572" i="23"/>
  <c r="D572" i="23"/>
  <c r="B572" i="23"/>
  <c r="E572" i="23"/>
  <c r="F572" i="23"/>
  <c r="B573" i="23" l="1"/>
  <c r="D573" i="23"/>
  <c r="F573" i="23"/>
  <c r="C573" i="23"/>
  <c r="E573" i="23"/>
  <c r="A574" i="23"/>
  <c r="A575" i="23" l="1"/>
  <c r="C574" i="23"/>
  <c r="D574" i="23"/>
  <c r="F574" i="23"/>
  <c r="B574" i="23"/>
  <c r="E574" i="23"/>
  <c r="C575" i="23" l="1"/>
  <c r="B575" i="23"/>
  <c r="E575" i="23"/>
  <c r="D575" i="23"/>
  <c r="A576" i="23"/>
  <c r="F575" i="23"/>
  <c r="A577" i="23" l="1"/>
  <c r="F576" i="23"/>
  <c r="D576" i="23"/>
  <c r="C576" i="23"/>
  <c r="B576" i="23"/>
  <c r="E576" i="23"/>
  <c r="B577" i="23" l="1"/>
  <c r="D577" i="23"/>
  <c r="E577" i="23"/>
  <c r="F577" i="23"/>
  <c r="A578" i="23"/>
  <c r="C577" i="23"/>
  <c r="E578" i="23" l="1"/>
  <c r="A579" i="23"/>
  <c r="C578" i="23"/>
  <c r="B578" i="23"/>
  <c r="F578" i="23"/>
  <c r="D578" i="23"/>
  <c r="B579" i="23" l="1"/>
  <c r="E579" i="23"/>
  <c r="F579" i="23"/>
  <c r="A580" i="23"/>
  <c r="D579" i="23"/>
  <c r="C579" i="23"/>
  <c r="A581" i="23" l="1"/>
  <c r="C580" i="23"/>
  <c r="D580" i="23"/>
  <c r="F580" i="23"/>
  <c r="B580" i="23"/>
  <c r="E580" i="23"/>
  <c r="F581" i="23" l="1"/>
  <c r="B581" i="23"/>
  <c r="E581" i="23"/>
  <c r="D581" i="23"/>
  <c r="A582" i="23"/>
  <c r="C581" i="23"/>
  <c r="D582" i="23" l="1"/>
  <c r="C582" i="23"/>
  <c r="F582" i="23"/>
  <c r="A583" i="23"/>
  <c r="E582" i="23"/>
  <c r="B582" i="23"/>
  <c r="B583" i="23" l="1"/>
  <c r="A584" i="23"/>
  <c r="E583" i="23"/>
  <c r="F583" i="23"/>
  <c r="C583" i="23"/>
  <c r="D583" i="23"/>
  <c r="E584" i="23" l="1"/>
  <c r="A585" i="23"/>
  <c r="C584" i="23"/>
  <c r="B584" i="23"/>
  <c r="F584" i="23"/>
  <c r="D584" i="23"/>
  <c r="B585" i="23" l="1"/>
  <c r="E585" i="23"/>
  <c r="F585" i="23"/>
  <c r="D585" i="23"/>
  <c r="C585" i="23"/>
  <c r="A586" i="23"/>
  <c r="A587" i="23" l="1"/>
  <c r="C586" i="23"/>
  <c r="D586" i="23"/>
  <c r="B586" i="23"/>
  <c r="F586" i="23"/>
  <c r="E586" i="23"/>
  <c r="A588" i="23" l="1"/>
  <c r="D587" i="23"/>
  <c r="B587" i="23"/>
  <c r="C587" i="23"/>
  <c r="E587" i="23"/>
  <c r="F587" i="23"/>
  <c r="E588" i="23" l="1"/>
  <c r="C588" i="23"/>
  <c r="F588" i="23"/>
  <c r="D588" i="23"/>
  <c r="B588" i="23"/>
  <c r="A589" i="23"/>
  <c r="E589" i="23" l="1"/>
  <c r="A590" i="23"/>
  <c r="B589" i="23"/>
  <c r="C589" i="23"/>
  <c r="D589" i="23"/>
  <c r="F589" i="23"/>
  <c r="A591" i="23" l="1"/>
  <c r="C590" i="23"/>
  <c r="E590" i="23"/>
  <c r="D590" i="23"/>
  <c r="B590" i="23"/>
  <c r="F590" i="23"/>
  <c r="F591" i="23" l="1"/>
  <c r="B591" i="23"/>
  <c r="E591" i="23"/>
  <c r="D591" i="23"/>
  <c r="A592" i="23"/>
  <c r="C591" i="23"/>
  <c r="B592" i="23" l="1"/>
  <c r="E592" i="23"/>
  <c r="F592" i="23"/>
  <c r="C592" i="23"/>
  <c r="D592" i="23"/>
  <c r="A593" i="23"/>
  <c r="A594" i="23" l="1"/>
  <c r="B593" i="23"/>
  <c r="D593" i="23"/>
  <c r="F593" i="23"/>
  <c r="C593" i="23"/>
  <c r="E593" i="23"/>
  <c r="F594" i="23" l="1"/>
  <c r="B594" i="23"/>
  <c r="D594" i="23"/>
  <c r="A595" i="23"/>
  <c r="E594" i="23"/>
  <c r="C594" i="23"/>
  <c r="D595" i="23" l="1"/>
  <c r="B595" i="23"/>
  <c r="F595" i="23"/>
  <c r="E595" i="23"/>
  <c r="C595" i="23"/>
  <c r="A596" i="23"/>
  <c r="F596" i="23" l="1"/>
  <c r="D596" i="23"/>
  <c r="A597" i="23"/>
  <c r="E596" i="23"/>
  <c r="C596" i="23"/>
  <c r="B596" i="23"/>
  <c r="D597" i="23" l="1"/>
  <c r="E597" i="23"/>
  <c r="C597" i="23"/>
  <c r="B597" i="23"/>
  <c r="F597" i="23"/>
  <c r="A598" i="23"/>
  <c r="D598" i="23" l="1"/>
  <c r="A599" i="23"/>
  <c r="E598" i="23"/>
  <c r="C598" i="23"/>
  <c r="F598" i="23"/>
  <c r="B598" i="23"/>
  <c r="D599" i="23" l="1"/>
  <c r="E599" i="23"/>
  <c r="B599" i="23"/>
  <c r="F599" i="23"/>
  <c r="A600" i="23"/>
  <c r="C599" i="23"/>
  <c r="D600" i="23" l="1"/>
  <c r="E600" i="23"/>
  <c r="C600" i="23"/>
  <c r="A601" i="23"/>
  <c r="B600" i="23"/>
  <c r="F600" i="23"/>
  <c r="B601" i="23" l="1"/>
  <c r="E601" i="23"/>
  <c r="F601" i="23"/>
  <c r="D601" i="23"/>
  <c r="A602" i="23"/>
  <c r="C601" i="23"/>
  <c r="E602" i="23" l="1"/>
  <c r="A603" i="23"/>
  <c r="C602" i="23"/>
  <c r="F602" i="23"/>
  <c r="D602" i="23"/>
  <c r="B602" i="23"/>
  <c r="D603" i="23" l="1"/>
  <c r="B603" i="23"/>
  <c r="C603" i="23"/>
  <c r="F603" i="23"/>
  <c r="A604" i="23"/>
  <c r="E603" i="23"/>
  <c r="A605" i="23" l="1"/>
  <c r="F604" i="23"/>
  <c r="E604" i="23"/>
  <c r="B604" i="23"/>
  <c r="D604" i="23"/>
  <c r="C604" i="23"/>
  <c r="D605" i="23" l="1"/>
  <c r="E605" i="23"/>
  <c r="B605" i="23"/>
  <c r="F605" i="23"/>
  <c r="A606" i="23"/>
  <c r="C605" i="23"/>
  <c r="B606" i="23" l="1"/>
  <c r="F606" i="23"/>
  <c r="A607" i="23"/>
  <c r="D606" i="23"/>
  <c r="E606" i="23"/>
  <c r="C606" i="23"/>
  <c r="B607" i="23" l="1"/>
  <c r="D607" i="23"/>
  <c r="C607" i="23"/>
  <c r="E607" i="23"/>
  <c r="F607" i="23"/>
  <c r="A608" i="23"/>
  <c r="B608" i="23" l="1"/>
  <c r="E608" i="23"/>
  <c r="A609" i="23"/>
  <c r="C608" i="23"/>
  <c r="D608" i="23"/>
  <c r="F608" i="23"/>
  <c r="D609" i="23" l="1"/>
  <c r="B609" i="23"/>
  <c r="A610" i="23"/>
  <c r="F609" i="23"/>
  <c r="E609" i="23"/>
  <c r="C609" i="23"/>
  <c r="F610" i="23" l="1"/>
  <c r="C610" i="23"/>
  <c r="E610" i="23"/>
  <c r="A611" i="23"/>
  <c r="B610" i="23"/>
  <c r="D610" i="23"/>
  <c r="C611" i="23" l="1"/>
  <c r="F611" i="23"/>
  <c r="B611" i="23"/>
  <c r="E611" i="23"/>
  <c r="D611" i="23"/>
  <c r="A612" i="23"/>
  <c r="B612" i="23" l="1"/>
  <c r="E612" i="23"/>
  <c r="D612" i="23"/>
  <c r="C612" i="23"/>
  <c r="F612" i="23"/>
  <c r="A613" i="23"/>
  <c r="E613" i="23" l="1"/>
  <c r="A614" i="23"/>
  <c r="F613" i="23"/>
  <c r="C613" i="23"/>
  <c r="B613" i="23"/>
  <c r="D613" i="23"/>
  <c r="F614" i="23" l="1"/>
  <c r="C614" i="23"/>
  <c r="B614" i="23"/>
  <c r="D614" i="23"/>
  <c r="A615" i="23"/>
  <c r="E614" i="23"/>
  <c r="D615" i="23" l="1"/>
  <c r="E615" i="23"/>
  <c r="C615" i="23"/>
  <c r="F615" i="23"/>
  <c r="B615" i="23"/>
  <c r="A616" i="23"/>
  <c r="A617" i="23" l="1"/>
  <c r="B616" i="23"/>
  <c r="C616" i="23"/>
  <c r="F616" i="23"/>
  <c r="D616" i="23"/>
  <c r="E616" i="23"/>
  <c r="C617" i="23" l="1"/>
  <c r="E617" i="23"/>
  <c r="B617" i="23"/>
  <c r="A618" i="23"/>
  <c r="F617" i="23"/>
  <c r="D617" i="23"/>
  <c r="E618" i="23" l="1"/>
  <c r="D618" i="23"/>
  <c r="B618" i="23"/>
  <c r="A619" i="23"/>
  <c r="F618" i="23"/>
  <c r="C618" i="23"/>
  <c r="D619" i="23" l="1"/>
  <c r="E619" i="23"/>
  <c r="F619" i="23"/>
  <c r="C619" i="23"/>
  <c r="B619" i="23"/>
  <c r="A620" i="23"/>
  <c r="B620" i="23" l="1"/>
  <c r="F620" i="23"/>
  <c r="E620" i="23"/>
  <c r="C620" i="23"/>
  <c r="A621" i="23"/>
  <c r="D620" i="23"/>
  <c r="D621" i="23" l="1"/>
  <c r="E621" i="23"/>
  <c r="B621" i="23"/>
  <c r="A622" i="23"/>
  <c r="F621" i="23"/>
  <c r="C621" i="23"/>
  <c r="B622" i="23" l="1"/>
  <c r="C622" i="23"/>
  <c r="D622" i="23"/>
  <c r="E622" i="23"/>
  <c r="A623" i="23"/>
  <c r="F622" i="23"/>
  <c r="C623" i="23" l="1"/>
  <c r="F623" i="23"/>
  <c r="A624" i="23"/>
  <c r="E623" i="23"/>
  <c r="B623" i="23"/>
  <c r="D623" i="23"/>
  <c r="D624" i="23" l="1"/>
  <c r="B624" i="23"/>
  <c r="A625" i="23"/>
  <c r="F624" i="23"/>
  <c r="C624" i="23"/>
  <c r="E624" i="23"/>
  <c r="A626" i="23" l="1"/>
  <c r="B625" i="23"/>
  <c r="E625" i="23"/>
  <c r="F625" i="23"/>
  <c r="C625" i="23"/>
  <c r="D625" i="23"/>
  <c r="F626" i="23" l="1"/>
  <c r="B626" i="23"/>
  <c r="A627" i="23"/>
  <c r="E626" i="23"/>
  <c r="D626" i="23"/>
  <c r="C626" i="23"/>
  <c r="A628" i="23" l="1"/>
  <c r="D627" i="23"/>
  <c r="F627" i="23"/>
  <c r="B627" i="23"/>
  <c r="C627" i="23"/>
  <c r="E627" i="23"/>
  <c r="A629" i="23" l="1"/>
  <c r="F628" i="23"/>
  <c r="B628" i="23"/>
  <c r="C628" i="23"/>
  <c r="E628" i="23"/>
  <c r="D628" i="23"/>
  <c r="B629" i="23" l="1"/>
  <c r="E629" i="23"/>
  <c r="A630" i="23"/>
  <c r="C629" i="23"/>
  <c r="D629" i="23"/>
  <c r="F629" i="23"/>
  <c r="F630" i="23" l="1"/>
  <c r="B630" i="23"/>
  <c r="A631" i="23"/>
  <c r="D630" i="23"/>
  <c r="C630" i="23"/>
  <c r="E630" i="23"/>
  <c r="A632" i="23" l="1"/>
  <c r="B631" i="23"/>
  <c r="E631" i="23"/>
  <c r="C631" i="23"/>
  <c r="D631" i="23"/>
  <c r="F631" i="23"/>
  <c r="D632" i="23" l="1"/>
  <c r="F632" i="23"/>
  <c r="B632" i="23"/>
  <c r="C632" i="23"/>
  <c r="A633" i="23"/>
  <c r="E632" i="23"/>
  <c r="B633" i="23" l="1"/>
  <c r="E633" i="23"/>
  <c r="D633" i="23"/>
  <c r="C633" i="23"/>
  <c r="F633" i="23"/>
  <c r="A634" i="23"/>
  <c r="D634" i="23" l="1"/>
  <c r="E634" i="23"/>
  <c r="F634" i="23"/>
  <c r="A635" i="23"/>
  <c r="B634" i="23"/>
  <c r="C634" i="23"/>
  <c r="A636" i="23" l="1"/>
  <c r="F635" i="23"/>
  <c r="D635" i="23"/>
  <c r="E635" i="23"/>
  <c r="C635" i="23"/>
  <c r="B635" i="23"/>
  <c r="B636" i="23" l="1"/>
  <c r="A637" i="23"/>
  <c r="E636" i="23"/>
  <c r="F636" i="23"/>
  <c r="D636" i="23"/>
  <c r="C636" i="23"/>
  <c r="A638" i="23" l="1"/>
  <c r="C638" i="23" s="1"/>
  <c r="E637" i="23"/>
  <c r="B637" i="23"/>
  <c r="C637" i="23"/>
  <c r="F637" i="23"/>
  <c r="D637" i="23"/>
  <c r="A639" i="23" l="1"/>
  <c r="B638" i="23"/>
  <c r="F638" i="23"/>
  <c r="D638" i="23"/>
  <c r="E638" i="23"/>
  <c r="A640" i="23" l="1"/>
  <c r="D639" i="23"/>
  <c r="E639" i="23"/>
  <c r="F639" i="23"/>
  <c r="A641" i="23" l="1"/>
  <c r="E640" i="23"/>
  <c r="F640" i="23"/>
  <c r="D640" i="23"/>
  <c r="A642" i="23" l="1"/>
  <c r="E641" i="23"/>
  <c r="F641" i="23"/>
  <c r="D641" i="23"/>
  <c r="A643" i="23" l="1"/>
  <c r="E642" i="23"/>
  <c r="F642" i="23"/>
  <c r="D642" i="23"/>
  <c r="A644" i="23" l="1"/>
  <c r="F643" i="23"/>
  <c r="E643" i="23"/>
  <c r="D643" i="23"/>
  <c r="A645" i="23" l="1"/>
  <c r="E644" i="23"/>
  <c r="F644" i="23"/>
  <c r="D644" i="23"/>
  <c r="A646" i="23" l="1"/>
  <c r="E645" i="23"/>
  <c r="F645" i="23"/>
  <c r="D645" i="23"/>
  <c r="A647" i="23" l="1"/>
  <c r="E646" i="23"/>
  <c r="F646" i="23"/>
  <c r="D646" i="23"/>
  <c r="A648" i="23" l="1"/>
  <c r="F647" i="23"/>
  <c r="E647" i="23"/>
  <c r="D647" i="23"/>
  <c r="A649" i="23" l="1"/>
  <c r="E648" i="23"/>
  <c r="F648" i="23"/>
  <c r="D648" i="23"/>
  <c r="A650" i="23" l="1"/>
  <c r="E649" i="23"/>
  <c r="F649" i="23"/>
  <c r="D649" i="23"/>
  <c r="A651" i="23" l="1"/>
  <c r="E650" i="23"/>
  <c r="F650" i="23"/>
  <c r="D650" i="23"/>
  <c r="A652" i="23" l="1"/>
  <c r="F651" i="23"/>
  <c r="E651" i="23"/>
  <c r="D651" i="23"/>
  <c r="A653" i="23" l="1"/>
  <c r="E652" i="23"/>
  <c r="F652" i="23"/>
  <c r="D652" i="23"/>
  <c r="A654" i="23" l="1"/>
  <c r="E653" i="23"/>
  <c r="F653" i="23"/>
  <c r="D653" i="23"/>
  <c r="A655" i="23" l="1"/>
  <c r="E654" i="23"/>
  <c r="F654" i="23"/>
  <c r="D654" i="23"/>
  <c r="A656" i="23" l="1"/>
  <c r="E655" i="23"/>
  <c r="F655" i="23"/>
  <c r="D655" i="23"/>
  <c r="A657" i="23" l="1"/>
  <c r="E656" i="23"/>
  <c r="F656" i="23"/>
  <c r="D656" i="23"/>
  <c r="A658" i="23" l="1"/>
  <c r="E657" i="23"/>
  <c r="F657" i="23"/>
  <c r="D657" i="23"/>
  <c r="A659" i="23" l="1"/>
  <c r="E658" i="23"/>
  <c r="F658" i="23"/>
  <c r="D658" i="23"/>
  <c r="A660" i="23" l="1"/>
  <c r="E659" i="23"/>
  <c r="F659" i="23"/>
  <c r="D659" i="23"/>
  <c r="A661" i="23" l="1"/>
  <c r="E660" i="23"/>
  <c r="F660" i="23"/>
  <c r="D660" i="23"/>
  <c r="A662" i="23" l="1"/>
  <c r="E661" i="23"/>
  <c r="F661" i="23"/>
  <c r="D661" i="23"/>
  <c r="A663" i="23" l="1"/>
  <c r="E662" i="23"/>
  <c r="F662" i="23"/>
  <c r="D662" i="23"/>
  <c r="A664" i="23" l="1"/>
  <c r="E663" i="23"/>
  <c r="F663" i="23"/>
  <c r="D663" i="23"/>
  <c r="A665" i="23" l="1"/>
  <c r="E664" i="23"/>
  <c r="F664" i="23"/>
  <c r="D664" i="23"/>
  <c r="A666" i="23" l="1"/>
  <c r="E665" i="23"/>
  <c r="F665" i="23"/>
  <c r="D665" i="23"/>
  <c r="A667" i="23" l="1"/>
  <c r="E666" i="23"/>
  <c r="F666" i="23"/>
  <c r="D666" i="23"/>
  <c r="A668" i="23" l="1"/>
  <c r="F667" i="23"/>
  <c r="E667" i="23"/>
  <c r="D667" i="23"/>
  <c r="A669" i="23" l="1"/>
  <c r="E668" i="23"/>
  <c r="F668" i="23"/>
  <c r="D668" i="23"/>
  <c r="A670" i="23" l="1"/>
  <c r="E669" i="23"/>
  <c r="F669" i="23"/>
  <c r="D669" i="23"/>
  <c r="A671" i="23" l="1"/>
  <c r="E670" i="23"/>
  <c r="F670" i="23"/>
  <c r="D670" i="23"/>
  <c r="A672" i="23" l="1"/>
  <c r="F671" i="23"/>
  <c r="E671" i="23"/>
  <c r="D671" i="23"/>
  <c r="A673" i="23" l="1"/>
  <c r="E672" i="23"/>
  <c r="F672" i="23"/>
  <c r="D672" i="23"/>
  <c r="A674" i="23" l="1"/>
  <c r="E673" i="23"/>
  <c r="F673" i="23"/>
  <c r="D673" i="23"/>
  <c r="A675" i="23" l="1"/>
  <c r="E674" i="23"/>
  <c r="F674" i="23"/>
  <c r="D674" i="23"/>
  <c r="A676" i="23" l="1"/>
  <c r="F675" i="23"/>
  <c r="E675" i="23"/>
  <c r="D675" i="23"/>
  <c r="A677" i="23" l="1"/>
  <c r="E676" i="23"/>
  <c r="F676" i="23"/>
  <c r="D676" i="23"/>
  <c r="A678" i="23" l="1"/>
  <c r="E677" i="23"/>
  <c r="F677" i="23"/>
  <c r="D677" i="23"/>
  <c r="A679" i="23" l="1"/>
  <c r="E678" i="23"/>
  <c r="F678" i="23"/>
  <c r="D678" i="23"/>
  <c r="A680" i="23" l="1"/>
  <c r="F679" i="23"/>
  <c r="E679" i="23"/>
  <c r="D679" i="23"/>
  <c r="A681" i="23" l="1"/>
  <c r="E680" i="23"/>
  <c r="F680" i="23"/>
  <c r="D680" i="23"/>
  <c r="A682" i="23" l="1"/>
  <c r="E681" i="23"/>
  <c r="F681" i="23"/>
  <c r="D681" i="23"/>
  <c r="A683" i="23" l="1"/>
  <c r="E682" i="23"/>
  <c r="F682" i="23"/>
  <c r="D682" i="23"/>
  <c r="A684" i="23" l="1"/>
  <c r="E683" i="23"/>
  <c r="F683" i="23"/>
  <c r="D683" i="23"/>
  <c r="A685" i="23" l="1"/>
  <c r="E684" i="23"/>
  <c r="F684" i="23"/>
  <c r="D684" i="23"/>
  <c r="A686" i="23" l="1"/>
  <c r="E685" i="23"/>
  <c r="F685" i="23"/>
  <c r="D685" i="23"/>
  <c r="A687" i="23" l="1"/>
  <c r="E686" i="23"/>
  <c r="F686" i="23"/>
  <c r="D686" i="23"/>
  <c r="A688" i="23" l="1"/>
  <c r="E687" i="23"/>
  <c r="F687" i="23"/>
  <c r="D687" i="23"/>
  <c r="A689" i="23" l="1"/>
  <c r="E688" i="23"/>
  <c r="F688" i="23"/>
  <c r="D688" i="23"/>
  <c r="A690" i="23" l="1"/>
  <c r="E689" i="23"/>
  <c r="F689" i="23"/>
  <c r="D689" i="23"/>
  <c r="A691" i="23" l="1"/>
  <c r="E690" i="23"/>
  <c r="F690" i="23"/>
  <c r="D690" i="23"/>
  <c r="A692" i="23" l="1"/>
  <c r="E691" i="23"/>
  <c r="F691" i="23"/>
  <c r="D691" i="23"/>
  <c r="A693" i="23" l="1"/>
  <c r="E692" i="23"/>
  <c r="F692" i="23"/>
  <c r="D692" i="23"/>
  <c r="E693" i="23" l="1"/>
  <c r="F693" i="23"/>
  <c r="D693" i="23"/>
</calcChain>
</file>

<file path=xl/sharedStrings.xml><?xml version="1.0" encoding="utf-8"?>
<sst xmlns="http://schemas.openxmlformats.org/spreadsheetml/2006/main" count="3097" uniqueCount="904">
  <si>
    <t>INFORME FINAL DE REVISIÓN DE PARES - REALIZA</t>
  </si>
  <si>
    <t>Porcentaje   %</t>
  </si>
  <si>
    <t>DESCRIPCIÓN DE OPORTUNIDAD</t>
  </si>
  <si>
    <t>NOMBRE DE REVISORES DE PARESA</t>
  </si>
  <si>
    <t>NOMBRES Y APELLIDOS</t>
  </si>
  <si>
    <t>CARGO</t>
  </si>
  <si>
    <t>OBSERVACIONES</t>
  </si>
  <si>
    <t>DESCRIPCIÓN</t>
  </si>
  <si>
    <t>Las instrucciones permiten realizar el pase a Testing y a Producción</t>
  </si>
  <si>
    <t>Nombres de variables nemotécnico y con prefijos según tipo de dato</t>
  </si>
  <si>
    <t>Nombres de constantes en Mayúsculas</t>
  </si>
  <si>
    <t>Nombres de clases según estándar SUN (ej: NombreClase)</t>
  </si>
  <si>
    <t>Nombre de paquete con forma estándar (ej: com.integra.apli.modulo1….)</t>
  </si>
  <si>
    <t>ESTANDARES DE PROGRAMACION JAVA</t>
  </si>
  <si>
    <t>Se declara cada variable en su propia línea</t>
  </si>
  <si>
    <t>Se evita la coma para declaraciones o instrucciones múltiples</t>
  </si>
  <si>
    <t>Los IF tienen la forma estándar</t>
  </si>
  <si>
    <t>Las sentencias FOR, WHILE y SWITCH tienen la forma estándar</t>
  </si>
  <si>
    <t>Se usa sentencia finally en statements que manejan conexión a BD</t>
  </si>
  <si>
    <t>Se ha documentado en la parte superior el cambio según el formato estándar</t>
  </si>
  <si>
    <t>Las nuevas clases, métodos y atributos se encuentran autodocumentadas según Javadoc</t>
  </si>
  <si>
    <t>Se incluyen bloques de comentarios para lógica compleja o Bloques de instrucciones</t>
  </si>
  <si>
    <t>Se usa el tipo Big Decimal para información de montos monetarios</t>
  </si>
  <si>
    <t>ESTANDARES PARA JSPS</t>
  </si>
  <si>
    <t>Se usa includes para cabecera, pie, frame izquierdo</t>
  </si>
  <si>
    <t>Se usa includes de Javascript para rutinas de validación fecha, e-mails y otros comunes</t>
  </si>
  <si>
    <t>Se usa Style Sheet</t>
  </si>
  <si>
    <t>MANEJO DE ERRORES</t>
  </si>
  <si>
    <t>Descripción de errores esperados en archivo properties</t>
  </si>
  <si>
    <t>Mensaje de error en el system.err tiene formato estándar (Fecha, hora, usuario, sesión, error, etc.)</t>
  </si>
  <si>
    <t>Se evita dejar impresión en el system.out o system.err para debug o seguimiento</t>
  </si>
  <si>
    <t>Una vez ocurrido un error no recuperable, se deja de procesar los requests subsecuentes</t>
  </si>
  <si>
    <t>Tiene un manejo único para mostrar la página de error ante errores en tiempo de ejecución</t>
  </si>
  <si>
    <t>Para grandes cambios o nuevas aplicaciones se ha realizado el checklist de seguridad</t>
  </si>
  <si>
    <t>Validación de campos inputs y outputs en forms: tipo de datos, longitud, obligatoriedad, charset</t>
  </si>
  <si>
    <t>Para accesos a aplicaciones internas, se valida acceso con rutina general usando LDAP</t>
  </si>
  <si>
    <t>Se ha evitado el envío de parámetros como parte del request</t>
  </si>
  <si>
    <t>Se ha usado filtro para usar charset seguro antes de mostrar la página (ej: &amp;lt en lugar de &lt;)</t>
  </si>
  <si>
    <t>El tamaño de los URLs no exceden los 120 caracteres</t>
  </si>
  <si>
    <t>Se ha evitado bypassear el uso de una clave cuando esta se requiera</t>
  </si>
  <si>
    <t>Se ha evitado el acceso de directorio de servidores mediante URLs</t>
  </si>
  <si>
    <t>Las transacción completa de login para aplicaciones fuera de la red se debe hacer usando SSL</t>
  </si>
  <si>
    <t>Se ha evitado el uso en el URL o descarga de .exe, .bat, .dll, .ocx, .com</t>
  </si>
  <si>
    <t>Para desarrollo de nuevas opciones se ha hecho el seteo de PRAGMA-NOCACHE</t>
  </si>
  <si>
    <t>Los cambios de e-mail se hacen por opciones con autenticación previa y SSL</t>
  </si>
  <si>
    <t>Los passwords son manejados con encriptación</t>
  </si>
  <si>
    <t>La aplicación corre con los privilegios mínimos que requiere para su ejecución</t>
  </si>
  <si>
    <t>Ha sido desarrollado en Websphere Studio Application Developer 5.1 o Superior</t>
  </si>
  <si>
    <t>El Workspace es completo, no es necesario levantar otros archivos para armar ambiente desarrollo</t>
  </si>
  <si>
    <t>Se ha privilegiado la ubicación de .jpg , .gif y similares en servidor de objetos estáticos</t>
  </si>
  <si>
    <t>Se ha usado Servlet API 2.2 o superior</t>
  </si>
  <si>
    <t>Cada objeto .class ha sido entregado con su fuente modificado en el directorio correspondiente</t>
  </si>
  <si>
    <t>Cada fuente .java entregado ha sido entregado con su objeto .class en el directorio correspondiente</t>
  </si>
  <si>
    <t>Coincide el número de versión Harvest de los fuentes .java y sus objetos .class asociados</t>
  </si>
  <si>
    <t>Se ha hecho revisión de fuentes buscando posible código fraudulento</t>
  </si>
  <si>
    <t>SEGUIMIENTO DE INCIDENCIAS</t>
  </si>
  <si>
    <t>FECHA DE REVISIÓN</t>
  </si>
  <si>
    <t>TIPO DE DEFECTO</t>
  </si>
  <si>
    <t>GRADO DE SEVERIDAD</t>
  </si>
  <si>
    <t>DESCRIPCIÓN DEL DEFECTO / OBSERVACIÓN</t>
  </si>
  <si>
    <t>ESFUERZO H/H</t>
  </si>
  <si>
    <t>PROCEDE EL CAMBIO</t>
  </si>
  <si>
    <t>FECHA DE CORRECCIÓN</t>
  </si>
  <si>
    <t>CONCLUSIONES Y RECOMENDACIONES</t>
  </si>
  <si>
    <t>Fecha de Revisión</t>
  </si>
  <si>
    <t>Fase</t>
  </si>
  <si>
    <t>Técnico</t>
  </si>
  <si>
    <t>Descripción del defecto</t>
  </si>
  <si>
    <t>Puntos de Control</t>
  </si>
  <si>
    <t>Objetivo</t>
  </si>
  <si>
    <t>Planificar  y definir las estrategias de revisión de pares.</t>
  </si>
  <si>
    <t>Las celdas con este color de fondo, son celdas que se obtienen mediante fórmula.</t>
  </si>
  <si>
    <t>Hojas</t>
  </si>
  <si>
    <t>Columna</t>
  </si>
  <si>
    <t>Instructivo</t>
  </si>
  <si>
    <t>Esta hoja describe las instrucciones para el uso del artefacto, así como el significado de sus campos.</t>
  </si>
  <si>
    <t>Cabecera</t>
  </si>
  <si>
    <t>Detalle</t>
  </si>
  <si>
    <t>Versión</t>
  </si>
  <si>
    <t>Línea</t>
  </si>
  <si>
    <t>Responsable de la Línea</t>
  </si>
  <si>
    <t>Ciclo</t>
  </si>
  <si>
    <t>Fecha Inicio Ciclo</t>
  </si>
  <si>
    <t>Fecha Fin Ciclo</t>
  </si>
  <si>
    <t>Item</t>
  </si>
  <si>
    <t>Duración H/H</t>
  </si>
  <si>
    <t>Línea de Producción</t>
  </si>
  <si>
    <t>LP01</t>
  </si>
  <si>
    <t>LP02</t>
  </si>
  <si>
    <t>LP03</t>
  </si>
  <si>
    <t>LP04</t>
  </si>
  <si>
    <t>LP05</t>
  </si>
  <si>
    <t>LP06</t>
  </si>
  <si>
    <t>-</t>
  </si>
  <si>
    <t>Responsables</t>
  </si>
  <si>
    <t>Nombre de Entregables</t>
  </si>
  <si>
    <t>Plan de OT</t>
  </si>
  <si>
    <t>Lista Maestra de Requerimientos</t>
  </si>
  <si>
    <t>Modelo de Diseño</t>
  </si>
  <si>
    <t>Otros</t>
  </si>
  <si>
    <t>Tipos de Entregables</t>
  </si>
  <si>
    <t>Registro</t>
  </si>
  <si>
    <t>Documento</t>
  </si>
  <si>
    <t>Fuente</t>
  </si>
  <si>
    <t>Técnica / Procedimiento de Revisión a Utilizar</t>
  </si>
  <si>
    <t>Análisis de Escritorio</t>
  </si>
  <si>
    <t>Análisis de Código</t>
  </si>
  <si>
    <t>Análisis Funcional</t>
  </si>
  <si>
    <t>Precondiciones a Cumplir</t>
  </si>
  <si>
    <t>Los entregables deben de encontrarse liberados</t>
  </si>
  <si>
    <t>Los componentes deben de encontrarse liberados</t>
  </si>
  <si>
    <t>La revisión ha sido planificada y se han definido y preparado los entregables para la revisión</t>
  </si>
  <si>
    <t>CICLO</t>
  </si>
  <si>
    <t>Número de Ciclo</t>
  </si>
  <si>
    <t>Desde</t>
  </si>
  <si>
    <t>Hasta</t>
  </si>
  <si>
    <t>Criterio de entrada al proceso</t>
  </si>
  <si>
    <t>El equipo de revisión cuenta con los requerimientos mínimos establecidos para la revisión en curso</t>
  </si>
  <si>
    <t>El autor considera que el entregable esta completo y correcto</t>
  </si>
  <si>
    <t>Criterio de salida al proceso</t>
  </si>
  <si>
    <t>En la Revisión se han  resuelto los defectos o incidentes por parte del autor</t>
  </si>
  <si>
    <t>En caso que el autor no ha podido remover los defectos, estos serán relevados a la Lista de Incidencias Internas</t>
  </si>
  <si>
    <t>Se viene encontrando un numero máximo (umbral) de defectos</t>
  </si>
  <si>
    <t>Se dan los defectos o incidentes que subsisten como cerrados</t>
  </si>
  <si>
    <t>Sistema/Aplicativo</t>
  </si>
  <si>
    <t>Autor del Entregable</t>
  </si>
  <si>
    <t>Revisado por</t>
  </si>
  <si>
    <t>Descripción del Aplicativo</t>
  </si>
  <si>
    <t>Resultados</t>
  </si>
  <si>
    <t>No Aplica</t>
  </si>
  <si>
    <t>Si Cumple</t>
  </si>
  <si>
    <t>No Conformidad</t>
  </si>
  <si>
    <t>OBSERVACIONES ADICIONALES</t>
  </si>
  <si>
    <t>DOCUMENTO DE PASE (TIPO PR)</t>
  </si>
  <si>
    <t>Se incluyen instrucciones para habilitar acceso a nuevos programas con TRVALSEG activo</t>
  </si>
  <si>
    <t>Se ha evitado indicaciones con comandos CRTPF, CRTLF, CRTPFM, CRTDUPOBJ</t>
  </si>
  <si>
    <t>SOLICITUD(ES) DE PASE - INDICADA(S) EN DOCUMENTO DE PASE (TIPO PR)</t>
  </si>
  <si>
    <t>Solicitud(es) de Pase se encuentran en estado cerrado</t>
  </si>
  <si>
    <t>Solicitud se encuentra asociada al Requerimiento y OT correspondiente</t>
  </si>
  <si>
    <t>Se encuentran todos los objetos previstos en la última versión del documento de diseño</t>
  </si>
  <si>
    <t>Objetos se encuentran en Origen Estándar</t>
  </si>
  <si>
    <t>Fuentes se encuentran en Origen Estándar</t>
  </si>
  <si>
    <t>Destino PENSWRK en Producción para archivos de trabajo</t>
  </si>
  <si>
    <t>Para cambios de estructura de ARCHIVO se han incluido todos los programas con uso que lo refieren</t>
  </si>
  <si>
    <t>Todo programa modificado se ha incluido con su pantalla</t>
  </si>
  <si>
    <t>NOMENCLATURA</t>
  </si>
  <si>
    <t>Programas CLs (*PGM CL) con nombre estándar - CL AAA NNN XX</t>
  </si>
  <si>
    <t>Querys (*QRYDFN) con nombre estándar - QRY AAA NNN</t>
  </si>
  <si>
    <t>Procedures SQL (*PGM CLE) con nombre estándar - P APLI NNN</t>
  </si>
  <si>
    <t>Programas RPG SNAP de nombre TR AAA NNN, con AAA módulo conocido</t>
  </si>
  <si>
    <t>FUENTES PROGRAMAS SNAP - DEFINICION DE ESTRUCTURA DE DATOS</t>
  </si>
  <si>
    <t>Los archivos declarados con acceso A se usan con instrucciones AGREGAR, GRABAR o BORRAR</t>
  </si>
  <si>
    <t>Todas las nuevas variables y arreglos tienen descripción</t>
  </si>
  <si>
    <t>FUENTES PROGRAMAS SNAP - DEFINICION DE PANTALLAS</t>
  </si>
  <si>
    <t xml:space="preserve">Tiene la cabecera estándar </t>
  </si>
  <si>
    <t>Manejo estándar Teclas de Función (F4=Lista, F6=Agregar, F10=Confirmar, etc.)</t>
  </si>
  <si>
    <t>Validación de campos de salida es con "Verificación por Módulo"</t>
  </si>
  <si>
    <t>Errores de validación en pantalla son mostrados con instrucciones MENSAJE y luego ERROR</t>
  </si>
  <si>
    <t>En caso de error el cursor se ubica en el campo con error y este se muestra con contraste invertido</t>
  </si>
  <si>
    <t>FUENTES PROGRAMAS SNAP - DEFINICION DE FORMATOS DE IMPRESIÓN</t>
  </si>
  <si>
    <t>Manejo estándar de cabecera de reporte</t>
  </si>
  <si>
    <t>FUENTES PROGRAMAS SNAP - MODULOS DE PROCESO</t>
  </si>
  <si>
    <t>Uso de rutina INICIA con llamadas a RPVALSIS, TRINIFYP y TRVALSEG</t>
  </si>
  <si>
    <t>Todas las rutinas que no son MAIN son llamadas por otra rutina</t>
  </si>
  <si>
    <t>Rutinas complejas cuentan con textos de apoyo (autodocumentación)</t>
  </si>
  <si>
    <t>FUENTES CLS</t>
  </si>
  <si>
    <t>Existe descripción del cambio en la parte superior del fuente</t>
  </si>
  <si>
    <t>DISEÑO DE ARCHIVOS</t>
  </si>
  <si>
    <t>Para nuevos archivos maestros y permanentes se respeta la 3ra. Forma Normal</t>
  </si>
  <si>
    <t>Para los campos solo se usa tipos CHAR, PACKED o ZONED</t>
  </si>
  <si>
    <t>Campos fecha en CHAR(8) formato AAAAMMDD y Periodo en CHAR(6) formato AAAAMM</t>
  </si>
  <si>
    <t>Montos monetarios en PACKED con 13 enteros y 2 decimales</t>
  </si>
  <si>
    <t>Cuando se requiere auditoria de cambios al archivo, se guarda fecha, hora y usuario actualización</t>
  </si>
  <si>
    <t>Se ha establecido vistas que permitan acotar las búsquedas más comunes</t>
  </si>
  <si>
    <t>FUENTES PROCEDURES SQL</t>
  </si>
  <si>
    <t>Existe descripción del cambio en el procedure</t>
  </si>
  <si>
    <t>No existen referencias explicitas a Bibliotecas</t>
  </si>
  <si>
    <t>QUERYS</t>
  </si>
  <si>
    <t>Los reportes emitidos con Querys muestran en la parte inferior el nombre del Query</t>
  </si>
  <si>
    <t>CONSIDERACIONES DE SEGURIDAD</t>
  </si>
  <si>
    <t>Los accesos a datos restringidos de un cliente (RIA o similares) son manejados con el TRSIS300</t>
  </si>
  <si>
    <t>Para aplicaciones con usuarios de servicio se han considerado los GRANTS mínimos requeridos</t>
  </si>
  <si>
    <t>CONSIDERACIONES VARIAS</t>
  </si>
  <si>
    <t>Archivos registrados por Journal tienen el Parámetro OMTJRNE(*OPNCLO)</t>
  </si>
  <si>
    <t>Para los programas RPG ILE se incluye una descripción del cambio</t>
  </si>
  <si>
    <t>OBJETOS ENTREGADOS EN HARVEST</t>
  </si>
  <si>
    <t>Se ha actualizado la documentación prevista en la evaluación de la orden de trabajo o proyecto</t>
  </si>
  <si>
    <t>Se ha incluido el documento de casos de pruebas con los escenarios previstos</t>
  </si>
  <si>
    <t>COMPARACION DE FUENTES PDM - RPG Y CL</t>
  </si>
  <si>
    <t>Una persona distinta al programador ha realizado comparación de fuentes modificados</t>
  </si>
  <si>
    <t>Los cambios de fuente se muestran relacionados con las especificaciones funcionales</t>
  </si>
  <si>
    <t>Se ha evitado la introducción de hardcodes</t>
  </si>
  <si>
    <t>Se ha hecho revisión buscando posible código fraudulento</t>
  </si>
  <si>
    <t>Puntaje</t>
  </si>
  <si>
    <t>Objetos considerados en pase son entregados por Harvest</t>
  </si>
  <si>
    <t>Cuando se ha cambiado la estructura de un archivo se ha incluido el componente de reformateo</t>
  </si>
  <si>
    <t>Se ha incluido las instrucciones para ejecución de los Scripts de actualización de datos requeridos</t>
  </si>
  <si>
    <t>Nombres de índices nuevos con información de campos componentes</t>
  </si>
  <si>
    <t xml:space="preserve">Nombres de triggers nuevos con forma APL_INS/ELI/ACT_NOMBRETABLA_ANTES/DESPUES </t>
  </si>
  <si>
    <t>Nombres de Jobs con formato APL - Descripción del Job</t>
  </si>
  <si>
    <t>ESTANDARES DE DISEÑO ARCHIVOS (TABLES)</t>
  </si>
  <si>
    <t>Para nuevos archivos maestros permanentes se respeta la 3ra. Forma normal</t>
  </si>
  <si>
    <t>Las tablas tienen índice primario (a excepción de las tablas logs)</t>
  </si>
  <si>
    <t>Se ha evitado el uso del tipo Float</t>
  </si>
  <si>
    <t>Declaración de variables con nombres que permitan la mantenibilidad</t>
  </si>
  <si>
    <t>Sentencias SELECT se han escrito en forma estructurada y no de corrido</t>
  </si>
  <si>
    <t>Las instrucciones SELECT con OR, &lt;&gt; , NOT, IN tienen condición adicional "=" que limita búsqueda</t>
  </si>
  <si>
    <t>Condiciones con SUBSTRING en SELECT tienen condición adicional "=" que limita búsqueda</t>
  </si>
  <si>
    <t>Se han incluido comentarios que permitan entender algoritmos complejos, Bloques de código</t>
  </si>
  <si>
    <t>ESTANDARES PARA VIEWS</t>
  </si>
  <si>
    <t>Los views no tienen complejidad escondida ni lógica en exceso</t>
  </si>
  <si>
    <t>Para aplicaciones on-line se ha definido un rol en la Base de Datos</t>
  </si>
  <si>
    <t>Para aplicaciones on-line los scripts de los procedures tienen GRANT a este rol</t>
  </si>
  <si>
    <t>No existen autorizaciones para ejecución de procedures directamente a usuarios o grupos</t>
  </si>
  <si>
    <t>Para aplicaciones Cliente-Servidor la seguridad esta basado en el usuario Windows y Grupo</t>
  </si>
  <si>
    <t>Se han incluido todos los objetos considerados en la etapa de diseño</t>
  </si>
  <si>
    <t>Existe un script por cada objetos del tipo STORED PROCEDURE, TABLE, VIEW nuevo o modificado</t>
  </si>
  <si>
    <t>Los scripts han sido generados con Windows Text (Ansi)</t>
  </si>
  <si>
    <t>Los scripts han sido incluidos en su subdirectorio correcto en Harvest</t>
  </si>
  <si>
    <t>Se han incluido el documento de casos de pruebas con los escenarios previstos</t>
  </si>
  <si>
    <t xml:space="preserve">COMPARACION DE FUENTES </t>
  </si>
  <si>
    <t>Consideraciones:</t>
  </si>
  <si>
    <t>Se hace referencia a un Manual de Instalación o se incluye sección de Instrucciones de Instalación</t>
  </si>
  <si>
    <t>Para nuevas variables se ha seguido la nomenclatura estándar &lt;prefijo&gt;&lt;nombre&gt;</t>
  </si>
  <si>
    <t>Para nuevos controles se ha modificado el nombre por defecto y usado &lt;prefijo&gt;&lt;nombre&gt;</t>
  </si>
  <si>
    <t>Para nuevas constantes se ha usado el formato estándar</t>
  </si>
  <si>
    <t>Para nuevas rutinas se han usado verbos y forma estándar (ej: MostrarTotal)</t>
  </si>
  <si>
    <t>CONVENCIONES DE PROGRAMACION</t>
  </si>
  <si>
    <t>Cada una de las variables nuevas ha sido declarada en una línea diferente</t>
  </si>
  <si>
    <t>Se ha usado el Option Base 0 para los nuevos arreglos</t>
  </si>
  <si>
    <t>Para nuevos desarrollos la conexión a Base de Datos es mediante ADO, utilizando ODBC</t>
  </si>
  <si>
    <t xml:space="preserve">Cada rutina nueva contiene un comentario sobre lo que hace la misma </t>
  </si>
  <si>
    <t>La declaración de las variables nuevas de uso no trivial tiene un comentario descriptivo</t>
  </si>
  <si>
    <t>Se ha incluido en la parte superior el comentario estándar sobre los cambios efectuados</t>
  </si>
  <si>
    <t>Se ha usado indentación al interior de las rutinas para mejor legibilidad del código</t>
  </si>
  <si>
    <t>Cuando se cambian fuentes se ha entregado una nueva versión del ejecutable</t>
  </si>
  <si>
    <t>Cuando se entrega una nueva versión del ejecutable se ha entregado cambios de fuentes</t>
  </si>
  <si>
    <t>Se ha entregado un nuevo instalador cuando se entrega un nuevo ejecutable</t>
  </si>
  <si>
    <t>COMPARACION DE FUENTES</t>
  </si>
  <si>
    <t>FRAMEWORK</t>
  </si>
  <si>
    <t>Se ha seguido el Patrón MVC (Modelo - Vista - Controlador) para aplicaciones nuevas</t>
  </si>
  <si>
    <t>Se ha usado STRUTS (con JSTL o TILES) para la lógica de Presentación</t>
  </si>
  <si>
    <t>Se ha usado STRUTS para la lógica de control</t>
  </si>
  <si>
    <t>Para nuevas aplicaciones se ha usado SPRING para la lógica de negocio</t>
  </si>
  <si>
    <t>Se ha usado el patrón DAO para la programación del acceso a datos usando JDBC</t>
  </si>
  <si>
    <t>Todos los accesos a bases de datos son vía Stored Procedures</t>
  </si>
  <si>
    <t>PUNTOS DE CONTROL</t>
  </si>
  <si>
    <t>REF.</t>
  </si>
  <si>
    <t>Color</t>
  </si>
  <si>
    <t>Descripción</t>
  </si>
  <si>
    <t>Las celdas con este color de fondo, son celdas en las que se debe ingresar información</t>
  </si>
  <si>
    <t>Las celdas con este color de fondo o con fondo color blanco, son celdas de contenido fijo</t>
  </si>
  <si>
    <t>Títulos de los campos.</t>
  </si>
  <si>
    <t>OBSERVACIONES SUSTENTATORIAS</t>
  </si>
  <si>
    <t>PR</t>
  </si>
  <si>
    <t>UA</t>
  </si>
  <si>
    <t>CS</t>
  </si>
  <si>
    <t>GRS</t>
  </si>
  <si>
    <t>Usuario Autorizado</t>
  </si>
  <si>
    <t>Parte de Requerimiento</t>
  </si>
  <si>
    <t>Coordinador de Sistemas</t>
  </si>
  <si>
    <t>Gestor de Requerimiento de Sistemas</t>
  </si>
  <si>
    <t>GLOSARIO DE TERMINOS</t>
  </si>
  <si>
    <t>SAR</t>
  </si>
  <si>
    <t>Sistema de Atención de Requerimiento</t>
  </si>
  <si>
    <t>HARVEST</t>
  </si>
  <si>
    <t>Sistema de Control de Versiones</t>
  </si>
  <si>
    <t>DP</t>
  </si>
  <si>
    <t>División de Proyectos</t>
  </si>
  <si>
    <t>QA</t>
  </si>
  <si>
    <t>Aseguramiento de la Calidad</t>
  </si>
  <si>
    <t>DDS</t>
  </si>
  <si>
    <t>División de Desarrollo de Sistemas</t>
  </si>
  <si>
    <t>DESCRIPCIÓN DE LA ACCIÓN CORRECTIVA</t>
  </si>
  <si>
    <t>Total</t>
  </si>
  <si>
    <t>N°</t>
  </si>
  <si>
    <t>Resumen de Incidencia por Severidad</t>
  </si>
  <si>
    <t>Tipo de Severidad</t>
  </si>
  <si>
    <t>Total de Incidencias</t>
  </si>
  <si>
    <t>APRECIACIÓN DE LA REVISIÓN</t>
  </si>
  <si>
    <t>BENEFICIO</t>
  </si>
  <si>
    <t>PROCESO</t>
  </si>
  <si>
    <t>LECCIONES APRENDIDAS / OPORTUNIDAD DE MEJORA</t>
  </si>
  <si>
    <t xml:space="preserve">RESULTADO </t>
  </si>
  <si>
    <t>FECHA  REVISION</t>
  </si>
  <si>
    <t>Tipo de Error o incidencia</t>
  </si>
  <si>
    <t>Total general</t>
  </si>
  <si>
    <t>CONSOLIDADO DE REGISTROS</t>
  </si>
  <si>
    <t>FILTRO DE REGISTROS</t>
  </si>
  <si>
    <t>Tipo de Defectos</t>
  </si>
  <si>
    <t>Severidad</t>
  </si>
  <si>
    <t>Si/No/No Aplica</t>
  </si>
  <si>
    <t>Si</t>
  </si>
  <si>
    <t>No</t>
  </si>
  <si>
    <t>Sum of Item</t>
  </si>
  <si>
    <t>Actualizaciones de Manuales incompletas, documento de pase a QA/Producción</t>
  </si>
  <si>
    <t>Análisis de Check List</t>
  </si>
  <si>
    <t>El Autor es el responsable del cumplimiento de todos los puntos de control    Revisar su cumplimiento en forma preliminar durante el diseño
Usarlo en forma definitiva durante las pruebas de aceptación                                            Las respuesta No aplica, deben considerar el porque en la columna comentarios
La revisión debe enfocarse en los cambios realizados                                                                      Se debe completar un puntaje mínimo de 85% durante las pruebas de aceptación</t>
  </si>
  <si>
    <t>CHK Entregables</t>
  </si>
  <si>
    <t>CHK Técnico-AS400</t>
  </si>
  <si>
    <t>CHK Técnico-SQL</t>
  </si>
  <si>
    <t>CHK Técnico-VB</t>
  </si>
  <si>
    <t>CHK Técnico-JAVA</t>
  </si>
  <si>
    <t>Seguimiento de Incidencias</t>
  </si>
  <si>
    <t>Informe Final - Realiza</t>
  </si>
  <si>
    <t>Check List de la revisión de entregables</t>
  </si>
  <si>
    <t>Check List de la revisión de aplicativos AS400</t>
  </si>
  <si>
    <t>Check List de la revisión de aplicativos SQL</t>
  </si>
  <si>
    <t>Check List de la revisión de aplicativos VB</t>
  </si>
  <si>
    <t>Check List de la revisión de aplicativos JAVA</t>
  </si>
  <si>
    <t>Registro de las indicencias y la descripción de las mismas</t>
  </si>
  <si>
    <t>Regitro de la información e indicadores de las revisiones realizadas</t>
  </si>
  <si>
    <t>Referencia de la Línea de Producción</t>
  </si>
  <si>
    <t>Nombre de la persona encargada o responsable de la Línea de Producción</t>
  </si>
  <si>
    <t>Ciclo en el que se generará la revisión</t>
  </si>
  <si>
    <t>Fecha en la que inicia el ciclo de producción</t>
  </si>
  <si>
    <t>Fecha en la que culmina el ciclo de producción</t>
  </si>
  <si>
    <t>Abreviación del aplicativo o sistema al cual pertenece la OT</t>
  </si>
  <si>
    <t>Breve descripción del aplicativo o sistema</t>
  </si>
  <si>
    <t>Nombre del revisor (o par del autor) designado</t>
  </si>
  <si>
    <t>Nombre autor del fuente o entregable</t>
  </si>
  <si>
    <t>Item o referncia rel registro de Check List (cuestionario de preguntas)</t>
  </si>
  <si>
    <t>Puntos de revisión a considerar</t>
  </si>
  <si>
    <t>Análisis o conclusión de la revisión, el cual puede ser: Si cumple, No conformidad o No aplica</t>
  </si>
  <si>
    <t>Descripción de la observación encontrada</t>
  </si>
  <si>
    <t>Fecha en la que se realiza la revisión</t>
  </si>
  <si>
    <t>Descripción de observaciones adicionales de la revisión</t>
  </si>
  <si>
    <t>ITEMS</t>
  </si>
  <si>
    <t>Referencia o numeración de la incidencia encontrada</t>
  </si>
  <si>
    <t>Tipo de defecto o clase encontrada</t>
  </si>
  <si>
    <t>Severidad o importancia de la incidencia encontrada</t>
  </si>
  <si>
    <t>Descripción de la acción correctiva a realizar para solucionar la incidencia encontrada</t>
  </si>
  <si>
    <t>Número de horas de esfuerzo que se ha generado en la actividad de revisión</t>
  </si>
  <si>
    <t>Indicativo de si procede el cambio o modificación de la incidencia</t>
  </si>
  <si>
    <t>Fecha en la que se realiza la corrección de la incidencia u observación</t>
  </si>
  <si>
    <t>Informe Final-Realiza</t>
  </si>
  <si>
    <t>Porcentajes de indicencias por tipo de error</t>
  </si>
  <si>
    <t>Resumen de Incidencia por Tipo</t>
  </si>
  <si>
    <t>Porcentajes de indicencias por severidad</t>
  </si>
  <si>
    <t>Apreciación de la Revisión</t>
  </si>
  <si>
    <t>Descripción de la apreciación del par o revisor</t>
  </si>
  <si>
    <t>Lecciones Aprendidas / Oportunidades de Mejora</t>
  </si>
  <si>
    <t>Descripción de la mejora, su beneficio y  el proceso.</t>
  </si>
  <si>
    <t>Nombre de los revisores de pares</t>
  </si>
  <si>
    <t>Nombre de los colaboradores que participan en la revisión de pares.</t>
  </si>
  <si>
    <t>PO</t>
  </si>
  <si>
    <t>LR</t>
  </si>
  <si>
    <t>Tipo de Defecto</t>
  </si>
  <si>
    <t>Valor Agregado</t>
  </si>
  <si>
    <t>Sssss</t>
  </si>
  <si>
    <t>¿La cantidad de objetos indicados en PR corresponde a los subidos en el Harvest y viceversa?</t>
  </si>
  <si>
    <t>¿Las rutas indicadas para los objetos corresponde a la ruta del Harvest?</t>
  </si>
  <si>
    <r>
      <t xml:space="preserve">Incluye sección de objetos para websphere </t>
    </r>
    <r>
      <rPr>
        <b/>
        <sz val="10"/>
        <rFont val="Arial"/>
        <family val="2"/>
      </rPr>
      <t>O</t>
    </r>
    <r>
      <rPr>
        <sz val="10"/>
        <rFont val="Arial"/>
        <family val="2"/>
      </rPr>
      <t xml:space="preserve"> EAR </t>
    </r>
    <r>
      <rPr>
        <b/>
        <sz val="10"/>
        <rFont val="Arial"/>
        <family val="2"/>
      </rPr>
      <t>O</t>
    </r>
    <r>
      <rPr>
        <sz val="10"/>
        <rFont val="Arial"/>
        <family val="2"/>
      </rPr>
      <t xml:space="preserve"> componente(s) para el pase automático</t>
    </r>
  </si>
  <si>
    <t>ESTANDARES DE PROGRAMACION SCRIPT</t>
  </si>
  <si>
    <t>¿Si es una OT de AS400, se ha indicado el Nro. De Solicitud de Pase ?</t>
  </si>
  <si>
    <t>Descripción del registro</t>
  </si>
  <si>
    <t>Estado</t>
  </si>
  <si>
    <t>Creado</t>
  </si>
  <si>
    <r>
      <t xml:space="preserve">Incluye sección de objetos MS-SQL a pasar </t>
    </r>
    <r>
      <rPr>
        <b/>
        <sz val="10"/>
        <rFont val="Arial"/>
        <family val="2"/>
      </rPr>
      <t>O</t>
    </r>
    <r>
      <rPr>
        <sz val="10"/>
        <rFont val="Arial"/>
        <family val="2"/>
      </rPr>
      <t xml:space="preserve"> componente(s) para el pase automático</t>
    </r>
  </si>
  <si>
    <r>
      <t xml:space="preserve">Incluye Nombre Instalador </t>
    </r>
    <r>
      <rPr>
        <b/>
        <sz val="10"/>
        <rFont val="Arial"/>
        <family val="2"/>
      </rPr>
      <t>O</t>
    </r>
    <r>
      <rPr>
        <sz val="10"/>
        <rFont val="Arial"/>
        <family val="2"/>
      </rPr>
      <t xml:space="preserve"> sección de objetos a instalar </t>
    </r>
    <r>
      <rPr>
        <b/>
        <sz val="10"/>
        <rFont val="Arial"/>
        <family val="2"/>
      </rPr>
      <t>O</t>
    </r>
    <r>
      <rPr>
        <sz val="10"/>
        <rFont val="Arial"/>
        <family val="2"/>
      </rPr>
      <t xml:space="preserve"> componente(s) para el pase automático </t>
    </r>
    <r>
      <rPr>
        <b/>
        <sz val="8"/>
        <rFont val="Arial"/>
        <family val="2"/>
      </rPr>
      <t/>
    </r>
  </si>
  <si>
    <t>TIPO</t>
  </si>
  <si>
    <t>Documentación</t>
  </si>
  <si>
    <t>Baja</t>
  </si>
  <si>
    <t>Media</t>
  </si>
  <si>
    <t>Alta</t>
  </si>
  <si>
    <t>Estandarización</t>
  </si>
  <si>
    <t>Bloqueante</t>
  </si>
  <si>
    <t>Homologación/Versionamiento</t>
  </si>
  <si>
    <t>Homologación/ Versionamiento</t>
  </si>
  <si>
    <t xml:space="preserve">Estandarización </t>
  </si>
  <si>
    <t>Normalización</t>
  </si>
  <si>
    <t>Funcionalidad</t>
  </si>
  <si>
    <t>Es el tipo de defecto al que corresponde el punto de control</t>
  </si>
  <si>
    <t>Estándares</t>
  </si>
  <si>
    <t>Homologación y Versionamiento</t>
  </si>
  <si>
    <t>No se han considerados los estándares  definidos por la AFP</t>
  </si>
  <si>
    <t>Los componentes no se encuentran preparados para ser implementados en Producción (Base de datos, directorios, etc), se encuentran con parámetros de desarrollo</t>
  </si>
  <si>
    <t>No se realizó una correcta homologación del componente.
Los cambios no fueron realizados sobre la última versión.
No se están entregando la totalidad de componentes modificados o estos no se encuentran en las rutas correspondientes</t>
  </si>
  <si>
    <t>La funcionalidad con es la requerida por el cliente.</t>
  </si>
  <si>
    <t>Errores en la aplicación por sintaxis, lógica de programación, etc</t>
  </si>
  <si>
    <t>El Autor es el responsable del cumplimiento de todos los puntos de control    Revisar su cumplimiento en forma preliminar durante el diseño
Usarlo en forma definitiva durante las pruebas de aceptación.  Las respuesta No aplica, deben considerar el porque en la columna comentarios
La revisión debe enfocarse en los cambios realizados                                                                      Se debe completar un puntaje mínimo de 85% durante las pruebas de aceptación</t>
  </si>
  <si>
    <t>ESTANDARES SQL SERVER.doc</t>
  </si>
  <si>
    <t>Estandares VB.doc</t>
  </si>
  <si>
    <t>Principios y Estandares Desarrollo de Sistemas - Cap. 5</t>
  </si>
  <si>
    <t>Ref:</t>
  </si>
  <si>
    <t>Principios y Estandares Desarrollo Sistemas.doc - Cap. 3</t>
  </si>
  <si>
    <t>Ref.</t>
  </si>
  <si>
    <t>OT se encuentra en Pruebas Internas</t>
  </si>
  <si>
    <t>En el caso de opciones nuevas en MENUPRO/PENSION se ha coordinado está con el Consultor.</t>
  </si>
  <si>
    <t>Para el caso de archivos nuevos se han incluido estos en la solicitud de pase</t>
  </si>
  <si>
    <t>Cuando se usa comando CLRPFM, se han indicado  los permisos de usuarios que usarán el archivo</t>
  </si>
  <si>
    <t>¿La cantidad de objetos indicados en PR corresponde a los subidos en el Harvest?</t>
  </si>
  <si>
    <t>En caso de nuevos desarrollos no existe codificación de reglas de negocio o de acceso a Base de datos</t>
  </si>
  <si>
    <t>La versión del Ejecutable indicada en el PR coincide con la versión del ejecutable subido al Harvest</t>
  </si>
  <si>
    <t>Para el caso de ventanas nuevas siguen estás los estándares de la aplicación</t>
  </si>
  <si>
    <t>No se ha usado el objeto UserConnection para nuevas llamadas a procedimientos en Base de Datos</t>
  </si>
  <si>
    <t>Se ha evitado codificar al interior de los controles cualquier código diferente a una llamada a procedimiento</t>
  </si>
  <si>
    <t>¿Toda lógica de negocio está programada en la Base de Datos bajo procedimientos o funciones?</t>
  </si>
  <si>
    <t>Si se ha cambiado la estructura de un archivo que está incluido en la relación de DataMirror, se ha indicado en el PR que debe ser retirado de este para poder ser modificado?</t>
  </si>
  <si>
    <t>Resultado</t>
  </si>
  <si>
    <t>César Villar</t>
  </si>
  <si>
    <t>aaaa</t>
  </si>
  <si>
    <t>ESTANDARES DE PROGRAMACION SINONIMOS</t>
  </si>
  <si>
    <r>
      <t xml:space="preserve">¿Se ha colocado la Nomenclatura de acuerdo a: 
</t>
    </r>
    <r>
      <rPr>
        <b/>
        <sz val="10"/>
        <rFont val="Arial"/>
        <family val="2"/>
      </rPr>
      <t xml:space="preserve">Nombre del sinónimo </t>
    </r>
    <r>
      <rPr>
        <sz val="10"/>
        <rFont val="Arial"/>
        <family val="2"/>
      </rPr>
      <t xml:space="preserve"> [ESQUEMA].[BD_ORIGEN]_[NOMBRE_OBJETO] 
</t>
    </r>
    <r>
      <rPr>
        <b/>
        <sz val="10"/>
        <rFont val="Arial"/>
        <family val="2"/>
      </rPr>
      <t xml:space="preserve">Nombre del script </t>
    </r>
    <r>
      <rPr>
        <sz val="10"/>
        <rFont val="Arial"/>
        <family val="2"/>
      </rPr>
      <t xml:space="preserve"> [ESQUEMA].[BD_ORIGEN]_[NOMBRE_OBJETO].sql ?</t>
    </r>
    <r>
      <rPr>
        <b/>
        <sz val="10"/>
        <rFont val="Arial"/>
        <family val="2"/>
      </rPr>
      <t/>
    </r>
  </si>
  <si>
    <t>Se ha considerado la lectura apropiada no repetitiva de archivos para optimizar el acceso y performance del programa.</t>
  </si>
  <si>
    <t>Se ha seguido el modelo de 3 capas de desarrollo de aplicaciones</t>
  </si>
  <si>
    <r>
      <t xml:space="preserve">Incluye sección de objetos para PC/Cliente </t>
    </r>
    <r>
      <rPr>
        <b/>
        <sz val="10"/>
        <rFont val="Arial"/>
        <family val="2"/>
      </rPr>
      <t>O</t>
    </r>
    <r>
      <rPr>
        <sz val="10"/>
        <rFont val="Arial"/>
        <family val="2"/>
      </rPr>
      <t xml:space="preserve"> ZIP </t>
    </r>
    <r>
      <rPr>
        <b/>
        <sz val="10"/>
        <rFont val="Arial"/>
        <family val="2"/>
      </rPr>
      <t>O</t>
    </r>
    <r>
      <rPr>
        <sz val="10"/>
        <rFont val="Arial"/>
        <family val="2"/>
      </rPr>
      <t xml:space="preserve"> componente(s) para el pase automático</t>
    </r>
  </si>
  <si>
    <t>Nombres de clases según estándar (ej: NombreClase)</t>
  </si>
  <si>
    <t>Nombres de métodos según estándar (ej: GenerarReporte)</t>
  </si>
  <si>
    <t>Nombre de paquete con forma estándar (ej: aplicación.proyecto.capa.funcionalidad)</t>
  </si>
  <si>
    <t>ESTANDARES DE PROGRAMACION .NET</t>
  </si>
  <si>
    <t>Las nuevas clases, métodos y atributos se encuentran documentadas con comentarios XML autogenerados</t>
  </si>
  <si>
    <t>Se usa el tipo decimal para información de montos monetarios</t>
  </si>
  <si>
    <t>Se usa el clase DateTime para fechas</t>
  </si>
  <si>
    <t>Cierre explicito de conexiones (Close o Dispose)</t>
  </si>
  <si>
    <t>ESTANDARES PARA FORMULARIOS</t>
  </si>
  <si>
    <t>Se incluye cabecera de propósito del formulario, campos y salidas.</t>
  </si>
  <si>
    <t>Validación de campos inputs y outputs en forms: tipo de datos, longitud, obligatoriedad</t>
  </si>
  <si>
    <t>Ha sido desarrollado en Microsoft Visual Studio 2003 o superior</t>
  </si>
  <si>
    <t>El Proyecto es completo, no es necesario levantar otros archivos para armar ambiente desarrollo</t>
  </si>
  <si>
    <t>El instalador está preparado para conectarse directamente a los servidores de producción de BD</t>
  </si>
  <si>
    <r>
      <rPr>
        <b/>
        <sz val="10"/>
        <rFont val="Arial"/>
        <family val="2"/>
      </rPr>
      <t>SOLO PARA EL CASO DE PREMIUM</t>
    </r>
    <r>
      <rPr>
        <sz val="10"/>
        <rFont val="Arial"/>
        <family val="2"/>
      </rPr>
      <t>: Se ha indicado en la columna Destino todas las BDs donde se debe compilar el Stored Procedure. Ejemplo: Prem_conta03 y Prem_conta_04 con el fin de mantener la homologación de BDs?</t>
    </r>
  </si>
  <si>
    <t>Nombres de tablas nuevas descriptivos y singulares (ej: SOLICITUD_TRASPASO_ENTRADA)</t>
  </si>
  <si>
    <t>Nombres de campos nuevos con forma DATO_CALIFICADOR_SUJETO</t>
  </si>
  <si>
    <t>Nombres de procedures nuevos con forma APL_ACCION[_PROCESO]_ENTIDAD_CALIFICADOR</t>
  </si>
  <si>
    <t>La nomenclatura de los script, sigue el estándar:
Script_OT9999_N.SQL?</t>
  </si>
  <si>
    <t>Campos fecha en formato DATE (si no requiere registrar la hora) o DATETIME(si requiere registrar la hora) y Periodo formato AAAAMM</t>
  </si>
  <si>
    <t>Campos hora en formato TIME</t>
  </si>
  <si>
    <t>Para datos de última actualización se están grabando los datos de auditoria (Fecha, usuario) con SYSTEM_USER y GETDATE()</t>
  </si>
  <si>
    <t>Campos con valor monetario del tipo DECIMAL(15,2)</t>
  </si>
  <si>
    <t>ESTANDARES DE PROGRAMACION STORED PROCEDURES (FUNCTIONS)</t>
  </si>
  <si>
    <t>Se usa la sentencia EXECUTE solo en caso de acceso a información de una base de datos distinta o para ejecutar procesos sobre la misma BD</t>
  </si>
  <si>
    <t>Nombres cortos para variables que recorren bucles (@i, @j)</t>
  </si>
  <si>
    <t>Evitar el uso de variables tipo tabla</t>
  </si>
  <si>
    <t>Uso de Hint WITH(NOLOCK) para evitar bloqueo de tablas</t>
  </si>
  <si>
    <t>Se evita el uso de CURSOR, se prefiere la creación de tablas temporales con un campo IDENTITY que permita recorrer fila por fila la tabla temporal</t>
  </si>
  <si>
    <t>Para Stored Procedures Nuevos se incluye cabecera con objetivo y parámetros del SP.</t>
  </si>
  <si>
    <t>Se ha incluido la descripción del cambio en la parte superior según formato previsto.</t>
  </si>
  <si>
    <t>¿Los SP, cuentan con sus permisos de acuerdo a los roles permitidos (para SP ejecutados por aplicaciones)?</t>
  </si>
  <si>
    <t>Los scripts de Tablas se han generado con sus índices, foreign keys, defaults y constraints</t>
  </si>
  <si>
    <t>¿Se ha utilizado condicionales para los casos de ALTER TABLE para agregar nuevos campos (Para evitar que se obtenga por error de campo ya existente)?</t>
  </si>
  <si>
    <t>Se ha considerado la carga de la tabla de configuración del sistema (CONARC)</t>
  </si>
  <si>
    <t>Todos los archivos declarados son usados (verificar en el documento AS400_Solicitud_de_Pase_OTXXXX.xls si es antiguo o no)</t>
  </si>
  <si>
    <t>Manejo de Opciones Estándar (2=Cambiar, 4=Eliminar, 5=Consultar, 12=ver detalles, etc.)</t>
  </si>
  <si>
    <t>Existe descripción del cambio en la rutina INICIA según formato previsto (Tomar Formato del modulo INICIA del programa MASCARA)</t>
  </si>
  <si>
    <t>Fuentes se encuentran en Origen Estándar (QCLISRC)</t>
  </si>
  <si>
    <t>Se ha colocado el nombre de la entidad creada en las 6 ultimas posiciones de la descripción.</t>
  </si>
  <si>
    <t>Todos los Cursores declarados son usados</t>
  </si>
  <si>
    <t xml:space="preserve">Se encuentra el documento AS400_Solicitud_de_Pase_OTXXXX.xls </t>
  </si>
  <si>
    <t>Juan Castro</t>
  </si>
  <si>
    <t>Se utiliza código de importación de JavaScript y Style Sheet que permita su versionamiento automático (ej: /style/integra.css?&lt;%=(new java.util.Date()).getTime()%&gt;)</t>
  </si>
  <si>
    <t>OT</t>
  </si>
  <si>
    <t>DOCUMENTO DE PASE (TIPO PR y SOLICITUD DE PASE (excel))</t>
  </si>
  <si>
    <t>Se ha considerado la carga de la tabla de valores para campos código nuevos.</t>
  </si>
  <si>
    <r>
      <t xml:space="preserve">Se incluyeron las </t>
    </r>
    <r>
      <rPr>
        <sz val="9"/>
        <color indexed="8"/>
        <rFont val="Arial"/>
        <family val="2"/>
      </rPr>
      <t>pantallas de los objetos modificados en la solicitud de pase.</t>
    </r>
  </si>
  <si>
    <t>¿Si se creó una nueva opción en el menú se hizo referencia al programa en el PR?</t>
  </si>
  <si>
    <t>ITEMx</t>
  </si>
  <si>
    <t xml:space="preserve">El programa (CL 1) llamará a la ejecución del job (CL 2) mediante el comando SBMJOB pasando como parámetro el nombre del job interactivo que submite y LOG(4 00 *SECLVL) </t>
  </si>
  <si>
    <t>El programa (CL 1) que llame a la submisión del job deberá obtener el nombre del job interactivo (sesión) que lo submite mediante el comando RTVJOBA</t>
  </si>
  <si>
    <t>Todas las nuevas variables tienen descripción</t>
  </si>
  <si>
    <t>CLs de ejecución Batch terminan enviando SNDBRKMSG</t>
  </si>
  <si>
    <t>CLs no manipula lista de Bibliotecas con CHGLIBL, ni invocar programas especificando biblioteca</t>
  </si>
  <si>
    <t>En el caso de opciones nuevas se ha especificado a que grupo de usuarios debe estar asignada la opción</t>
  </si>
  <si>
    <t>Validar que las pantallas sean invocadas en el programa</t>
  </si>
  <si>
    <t>Validar que los formatos de impresión sean invocados en el programa</t>
  </si>
  <si>
    <t>Coincide la versión del archivo AssemblyInfo.cs con la versión del ejecutable.</t>
  </si>
  <si>
    <t>Se ha modificado la versión en el archivo AssemblyInfo.cs</t>
  </si>
  <si>
    <t>Se ha versionado los archivos de proyecto .csproj.</t>
  </si>
  <si>
    <t>TRIGGERS</t>
  </si>
  <si>
    <t>El archivo registrado con el trigger tiene activo el Journal.</t>
  </si>
  <si>
    <t>Para el caso de uso de RPG nativo (RPG ILE) con el trigger, ¿Se ha incluido el programa RPG en el artefacto Solicitud de pase?</t>
  </si>
  <si>
    <t>¿Se ha usado SQL para la ejecución de los triggers?; de ser el caso, validar que el Script se encuentre especificado en el PR.</t>
  </si>
  <si>
    <t>Las sentencias FETCH contienen la misma cantidad de variables que el número de campos seleccionados en el CURSOR.</t>
  </si>
  <si>
    <t>Esta implementado el manejo de errores con TRY..CATCH</t>
  </si>
  <si>
    <t>Diego Mori</t>
  </si>
  <si>
    <t>Autor_Registro</t>
  </si>
  <si>
    <t>Equipo Desarrollo</t>
  </si>
  <si>
    <t>OC</t>
  </si>
  <si>
    <t>Número de la OT en referencia de revisión</t>
  </si>
  <si>
    <t>Número de OC</t>
  </si>
  <si>
    <t>Modificado</t>
  </si>
  <si>
    <t>Solo para Premium: En la sección Comentarios del PR, para los pasos de instalación, se debe indicar únicamente la de tipo manual.</t>
  </si>
  <si>
    <t>Para nuevas constantes se ha usado el formato estándar.</t>
  </si>
  <si>
    <t>Se ha usado indentación al interior de las rutinas para mejor legibilidad del código.</t>
  </si>
  <si>
    <t>REPORTES</t>
  </si>
  <si>
    <t>¿Para el caso de reportes nuevos, éstos han sido realizado a través de un Crystal Report y no desde el código VB?. Salvo excepciones (P.E. Si se requiere tener control sobre la impresora)</t>
  </si>
  <si>
    <t>¿El reporte en Crystal Report tiene su fuente de datos en un Stored Procedure?</t>
  </si>
  <si>
    <t>Todo reporte Crystal Report debe estar en Harvest en las rutas Fuentes y Ejecutables.</t>
  </si>
  <si>
    <t>¿Las hojas y/o formularios tienen los colores y fuentes de la corporación SURA?</t>
  </si>
  <si>
    <r>
      <t xml:space="preserve">Incluye Nombre Instalador </t>
    </r>
    <r>
      <rPr>
        <b/>
        <sz val="10"/>
        <rFont val="Arial"/>
        <family val="2"/>
      </rPr>
      <t>O</t>
    </r>
    <r>
      <rPr>
        <sz val="10"/>
        <rFont val="Arial"/>
        <family val="2"/>
      </rPr>
      <t xml:space="preserve"> sección de objetos a instalar </t>
    </r>
    <r>
      <rPr>
        <b/>
        <sz val="10"/>
        <rFont val="Arial"/>
        <family val="2"/>
      </rPr>
      <t>O</t>
    </r>
    <r>
      <rPr>
        <sz val="10"/>
        <rFont val="Arial"/>
        <family val="2"/>
      </rPr>
      <t xml:space="preserve"> componente(s) para el pase automático.</t>
    </r>
  </si>
  <si>
    <t>Se hace referencia a un Manual de Instalación o se incluye sección de Instrucciones de Instalación.</t>
  </si>
  <si>
    <t>Cada una de las variables nuevas ha sido declarada en una línea diferente.</t>
  </si>
  <si>
    <t>Se ha usado el Option Base 0 para los nuevos arreglos.</t>
  </si>
  <si>
    <t>Para nuevos desarrollos la conexión a Base de Datos es mediante ADO, utilizando ODBC.</t>
  </si>
  <si>
    <t>Cada rutina nueva contiene un comentario sobre lo que hace la misma.</t>
  </si>
  <si>
    <t>La declaración de las variables nuevas de uso no trivial tiene un comentario descriptivo.</t>
  </si>
  <si>
    <t>Se ha incluido en la parte superior el comentario estándar sobre los cambios efectuados.</t>
  </si>
  <si>
    <t>ACTF</t>
  </si>
  <si>
    <t>AFIL</t>
  </si>
  <si>
    <t>ARCH</t>
  </si>
  <si>
    <t>AREC</t>
  </si>
  <si>
    <t>BDMK</t>
  </si>
  <si>
    <t>BENE</t>
  </si>
  <si>
    <t>BONO</t>
  </si>
  <si>
    <t>BSC</t>
  </si>
  <si>
    <t>CNCT</t>
  </si>
  <si>
    <t>CAJA</t>
  </si>
  <si>
    <t>CARG</t>
  </si>
  <si>
    <t>CNTB</t>
  </si>
  <si>
    <t>COBR</t>
  </si>
  <si>
    <t>COMI</t>
  </si>
  <si>
    <t>COSE</t>
  </si>
  <si>
    <t>COTI</t>
  </si>
  <si>
    <t>COTZ</t>
  </si>
  <si>
    <t>CSE</t>
  </si>
  <si>
    <t>ECTA</t>
  </si>
  <si>
    <t>ENCU</t>
  </si>
  <si>
    <t>ESTD</t>
  </si>
  <si>
    <t>GDD</t>
  </si>
  <si>
    <t>INCI</t>
  </si>
  <si>
    <t>INET</t>
  </si>
  <si>
    <t>INVE</t>
  </si>
  <si>
    <t>ISAF</t>
  </si>
  <si>
    <t>IVR</t>
  </si>
  <si>
    <t>LAVA</t>
  </si>
  <si>
    <t>LOGI</t>
  </si>
  <si>
    <t>MELE</t>
  </si>
  <si>
    <t>MENS</t>
  </si>
  <si>
    <t>MIDA</t>
  </si>
  <si>
    <t>NUL</t>
  </si>
  <si>
    <t>PEXC</t>
  </si>
  <si>
    <t>REC</t>
  </si>
  <si>
    <t>RIN</t>
  </si>
  <si>
    <t>ROUT</t>
  </si>
  <si>
    <t>RRHH</t>
  </si>
  <si>
    <t>SCLI</t>
  </si>
  <si>
    <t>SCOM</t>
  </si>
  <si>
    <t>SEGM</t>
  </si>
  <si>
    <t>SEGU</t>
  </si>
  <si>
    <t>SINV</t>
  </si>
  <si>
    <t>SIST</t>
  </si>
  <si>
    <t>SISW</t>
  </si>
  <si>
    <t>SVEN</t>
  </si>
  <si>
    <t>TIN</t>
  </si>
  <si>
    <t>TRAM</t>
  </si>
  <si>
    <t>VISO</t>
  </si>
  <si>
    <t>WEB</t>
  </si>
  <si>
    <t>WM</t>
  </si>
  <si>
    <t>FMCA</t>
  </si>
  <si>
    <t>FMCT</t>
  </si>
  <si>
    <t>FMCO</t>
  </si>
  <si>
    <t>FMCM</t>
  </si>
  <si>
    <t>FMCS</t>
  </si>
  <si>
    <t>FMDE</t>
  </si>
  <si>
    <t>FMGR</t>
  </si>
  <si>
    <t>FMIB</t>
  </si>
  <si>
    <t>FMLA</t>
  </si>
  <si>
    <t>FMOP</t>
  </si>
  <si>
    <t>FMRE</t>
  </si>
  <si>
    <t>FMTR</t>
  </si>
  <si>
    <t>HISTORIAL DE LAS REVISIONES</t>
  </si>
  <si>
    <t>Fecha</t>
  </si>
  <si>
    <t>Autor</t>
  </si>
  <si>
    <t>Responsable de Revisión y/o Aprobación</t>
  </si>
  <si>
    <t>Equipo Implementador SWF</t>
  </si>
  <si>
    <t>Creación de la plantilla.</t>
  </si>
  <si>
    <t>En revisión</t>
  </si>
  <si>
    <t>Jefe de Fábrica</t>
  </si>
  <si>
    <t>Aprobado</t>
  </si>
  <si>
    <t>Alicia Pineda / Cynthia Aniya</t>
  </si>
  <si>
    <t>Se agregó último logo de GMD, campo OC.</t>
  </si>
  <si>
    <t>Carmen Santa Cruz</t>
  </si>
  <si>
    <t>Alicia Pineda</t>
  </si>
  <si>
    <t>Herramienta de Revisión de Pares</t>
  </si>
  <si>
    <t>Se agrega el Historial_Revisiones (versionamiento de la plantilla). Se elimina la columna "Fecha Revisión" en todos los puntos de control para colocarlo en la cabecera.</t>
  </si>
  <si>
    <t>CHECK LIST DE CONTROL - AS/400</t>
  </si>
  <si>
    <t>CHECK LIST DE CONTROL - MSSQL</t>
  </si>
  <si>
    <t>CHECK LIST DE CONTROL - VB</t>
  </si>
  <si>
    <t>CHECK LIST DE CONTROL - JAVA</t>
  </si>
  <si>
    <t>CHECK LIST DE CONTROL - .NET</t>
  </si>
  <si>
    <t>CHECK LIST DE CONTROL - MACROS</t>
  </si>
  <si>
    <t>Se agrega el Historial_Revisiones (versionamiento de la plantilla). Se actualiza el campo Fecha Revisión para que copie la fecha del registro inicial.</t>
  </si>
  <si>
    <t>21/06/201</t>
  </si>
  <si>
    <t>LQP</t>
  </si>
  <si>
    <t>Cod_Aplic</t>
  </si>
  <si>
    <t>Aplicación</t>
  </si>
  <si>
    <t>Activo Fijo</t>
  </si>
  <si>
    <t>Archivo</t>
  </si>
  <si>
    <t>Automático de Reclamos</t>
  </si>
  <si>
    <t>Base de Datos Comercial</t>
  </si>
  <si>
    <t>Beneficios y Pensiones</t>
  </si>
  <si>
    <t>Bono de Reconocimiento</t>
  </si>
  <si>
    <t>Balanced Scorecard</t>
  </si>
  <si>
    <t>Cargos (Correo)</t>
  </si>
  <si>
    <t>Contabilidad</t>
  </si>
  <si>
    <t>Cobranzas</t>
  </si>
  <si>
    <t>Sistema Comisiones (RRHH)</t>
  </si>
  <si>
    <t>Cosechas</t>
  </si>
  <si>
    <t>Cotizador de Pensiones</t>
  </si>
  <si>
    <t>Recaudo y Cotización</t>
  </si>
  <si>
    <t>Estados de Cuenta</t>
  </si>
  <si>
    <t>Encuestas Personal</t>
  </si>
  <si>
    <t>Estadísticas Directorio</t>
  </si>
  <si>
    <t>Fondos Sura - Caja/Bancos</t>
  </si>
  <si>
    <t>Fondos Sura - Comercial</t>
  </si>
  <si>
    <t>Fondos Sura - Comisiones</t>
  </si>
  <si>
    <t>Fondos Sura - CONASEV</t>
  </si>
  <si>
    <t>Fondos Sura - Contabilidad</t>
  </si>
  <si>
    <t>Fondos Sura - Depósitos</t>
  </si>
  <si>
    <t>Fondos Sura - Generador de Rescates</t>
  </si>
  <si>
    <t>Fondos Sura - Interfaz a Bancos</t>
  </si>
  <si>
    <t>Fondos Sura - Lavado de Activos</t>
  </si>
  <si>
    <t>Fondos Sura - Operaciones</t>
  </si>
  <si>
    <t>Fondos Sura - Reportes</t>
  </si>
  <si>
    <t>Fondos Sura - Tributación</t>
  </si>
  <si>
    <t>Intranet Integra</t>
  </si>
  <si>
    <t>MIDAS - Inversiones</t>
  </si>
  <si>
    <t>Información para la SAFP</t>
  </si>
  <si>
    <t>IVR - Contact Center</t>
  </si>
  <si>
    <t>Logística</t>
  </si>
  <si>
    <t>MELER</t>
  </si>
  <si>
    <t>Mensajería electrónica</t>
  </si>
  <si>
    <t>Nulidad</t>
  </si>
  <si>
    <t>Reclamos</t>
  </si>
  <si>
    <t>Rezagos IN</t>
  </si>
  <si>
    <t>Rezagos OUT</t>
  </si>
  <si>
    <t>Servicio al Cliente</t>
  </si>
  <si>
    <t>Seguridad (Sistemas)</t>
  </si>
  <si>
    <t>Soporte de Ventas</t>
  </si>
  <si>
    <t>Tramites Previsionales</t>
  </si>
  <si>
    <t>Web Integra</t>
  </si>
  <si>
    <t>Código</t>
  </si>
  <si>
    <t>ADAS</t>
  </si>
  <si>
    <t>Adryan AS400 - Consultas</t>
  </si>
  <si>
    <t>Afiliación y Traspasos</t>
  </si>
  <si>
    <t>BCOS</t>
  </si>
  <si>
    <t>Recepción de datos de recaudo de bancos</t>
  </si>
  <si>
    <t>Contact Center</t>
  </si>
  <si>
    <t>Caja / Bancos</t>
  </si>
  <si>
    <t>CART</t>
  </si>
  <si>
    <t>Cartas Automáticas Reclamos</t>
  </si>
  <si>
    <t>CHEQ</t>
  </si>
  <si>
    <t>Impresión de cheques</t>
  </si>
  <si>
    <t>COAS</t>
  </si>
  <si>
    <t>Contabilidad - AS400</t>
  </si>
  <si>
    <t>CRM</t>
  </si>
  <si>
    <t>CRM PeopleSoft</t>
  </si>
  <si>
    <t>Servicio al Empleador</t>
  </si>
  <si>
    <t>DEJU</t>
  </si>
  <si>
    <t>Estudios Juridicos</t>
  </si>
  <si>
    <t>EASY</t>
  </si>
  <si>
    <t>Easycob - Gestión de Cobranzas</t>
  </si>
  <si>
    <t>EBEN</t>
  </si>
  <si>
    <t>Beneficios (Nuevo Sistema)</t>
  </si>
  <si>
    <t>FRAC</t>
  </si>
  <si>
    <t>Regimen de Fraccionamiento Deudas</t>
  </si>
  <si>
    <t>GDD - Evaluación de Competencias y desempeño</t>
  </si>
  <si>
    <t>GENB</t>
  </si>
  <si>
    <t>Generación cartas masivas Bono</t>
  </si>
  <si>
    <t>IE</t>
  </si>
  <si>
    <t>Integra empresarial</t>
  </si>
  <si>
    <t>IFD</t>
  </si>
  <si>
    <t>Valoración/Informe Diario (AS/400)</t>
  </si>
  <si>
    <t>Registro de Incidencias</t>
  </si>
  <si>
    <t>Inversiones (Sistema Antiguo)</t>
  </si>
  <si>
    <t>IPRD</t>
  </si>
  <si>
    <t>Informe Diario de Afiliaciones y Traspasos</t>
  </si>
  <si>
    <t>Lavado de dinero</t>
  </si>
  <si>
    <t>LFIM</t>
  </si>
  <si>
    <t>Importación Planillas Digitalizadas</t>
  </si>
  <si>
    <t>PARM</t>
  </si>
  <si>
    <t>Parametros de Sistemas</t>
  </si>
  <si>
    <t>PAYB</t>
  </si>
  <si>
    <t>Payben</t>
  </si>
  <si>
    <t>Pagos en Exceso (AS/400)</t>
  </si>
  <si>
    <t>PEXP</t>
  </si>
  <si>
    <t>Pagos en exceso (PC)</t>
  </si>
  <si>
    <t>PPO</t>
  </si>
  <si>
    <t>Plan de pensión optima</t>
  </si>
  <si>
    <t>PROV</t>
  </si>
  <si>
    <t>Provisiones Descentralizadas</t>
  </si>
  <si>
    <t>RPLA</t>
  </si>
  <si>
    <t>Recepción planillas empleadores en medio magnético</t>
  </si>
  <si>
    <t>Recursos Humanos (Adryan)</t>
  </si>
  <si>
    <t>Intranet Requerimientos Sistemas</t>
  </si>
  <si>
    <t>Comercial (AS/400)</t>
  </si>
  <si>
    <t>Segmentación</t>
  </si>
  <si>
    <t>Evaluación Interactiva SPP</t>
  </si>
  <si>
    <t>SGES</t>
  </si>
  <si>
    <t>Indicadores de gestión comercial</t>
  </si>
  <si>
    <t>Seguimiento a Promotores en Investigación</t>
  </si>
  <si>
    <t>Utilitarios de Sistemas</t>
  </si>
  <si>
    <t>Utilitarios de Sistemas - Web</t>
  </si>
  <si>
    <t xml:space="preserve">Traspasos </t>
  </si>
  <si>
    <t>TRAN</t>
  </si>
  <si>
    <t>Transferencia de Archivos</t>
  </si>
  <si>
    <t>UTCO</t>
  </si>
  <si>
    <t>Utilitarios Cobranzas</t>
  </si>
  <si>
    <t>Visor de Imágenes</t>
  </si>
  <si>
    <t>FMUT</t>
  </si>
  <si>
    <t>Utilitarios FM_Perifericos</t>
  </si>
  <si>
    <t>Registro de Cambios</t>
  </si>
  <si>
    <t>Revisores</t>
  </si>
  <si>
    <t>Versión Aprobada</t>
  </si>
  <si>
    <t>Nombre</t>
  </si>
  <si>
    <t>Cargo / Rol</t>
  </si>
  <si>
    <t>Equipo Calidad</t>
  </si>
  <si>
    <t>Revisor</t>
  </si>
  <si>
    <t>Eddy Hernani</t>
  </si>
  <si>
    <t>Gissela Mancilla</t>
  </si>
  <si>
    <t>Marlene Morales</t>
  </si>
  <si>
    <t>Mónica Marallano</t>
  </si>
  <si>
    <t>Ramiro Cometivos</t>
  </si>
  <si>
    <t>Analista de Calidad</t>
  </si>
  <si>
    <t>Analista de Sistemas</t>
  </si>
  <si>
    <t>Consultor de Sistemas</t>
  </si>
  <si>
    <t>Cargo</t>
  </si>
  <si>
    <t>Se agrega la hoja con el Registro de Cambio y Revisores</t>
  </si>
  <si>
    <t>Versión: 4.0</t>
  </si>
  <si>
    <t xml:space="preserve">Pantallas no generadas por Snap están ubicadas en archivo fuente QDDISRC </t>
  </si>
  <si>
    <t>Búsquedas en archivos haciendo uso de los índices de la manera más eficiente</t>
  </si>
  <si>
    <t xml:space="preserve">Programas no generadas por Snap están ubicadas en archivo fuente QRPISRC </t>
  </si>
  <si>
    <t>Los fuentes están ubicados en el archivo fuente QSQLSRC</t>
  </si>
  <si>
    <t>En las sentencias SELECT se agilizan las uniones de tablas (JOIN) y los filtros (WHERE) haciendo uso de campos índice.</t>
  </si>
  <si>
    <t>Los Querys se encuentra en origen estándar (QUERYSPROD)</t>
  </si>
  <si>
    <t>Cynthia Aniya</t>
  </si>
  <si>
    <t>¿Para el caso de SCRIPT, se ha publicado en la ruta correcta de acuerdo al estándar.?</t>
  </si>
  <si>
    <t xml:space="preserve">¿El sinónimo hace referencia a un objeto en producción?
</t>
  </si>
  <si>
    <t>¿Se ha utilizado condicionales para los casos de los INSERT  a tablas de parámetros (para evitar que salga error por violación de PK al momento de ejecutar) ?</t>
  </si>
  <si>
    <t>¿Se ha colocado la cabecera de creación o modificación de acuerdo al estándar?</t>
  </si>
  <si>
    <t>¿Se ha colocado la sentencia USE Base_Datos?</t>
  </si>
  <si>
    <t>¿Para las sentencias SELECT se han escrito en forma estructurada y no de corrido?</t>
  </si>
  <si>
    <t>Se ha cumplido las convenciones para nombres de nuevos menús (Secuencia y nombre)</t>
  </si>
  <si>
    <t>Nombres de métodos según estándar SUN, inicio con minúscula (ej: getBackground)</t>
  </si>
  <si>
    <t>Manejo centralizado de errores en tiempo de ejecución con envío de mensajes al system.err</t>
  </si>
  <si>
    <t>Reglas de conversión de tipos.(No permitir conversiones implícitas de conversión ejem: Double a Int32)</t>
  </si>
  <si>
    <t>Apertura explicita de conexiones cuando se ejecuta el método DataAdapterFill</t>
  </si>
  <si>
    <t>Metodos, Propiedades, Eventos, Excepciones utilizar capitalización Pascal.(Ejm: RemoveAll(),MouseEventHandler(),BaseException())</t>
  </si>
  <si>
    <t>Legibilidad de código (Formateo, Identación, Salto de línea, espaciado, declaración de clases.)</t>
  </si>
  <si>
    <t>Fecha: 03/04/2014</t>
  </si>
  <si>
    <t>María Torres</t>
  </si>
  <si>
    <t>William Ccucho</t>
  </si>
  <si>
    <t>Raúl Salazar</t>
  </si>
  <si>
    <t>La aplicación instalada permite, mediante la modificación de algún archivo de configuración, conectarse a los ambientes de desarrollo y Testing.El archivo de configuración debe haber sido generado con Windows Text (Ansi)”</t>
  </si>
  <si>
    <t>CHECK LIST DE CONTROL -DB2</t>
  </si>
  <si>
    <t>Se encuentran todos los objetos previstos en la última versión del documento de diseño.</t>
  </si>
  <si>
    <t>Los objetos se encuentran en el repositorio o ruta establecida.</t>
  </si>
  <si>
    <t>Para cambios en la estructura de archivo se han incluido todos los objetos que lo utilizan.</t>
  </si>
  <si>
    <t>Documentación.</t>
  </si>
  <si>
    <t>Estandarización.</t>
  </si>
  <si>
    <t>Técnico.</t>
  </si>
  <si>
    <t>Los nombres de las tablas siguen el estándar - Esquema&gt;.&lt;nombre TABLA&gt;.sql</t>
  </si>
  <si>
    <t>Los nombres de los SP  siguen el estándar - SP_VVVVVV_FFFFFFFFFF_FFFFFFFF.</t>
  </si>
  <si>
    <t>Los nombres de las funciones siguen el estándar - FU_VVVVVV_FFFFFFFFFF_FFFFFFFF.</t>
  </si>
  <si>
    <t>Los nombres de los trigger siguen el estándar - TR_X_FFFFFFFFFF_FFFFFFFF.</t>
  </si>
  <si>
    <t>Los nombres de las vistas siguen el estándar - Esquema&gt;.&lt;nombre VISTA&gt;.sql</t>
  </si>
  <si>
    <t>Los nombres de los archivos script siguen el estándar - SCRIPT_OTXXXX_NNN.sql.</t>
  </si>
  <si>
    <t>Para nuevos archivos maestros y permanentes se respeta la 3ra. Forma Normal.</t>
  </si>
  <si>
    <t>Para nuevos archivos maestros y permanentes deben considerar siempre la PRIMARY KEY.</t>
  </si>
  <si>
    <t>Para montos monetarios se usa el tipo NUMERIC especificando la cantidad de decimales.</t>
  </si>
  <si>
    <t>Los campos no deben contener valores nulos a menos que sea necesario.</t>
  </si>
  <si>
    <t>Cuando se requiere auditoria de cambios al archivo, se guarda fecha, hora y usuario de ingreso y de actualización.</t>
  </si>
  <si>
    <t>Se ha establecido vistas que permitan acotar las búsquedas más comunes.</t>
  </si>
  <si>
    <t>El nombre de la entidad debe hacer referencia a la información que guarda, puede estar separado por un guión bajo (_).</t>
  </si>
  <si>
    <t>DISEÑO DE ARCHIVOS (Tablas)</t>
  </si>
  <si>
    <t>Existe descripción del cambio en el Stored  Procedures.</t>
  </si>
  <si>
    <t>Todos los Cursores declarados son usados.</t>
  </si>
  <si>
    <t>Cumple con el estándar de documentación de fuentes (Luego del BEGIN principal se ha incluido el comentario según formato al inicio del fuente y en las lineas modificadas).</t>
  </si>
  <si>
    <t>Verificar que no exista sentencias SQL de pruebas.</t>
  </si>
  <si>
    <t>En el script generado cada sentencia termina con un punto y coma (;).</t>
  </si>
  <si>
    <t>Para Stored Procedures y Funciones se realiza manejo de errores.</t>
  </si>
  <si>
    <t>Para Stored Procedures y Funciones que procesen grandes cantidades de información o que sean muy complejos se generan registros LOG que permitan hacer seguimiento al proceso.</t>
  </si>
  <si>
    <t>Para Stored Procedures y Funciones el script considera la sentencia CREATE OR REPLACE de la siguiente manera:
CREATE OR REPLACE TipoComponente Nombre_Esquema.Nombre_Componente</t>
  </si>
  <si>
    <t>FUENTES SQL</t>
  </si>
  <si>
    <t>Para Stored Procedures y Funciones no se colocan GRANTS.</t>
  </si>
  <si>
    <t>Validar que el Script se encuentre especificado en el PR.</t>
  </si>
  <si>
    <t>CHECK LIST DE CONTROL - ORACLE</t>
  </si>
  <si>
    <r>
      <t xml:space="preserve">Incluye sección de objetos Oracle a pasar </t>
    </r>
    <r>
      <rPr>
        <b/>
        <sz val="10"/>
        <rFont val="Arial"/>
        <family val="2"/>
      </rPr>
      <t>O</t>
    </r>
    <r>
      <rPr>
        <sz val="10"/>
        <rFont val="Arial"/>
        <family val="2"/>
      </rPr>
      <t xml:space="preserve"> componente(s) para el pase automático</t>
    </r>
  </si>
  <si>
    <t>Campos fecha en formato DATE (si se requiere registrar la fecha) o TIME (si requiere registrar la hora)</t>
  </si>
  <si>
    <t>Nombres cortos para variables que recorren bucles</t>
  </si>
  <si>
    <t>Condiciones con SUBSTR en SELECT tienen condición adicional "=" que limita búsqueda</t>
  </si>
  <si>
    <t>Implementa manejo de excepciones</t>
  </si>
  <si>
    <t>¿Se han calificado los objetos en su respectivo esquema?</t>
  </si>
  <si>
    <r>
      <t xml:space="preserve">¿Se ha colocado la Nomenclatura de acuerdo a: 
</t>
    </r>
    <r>
      <rPr>
        <b/>
        <sz val="10"/>
        <rFont val="Arial"/>
        <family val="2"/>
      </rPr>
      <t xml:space="preserve">Nombre del sinónimo </t>
    </r>
    <r>
      <rPr>
        <sz val="10"/>
        <rFont val="Arial"/>
        <family val="2"/>
      </rPr>
      <t xml:space="preserve"> [ESQUEMA].[NOMBRE_OBJETO] 
</t>
    </r>
    <r>
      <rPr>
        <b/>
        <sz val="10"/>
        <rFont val="Arial"/>
        <family val="2"/>
      </rPr>
      <t xml:space="preserve">Nombre del script </t>
    </r>
    <r>
      <rPr>
        <sz val="10"/>
        <rFont val="Arial"/>
        <family val="2"/>
      </rPr>
      <t xml:space="preserve"> [ESQUEMA].[NOMBRE_OBJETO].sql ?</t>
    </r>
    <r>
      <rPr>
        <b/>
        <sz val="10"/>
        <rFont val="Arial"/>
        <family val="2"/>
      </rPr>
      <t/>
    </r>
  </si>
  <si>
    <t>BMTC</t>
  </si>
  <si>
    <t>BMatic</t>
  </si>
  <si>
    <t>CAFI</t>
  </si>
  <si>
    <t>Cartas Fianza</t>
  </si>
  <si>
    <t>CAPA</t>
  </si>
  <si>
    <t>Capacitación</t>
  </si>
  <si>
    <t>CVX</t>
  </si>
  <si>
    <t>CVX-CVAR</t>
  </si>
  <si>
    <t>FERP</t>
  </si>
  <si>
    <t>SAB - ERP</t>
  </si>
  <si>
    <t>FMPR</t>
  </si>
  <si>
    <t>Fondos Sura - Procesos</t>
  </si>
  <si>
    <t>FONF</t>
  </si>
  <si>
    <t>Fondo Fijo</t>
  </si>
  <si>
    <t>Liquidaciones previas</t>
  </si>
  <si>
    <t>NPS</t>
  </si>
  <si>
    <t>Net Promotors Score</t>
  </si>
  <si>
    <t>PRPI</t>
  </si>
  <si>
    <t>NSEI</t>
  </si>
  <si>
    <t>SGPR</t>
  </si>
  <si>
    <t>Seguimiento de Procesos</t>
  </si>
  <si>
    <t>Provisión de Pagos de Inversiones</t>
  </si>
  <si>
    <t>Wealth Management</t>
  </si>
  <si>
    <t>Raul Salazar</t>
  </si>
  <si>
    <t>Pedro Calle</t>
  </si>
  <si>
    <t>Jim Maguhn</t>
  </si>
  <si>
    <t>Carlos Cardenas</t>
  </si>
  <si>
    <t>Fabiola Diaz</t>
  </si>
  <si>
    <t>SAC</t>
  </si>
  <si>
    <t>Sistema de Administración de Casos</t>
  </si>
  <si>
    <t>Nombres de Jobs con formato JOB_APL_Descripción del Job</t>
  </si>
  <si>
    <t>CHECK LIST DE CONTROL - ANGULAR</t>
  </si>
  <si>
    <t>Nombres de métodos según estándar recomendado (ej: generarReporte)</t>
  </si>
  <si>
    <t>ESTANDARES DE PROGRAMACION</t>
  </si>
  <si>
    <t>La condicional IF tienen la forma estándar</t>
  </si>
  <si>
    <t>Las nuevas clases, métodos y atributos se encuentran documentadas con comentarios</t>
  </si>
  <si>
    <t>Se usa el clase Date para fechas</t>
  </si>
  <si>
    <t>Reglas de conversión de tipos.(No permitir funciones implícitas de conversión ejem: string a number)</t>
  </si>
  <si>
    <t>La invocación a los servicios web se realiza mediante promesas u observables (Promises u Observables)</t>
  </si>
  <si>
    <t>VISTAS</t>
  </si>
  <si>
    <t>CONSIDERACIONES DE LAS VISTAS</t>
  </si>
  <si>
    <t>La aplicación fue creada con la versión 5 de angular</t>
  </si>
  <si>
    <t>La aplicación fue creada con la última plantilla aprobada (No se creó mediante Angular CLI)</t>
  </si>
  <si>
    <t>La aplicación está preparada para conectarse directamente a los servidores de producción de los servicios web</t>
  </si>
  <si>
    <t>La comunicación a los servicios web se hace mediante peticiones POST</t>
  </si>
  <si>
    <t>La información que viaje entre el navegador y el servidor esta en formato JSON</t>
  </si>
  <si>
    <t>El compilado generado fue creado utilizando las propiedades de compilación –prod y --aot</t>
  </si>
  <si>
    <t>No se ha dejado comandos console.log (usado para validaciones en el ambiente de desarrollo) para ambiente productivo</t>
  </si>
  <si>
    <t>CHECK LIST DE CONTROL - ETL</t>
  </si>
  <si>
    <t>Se hizo referencia al manual de instalación de la ruta de Harvest</t>
  </si>
  <si>
    <t>CONSIDERACIÓNES PARA ARCHIVOS DE CONFIGURACIÓN (.dtsConfig)</t>
  </si>
  <si>
    <t>Se encuentra con los valores del entorno de producción</t>
  </si>
  <si>
    <t>Configuración</t>
  </si>
  <si>
    <t>Tiene el mismo nombre del archivo de extensión .dtsx</t>
  </si>
  <si>
    <t>Se encuentra en la misma de carpeta del archivo de extensión .dtsx</t>
  </si>
  <si>
    <t>Se valido que solo contiene información con valores que varíen entre entornos de despliegue</t>
  </si>
  <si>
    <t xml:space="preserve">Se validó que se encuentran todas las conexiones a base de datos del archivo .dtsx </t>
  </si>
  <si>
    <t>Nombres de las tareas deben referenciar a la acción que realicen</t>
  </si>
  <si>
    <t>Nombres de variables nemotécnico deben hacer referencia a los valores que contiene</t>
  </si>
  <si>
    <t>Nombre de paquete cumple con la siguiente nomenclatura:
ETL_[APL]_[DESCRIPCIÓN].dtsx (eje: ETL_ACRE_Generar_Archivo.dtsx)</t>
  </si>
  <si>
    <t xml:space="preserve">Se evitó el uso del componente  ¨Script task¨ </t>
  </si>
  <si>
    <t>En caso de usar el componente ¨Script task¨ completar la pestaña de CHK Técnico-.NET</t>
  </si>
  <si>
    <t>Se verificó la ruta del archivo log en el .dtsConfig</t>
  </si>
  <si>
    <t>CONSIDERACIONES DE CONEXIONES</t>
  </si>
  <si>
    <t>Se usó la autenticación de SQL Server para las conexiones a base de datos</t>
  </si>
  <si>
    <t>Se evitó el uso del tipo de coneción del OLE DB Source</t>
  </si>
  <si>
    <t>Las propiedades de conexión deben configurarse en el apartado expresiones de la misma.</t>
  </si>
  <si>
    <t>Se verificó que los nombres de las conexiones incluyan los nombres de las bases de datos a la que se conecta.</t>
  </si>
  <si>
    <t>Los archivos declarados se encuentran en la librería PRODU o en el pase actual</t>
  </si>
  <si>
    <t>Incluye sección de objetos para el archivo compilado BAR para el pase automático</t>
  </si>
  <si>
    <t>El entorno de los nodos de integración garantiza que los nombres sean únicos y no presentar duplicados o confusión.</t>
  </si>
  <si>
    <t>Se incluye archivos para la declaración de constantes</t>
  </si>
  <si>
    <t>Los esquema (paquete) esta compuesto por letras minusculas y separador por punto</t>
  </si>
  <si>
    <t xml:space="preserve">ESTANDARES DE PROGRAMACION </t>
  </si>
  <si>
    <t>Se usa includes para cabecera de comentario</t>
  </si>
  <si>
    <t>ESTANDARES PARA ESQL</t>
  </si>
  <si>
    <t>La fuente de archivos siempre deben tener nombre con la terminación ".esql"</t>
  </si>
  <si>
    <t>Siempre comienza con CREATE tipo_nodo MODULE y debe finalizar con la sentencia END MODULE</t>
  </si>
  <si>
    <t>El nombre del campo de referencia debe comienza con una letra mayúscula</t>
  </si>
  <si>
    <t>Todas las palabras claves en mayúsculas</t>
  </si>
  <si>
    <t xml:space="preserve">Descripción de errores esperados se encuentran en los archivos Log </t>
  </si>
  <si>
    <t>Mensaje de error en el archivo Log tiene formato estándar (Fecha, hora, usuario, sesión, error, etc.)</t>
  </si>
  <si>
    <t>Se evita dejar impresión mediante el Nodo Trace para realizar seguimiento</t>
  </si>
  <si>
    <t>Tiene un manejo único para mostrar los mensajes de error en tiempo de ejecución</t>
  </si>
  <si>
    <t>Validación de Nodos para accesos</t>
  </si>
  <si>
    <t>Se ha usado Nodos como filtro para acceder a consumir servicios.</t>
  </si>
  <si>
    <t>Ha sido desarrollado en IBM Integration Toolkit 9.0.0.2 o Superior</t>
  </si>
  <si>
    <t>Ha sido desarrollado en IBM Integration Explorer 9.0.0.2 o Superior</t>
  </si>
  <si>
    <t>Ha sido desarrollado en IBM Integration Console 9.0.0.2 o Superior</t>
  </si>
  <si>
    <t>Se ha ejecutado  comandos linux para configurar entorno de desarrollo</t>
  </si>
  <si>
    <t>Cada archivo ha sido entregado con su fuente modificado en el directorio correspondiente</t>
  </si>
  <si>
    <t>Coincide el número de versión Harvest de archivos compilados .bar</t>
  </si>
  <si>
    <t>Coincide el número de versión Harvest de archivos de archivos de configuraciones (xml y sh)</t>
  </si>
  <si>
    <t xml:space="preserve">Creación del Documento </t>
  </si>
  <si>
    <t>Luis Marcilla</t>
  </si>
  <si>
    <t>(Varios elementos)</t>
  </si>
  <si>
    <t>Se ha usado el Framework de RPA</t>
  </si>
  <si>
    <t>Los accesos a las base de datos son con las credenciales del orquestador</t>
  </si>
  <si>
    <t>Están parametrizadas las variables con el archivo Config.xlsx</t>
  </si>
  <si>
    <t>Los accesos a las aplicaciones son proporcionados con los perfiles de los usuarios</t>
  </si>
  <si>
    <t>El proceso contempla un flujo de procesos para futuras revisiones</t>
  </si>
  <si>
    <t>El nombre del paquete RPA contempla una versión</t>
  </si>
  <si>
    <t>Los URL's de la aplicaciones web están en el archivo Config.xlsx</t>
  </si>
  <si>
    <t>Están diseñados sub procesos para las partes complejas del proceso</t>
  </si>
  <si>
    <t>Las instrucciones indican el número de la versión del paquete a subir al orquestador</t>
  </si>
  <si>
    <t>ESTANDARES DE PROGRAMACION VB.NET</t>
  </si>
  <si>
    <t xml:space="preserve">Las aplicaciones que se usan dentro del RPA contemplan cerrar las sesiones para no dejar nada abierto </t>
  </si>
  <si>
    <t>Se usa el TRY CATCH en la forma estándar</t>
  </si>
  <si>
    <t>Una vez ocurrido un error no recuperable, se continúa con la siguiente transacción</t>
  </si>
  <si>
    <t xml:space="preserve">Existe un paquete .nupkg asociado a cada pase a producción </t>
  </si>
  <si>
    <t>Registro de mensaje de error en archivo log y en la base de datos</t>
  </si>
  <si>
    <t>CHECK LIST DE CONTROL  - RPA</t>
  </si>
  <si>
    <t>FMSIT</t>
  </si>
  <si>
    <t>Tesoreria</t>
  </si>
  <si>
    <t>GA</t>
  </si>
  <si>
    <t>Acceso a Producción</t>
  </si>
  <si>
    <t>GOC-7089</t>
  </si>
  <si>
    <t>GOC-7092</t>
  </si>
  <si>
    <t>Nombre desarrolllador</t>
  </si>
  <si>
    <t>Nombre de custodio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</si>
</sst>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_([$€]\ * #,##0.00_);_([$€]\ * \(#,##0.00\);_([$€]\ * &quot;-&quot;??_);_(@_)"/>
  </numFmts>
  <fonts count="6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8"/>
      <name val="Arial"/>
      <family val="2"/>
    </font>
    <font>
      <sz val="9"/>
      <color indexed="10"/>
      <name val="Geneva"/>
    </font>
    <font>
      <sz val="9"/>
      <color indexed="9"/>
      <name val="Arial"/>
      <family val="2"/>
    </font>
    <font>
      <sz val="10"/>
      <name val="Arial"/>
      <family val="2"/>
    </font>
    <font>
      <sz val="8"/>
      <name val="Arial"/>
      <family val="2"/>
    </font>
    <font>
      <sz val="9"/>
      <color indexed="8"/>
      <name val="Geneva"/>
    </font>
    <font>
      <sz val="9"/>
      <name val="Arial"/>
      <family val="2"/>
    </font>
    <font>
      <sz val="9"/>
      <color indexed="8"/>
      <name val="Arial"/>
      <family val="2"/>
    </font>
    <font>
      <b/>
      <sz val="11"/>
      <color indexed="9"/>
      <name val="Geneva"/>
    </font>
    <font>
      <sz val="9"/>
      <color indexed="9"/>
      <name val="Geneva"/>
    </font>
    <font>
      <b/>
      <sz val="10"/>
      <color indexed="18"/>
      <name val="Arial"/>
      <family val="2"/>
    </font>
    <font>
      <b/>
      <sz val="8"/>
      <name val="Arial"/>
      <family val="2"/>
    </font>
    <font>
      <b/>
      <sz val="9"/>
      <name val="Arial"/>
      <family val="2"/>
    </font>
    <font>
      <sz val="8"/>
      <color indexed="9"/>
      <name val="Geneva"/>
    </font>
    <font>
      <i/>
      <sz val="10"/>
      <name val="Times New Roman"/>
      <family val="1"/>
    </font>
    <font>
      <b/>
      <i/>
      <sz val="10"/>
      <name val="Times New Roman"/>
      <family val="1"/>
    </font>
    <font>
      <sz val="10"/>
      <name val="Times New Roman"/>
      <family val="1"/>
    </font>
    <font>
      <b/>
      <sz val="10"/>
      <color indexed="10"/>
      <name val="Arial"/>
      <family val="2"/>
    </font>
    <font>
      <sz val="9"/>
      <name val="Geneva"/>
    </font>
    <font>
      <b/>
      <i/>
      <u/>
      <sz val="10"/>
      <name val="Times New Roman"/>
      <family val="1"/>
    </font>
    <font>
      <sz val="9"/>
      <name val="Arial"/>
      <family val="2"/>
    </font>
    <font>
      <sz val="9"/>
      <color indexed="10"/>
      <name val="Arial"/>
      <family val="2"/>
    </font>
    <font>
      <sz val="7"/>
      <name val="Arial"/>
      <family val="2"/>
    </font>
    <font>
      <sz val="10"/>
      <name val="Arial"/>
      <family val="2"/>
    </font>
    <font>
      <sz val="9"/>
      <color indexed="60"/>
      <name val="Geneva"/>
    </font>
    <font>
      <sz val="10"/>
      <color indexed="12"/>
      <name val="Arial"/>
      <family val="2"/>
    </font>
    <font>
      <b/>
      <sz val="10"/>
      <color indexed="12"/>
      <name val="Arial"/>
      <family val="2"/>
    </font>
    <font>
      <b/>
      <sz val="11"/>
      <name val="Arial"/>
      <family val="2"/>
    </font>
    <font>
      <sz val="10"/>
      <color indexed="22"/>
      <name val="Arial"/>
      <family val="2"/>
    </font>
    <font>
      <sz val="10"/>
      <color indexed="55"/>
      <name val="Arial"/>
      <family val="2"/>
    </font>
    <font>
      <sz val="8"/>
      <name val="Arial"/>
      <family val="2"/>
    </font>
    <font>
      <sz val="10"/>
      <name val="Arial"/>
      <family val="2"/>
    </font>
    <font>
      <sz val="9"/>
      <color indexed="12"/>
      <name val="Arial"/>
      <family val="2"/>
    </font>
    <font>
      <b/>
      <sz val="10"/>
      <color indexed="12"/>
      <name val="Arial"/>
      <family val="2"/>
    </font>
    <font>
      <sz val="10"/>
      <name val="Arial"/>
      <family val="2"/>
    </font>
    <font>
      <sz val="9"/>
      <color indexed="10"/>
      <name val="Geneva"/>
      <family val="2"/>
    </font>
    <font>
      <sz val="9"/>
      <name val="Geneva"/>
      <family val="2"/>
    </font>
    <font>
      <sz val="10"/>
      <name val="Formata Regular"/>
    </font>
    <font>
      <b/>
      <sz val="10"/>
      <color theme="1"/>
      <name val="Arial"/>
      <family val="2"/>
    </font>
    <font>
      <b/>
      <sz val="10"/>
      <color rgb="FFFF0000"/>
      <name val="Arial"/>
      <family val="2"/>
    </font>
    <font>
      <sz val="10"/>
      <color rgb="FF000000"/>
      <name val="Arial"/>
      <family val="2"/>
    </font>
    <font>
      <i/>
      <sz val="11"/>
      <color rgb="FF7F7F7F"/>
      <name val="Calibri"/>
      <family val="2"/>
      <scheme val="minor"/>
    </font>
    <font>
      <b/>
      <sz val="10"/>
      <name val="Arial"/>
      <family val="2"/>
      <charset val="1"/>
    </font>
    <font>
      <sz val="10"/>
      <name val="Arial"/>
      <family val="2"/>
      <charset val="1"/>
    </font>
    <font>
      <b/>
      <sz val="12"/>
      <name val="Arial"/>
      <family val="2"/>
      <charset val="1"/>
    </font>
    <font>
      <sz val="9"/>
      <name val="Arial"/>
      <family val="2"/>
      <charset val="1"/>
    </font>
    <font>
      <b/>
      <sz val="9"/>
      <name val="Arial"/>
      <family val="2"/>
      <charset val="1"/>
    </font>
    <font>
      <sz val="7"/>
      <name val="Arial"/>
      <family val="2"/>
      <charset val="1"/>
    </font>
    <font>
      <sz val="9"/>
      <color rgb="FF0000FF"/>
      <name val="Arial"/>
      <family val="2"/>
      <charset val="1"/>
    </font>
    <font>
      <b/>
      <sz val="10"/>
      <color rgb="FF0000FF"/>
      <name val="Arial"/>
      <family val="2"/>
      <charset val="1"/>
    </font>
    <font>
      <sz val="9"/>
      <color rgb="FFFF0000"/>
      <name val="Arial"/>
      <family val="2"/>
      <charset val="1"/>
    </font>
    <font>
      <sz val="10"/>
      <color rgb="FFC0C0C0"/>
      <name val="Arial"/>
      <family val="2"/>
      <charset val="1"/>
    </font>
    <font>
      <u/>
      <sz val="9"/>
      <name val="Arial"/>
      <family val="2"/>
    </font>
  </fonts>
  <fills count="20">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indexed="9"/>
        <bgColor indexed="64"/>
      </patternFill>
    </fill>
    <fill>
      <patternFill patternType="solid">
        <fgColor indexed="55"/>
        <bgColor indexed="64"/>
      </patternFill>
    </fill>
    <fill>
      <patternFill patternType="solid">
        <fgColor indexed="9"/>
        <bgColor indexed="19"/>
      </patternFill>
    </fill>
    <fill>
      <patternFill patternType="solid">
        <fgColor indexed="11"/>
        <bgColor indexed="64"/>
      </patternFill>
    </fill>
    <fill>
      <patternFill patternType="solid">
        <fgColor indexed="31"/>
        <bgColor indexed="64"/>
      </patternFill>
    </fill>
    <fill>
      <patternFill patternType="solid">
        <fgColor indexed="46"/>
        <bgColor indexed="64"/>
      </patternFill>
    </fill>
    <fill>
      <patternFill patternType="solid">
        <fgColor indexed="22"/>
        <bgColor indexed="22"/>
      </patternFill>
    </fill>
    <fill>
      <patternFill patternType="solid">
        <fgColor theme="0" tint="-0.249977111117893"/>
        <bgColor indexed="64"/>
      </patternFill>
    </fill>
    <fill>
      <patternFill patternType="solid">
        <fgColor theme="0" tint="-0.34998626667073579"/>
        <bgColor indexed="64"/>
      </patternFill>
    </fill>
    <fill>
      <patternFill patternType="solid">
        <fgColor rgb="FFC0C0C0"/>
        <bgColor rgb="FFBFBFBF"/>
      </patternFill>
    </fill>
    <fill>
      <patternFill patternType="solid">
        <fgColor rgb="FFFFFFFF"/>
        <bgColor rgb="FFFFFFCC"/>
      </patternFill>
    </fill>
    <fill>
      <patternFill patternType="solid">
        <fgColor rgb="FFBFBFBF"/>
        <bgColor rgb="FFC0C0C0"/>
      </patternFill>
    </fill>
    <fill>
      <patternFill patternType="solid">
        <fgColor rgb="FFFFFF00"/>
        <bgColor indexed="64"/>
      </patternFill>
    </fill>
    <fill>
      <patternFill patternType="solid">
        <fgColor theme="6"/>
        <bgColor indexed="64"/>
      </patternFill>
    </fill>
    <fill>
      <patternFill patternType="solid">
        <fgColor theme="3" tint="0.59999389629810485"/>
        <bgColor indexed="64"/>
      </patternFill>
    </fill>
    <fill>
      <patternFill patternType="solid">
        <fgColor rgb="FFFFC00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2"/>
      </right>
      <top style="thin">
        <color indexed="64"/>
      </top>
      <bottom style="thin">
        <color indexed="64"/>
      </bottom>
      <diagonal/>
    </border>
    <border>
      <left style="thin">
        <color indexed="62"/>
      </left>
      <right style="thin">
        <color indexed="62"/>
      </right>
      <top style="thin">
        <color indexed="64"/>
      </top>
      <bottom style="thin">
        <color indexed="64"/>
      </bottom>
      <diagonal/>
    </border>
    <border>
      <left style="thin">
        <color indexed="62"/>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rgb="FF999999"/>
      </left>
      <right/>
      <top style="thin">
        <color rgb="FF999999"/>
      </top>
      <bottom/>
      <diagonal/>
    </border>
    <border>
      <left style="thin">
        <color indexed="65"/>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48">
    <xf numFmtId="0" fontId="0" fillId="0" borderId="0"/>
    <xf numFmtId="0" fontId="31" fillId="0" borderId="0"/>
    <xf numFmtId="0" fontId="11" fillId="0" borderId="0"/>
    <xf numFmtId="0" fontId="11" fillId="0" borderId="0"/>
    <xf numFmtId="0" fontId="9" fillId="0" borderId="0"/>
    <xf numFmtId="0" fontId="5" fillId="0" borderId="0"/>
    <xf numFmtId="0" fontId="42" fillId="0" borderId="0"/>
    <xf numFmtId="0" fontId="9" fillId="0" borderId="0"/>
    <xf numFmtId="0" fontId="9" fillId="0" borderId="0"/>
    <xf numFmtId="0" fontId="5" fillId="0" borderId="0"/>
    <xf numFmtId="0" fontId="11" fillId="0" borderId="0"/>
    <xf numFmtId="9" fontId="5" fillId="0" borderId="0" applyFont="0" applyFill="0" applyBorder="0" applyAlignment="0" applyProtection="0"/>
    <xf numFmtId="0" fontId="5" fillId="0" borderId="0"/>
    <xf numFmtId="0" fontId="5" fillId="0" borderId="0"/>
    <xf numFmtId="0" fontId="43" fillId="0" borderId="0"/>
    <xf numFmtId="0" fontId="5" fillId="0" borderId="0"/>
    <xf numFmtId="0" fontId="5" fillId="0" borderId="0"/>
    <xf numFmtId="0" fontId="5" fillId="0" borderId="0"/>
    <xf numFmtId="0" fontId="43" fillId="0" borderId="0"/>
    <xf numFmtId="0" fontId="5" fillId="0" borderId="0"/>
    <xf numFmtId="0" fontId="5" fillId="0" borderId="0"/>
    <xf numFmtId="0" fontId="5" fillId="0" borderId="0"/>
    <xf numFmtId="0" fontId="43" fillId="0" borderId="0"/>
    <xf numFmtId="0" fontId="5" fillId="0" borderId="0"/>
    <xf numFmtId="0" fontId="5" fillId="0" borderId="0"/>
    <xf numFmtId="0" fontId="5" fillId="0" borderId="0"/>
    <xf numFmtId="0" fontId="5" fillId="0" borderId="0"/>
    <xf numFmtId="0" fontId="5" fillId="0" borderId="0"/>
    <xf numFmtId="0" fontId="5" fillId="0" borderId="0"/>
    <xf numFmtId="0" fontId="45" fillId="0" borderId="0"/>
    <xf numFmtId="0" fontId="4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3" fillId="0" borderId="0"/>
    <xf numFmtId="0" fontId="5" fillId="0" borderId="0"/>
    <xf numFmtId="0" fontId="5" fillId="0" borderId="0"/>
    <xf numFmtId="0" fontId="43" fillId="0" borderId="0"/>
    <xf numFmtId="166" fontId="43" fillId="0" borderId="0" applyFont="0" applyFill="0" applyBorder="0" applyAlignment="0" applyProtection="0"/>
    <xf numFmtId="0" fontId="4" fillId="0" borderId="0"/>
    <xf numFmtId="0" fontId="4" fillId="0" borderId="0"/>
    <xf numFmtId="0" fontId="4"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0" fontId="43" fillId="0" borderId="0"/>
    <xf numFmtId="0" fontId="43" fillId="0" borderId="0"/>
    <xf numFmtId="0" fontId="43"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 fillId="0" borderId="0"/>
    <xf numFmtId="0" fontId="5"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5" fillId="0" borderId="0"/>
    <xf numFmtId="0" fontId="5" fillId="0" borderId="0"/>
    <xf numFmtId="0" fontId="5" fillId="0" borderId="0"/>
    <xf numFmtId="0" fontId="3" fillId="0" borderId="0"/>
    <xf numFmtId="0" fontId="3" fillId="0" borderId="0"/>
    <xf numFmtId="0" fontId="3" fillId="0" borderId="0"/>
    <xf numFmtId="0" fontId="3" fillId="0" borderId="0"/>
    <xf numFmtId="0" fontId="5"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49" fillId="0" borderId="0" applyNumberFormat="0" applyFill="0" applyBorder="0" applyAlignment="0" applyProtection="0"/>
    <xf numFmtId="0" fontId="9" fillId="0" borderId="0"/>
    <xf numFmtId="0" fontId="9" fillId="0" borderId="0"/>
    <xf numFmtId="0" fontId="1" fillId="0" borderId="0"/>
    <xf numFmtId="0" fontId="1" fillId="0" borderId="0"/>
    <xf numFmtId="0" fontId="1" fillId="0" borderId="0"/>
    <xf numFmtId="0" fontId="1" fillId="0" borderId="0"/>
    <xf numFmtId="0" fontId="43" fillId="0" borderId="0"/>
    <xf numFmtId="0" fontId="43" fillId="0" borderId="0"/>
    <xf numFmtId="0" fontId="43" fillId="0" borderId="0"/>
    <xf numFmtId="0" fontId="43" fillId="0" borderId="0"/>
    <xf numFmtId="0" fontId="9" fillId="0" borderId="0"/>
    <xf numFmtId="0" fontId="9" fillId="0" borderId="0"/>
    <xf numFmtId="0" fontId="5" fillId="0" borderId="0"/>
    <xf numFmtId="0" fontId="9" fillId="0" borderId="0"/>
    <xf numFmtId="0" fontId="5" fillId="0" borderId="0"/>
    <xf numFmtId="0" fontId="9" fillId="0" borderId="0"/>
    <xf numFmtId="0" fontId="5" fillId="0" borderId="0"/>
    <xf numFmtId="0" fontId="9" fillId="0" borderId="0"/>
    <xf numFmtId="0" fontId="5" fillId="0" borderId="0"/>
    <xf numFmtId="0" fontId="9" fillId="0" borderId="0"/>
    <xf numFmtId="0" fontId="5" fillId="0" borderId="0"/>
    <xf numFmtId="0" fontId="9"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cellStyleXfs>
  <cellXfs count="799">
    <xf numFmtId="0" fontId="0" fillId="0" borderId="0" xfId="0"/>
    <xf numFmtId="0" fontId="9" fillId="0" borderId="0" xfId="1" applyFont="1"/>
    <xf numFmtId="0" fontId="5" fillId="0" borderId="0" xfId="5" applyFont="1" applyBorder="1" applyAlignment="1">
      <alignment horizontal="left" vertical="center" wrapText="1"/>
    </xf>
    <xf numFmtId="0" fontId="0" fillId="0" borderId="1" xfId="1" applyFont="1" applyBorder="1"/>
    <xf numFmtId="0" fontId="0" fillId="0" borderId="1" xfId="1" applyFont="1" applyBorder="1" applyAlignment="1">
      <alignment horizontal="left"/>
    </xf>
    <xf numFmtId="0" fontId="11" fillId="0" borderId="1" xfId="5" applyFont="1" applyBorder="1"/>
    <xf numFmtId="0" fontId="0" fillId="0" borderId="1" xfId="1" applyFont="1" applyFill="1" applyBorder="1"/>
    <xf numFmtId="0" fontId="0" fillId="0" borderId="1" xfId="1" applyFont="1" applyFill="1" applyBorder="1" applyAlignment="1">
      <alignment horizontal="left"/>
    </xf>
    <xf numFmtId="49" fontId="15" fillId="0" borderId="0" xfId="1" applyNumberFormat="1" applyFont="1" applyFill="1" applyBorder="1" applyAlignment="1" applyProtection="1">
      <alignment horizontal="center" vertical="center" wrapText="1"/>
    </xf>
    <xf numFmtId="49" fontId="12" fillId="0" borderId="0" xfId="1" applyNumberFormat="1" applyFont="1" applyFill="1" applyBorder="1" applyAlignment="1" applyProtection="1">
      <alignment horizontal="left" vertical="center" wrapText="1"/>
    </xf>
    <xf numFmtId="0" fontId="12" fillId="0" borderId="0" xfId="1" applyFont="1" applyFill="1" applyBorder="1" applyAlignment="1" applyProtection="1">
      <alignment horizontal="left" vertical="center" wrapText="1"/>
    </xf>
    <xf numFmtId="0" fontId="5" fillId="0" borderId="1" xfId="5" applyFont="1" applyBorder="1" applyAlignment="1">
      <alignment horizontal="left"/>
    </xf>
    <xf numFmtId="0" fontId="6" fillId="0" borderId="0" xfId="5" applyFont="1" applyAlignment="1">
      <alignment vertical="center"/>
    </xf>
    <xf numFmtId="0" fontId="22" fillId="0" borderId="1" xfId="5" applyFont="1" applyBorder="1" applyAlignment="1">
      <alignment vertical="center" wrapText="1"/>
    </xf>
    <xf numFmtId="0" fontId="5" fillId="0" borderId="0" xfId="5" applyFont="1" applyAlignment="1">
      <alignment vertical="center"/>
    </xf>
    <xf numFmtId="0" fontId="24" fillId="0" borderId="0" xfId="5" applyFont="1" applyAlignment="1">
      <alignment vertical="center" wrapText="1"/>
    </xf>
    <xf numFmtId="0" fontId="6" fillId="2" borderId="1" xfId="8" applyFont="1" applyFill="1" applyBorder="1" applyAlignment="1">
      <alignment horizontal="center" vertical="center"/>
    </xf>
    <xf numFmtId="0" fontId="5" fillId="0" borderId="0" xfId="5" applyFont="1" applyAlignment="1">
      <alignment horizontal="center" vertical="center"/>
    </xf>
    <xf numFmtId="0" fontId="6" fillId="0" borderId="0" xfId="5" applyFont="1" applyAlignment="1">
      <alignment horizontal="center" vertical="center"/>
    </xf>
    <xf numFmtId="0" fontId="25" fillId="0" borderId="0" xfId="5" applyFont="1" applyAlignment="1">
      <alignment vertical="center"/>
    </xf>
    <xf numFmtId="0" fontId="6" fillId="0" borderId="0" xfId="5" applyFont="1" applyFill="1" applyAlignment="1">
      <alignment horizontal="center" vertical="center"/>
    </xf>
    <xf numFmtId="0" fontId="6" fillId="0" borderId="0" xfId="7" applyFont="1" applyFill="1" applyBorder="1" applyAlignment="1">
      <alignment horizontal="left" vertical="center" wrapText="1"/>
    </xf>
    <xf numFmtId="0" fontId="5" fillId="0" borderId="0" xfId="5" applyFont="1" applyFill="1" applyAlignment="1">
      <alignment vertical="center"/>
    </xf>
    <xf numFmtId="0" fontId="5" fillId="0" borderId="0" xfId="5" applyFont="1" applyFill="1" applyAlignment="1">
      <alignment horizontal="left" vertical="center" wrapText="1"/>
    </xf>
    <xf numFmtId="0" fontId="25" fillId="0" borderId="0" xfId="5" applyFont="1" applyFill="1" applyAlignment="1">
      <alignment vertical="center"/>
    </xf>
    <xf numFmtId="0" fontId="9" fillId="0" borderId="0" xfId="1" applyFont="1" applyAlignment="1">
      <alignment vertical="center"/>
    </xf>
    <xf numFmtId="0" fontId="26" fillId="0" borderId="0" xfId="1" applyFont="1" applyAlignment="1">
      <alignment vertical="center"/>
    </xf>
    <xf numFmtId="0" fontId="17" fillId="0" borderId="0" xfId="1" applyFont="1" applyAlignment="1">
      <alignment vertical="center"/>
    </xf>
    <xf numFmtId="0" fontId="11" fillId="0" borderId="1" xfId="5" applyFont="1" applyBorder="1" applyAlignment="1">
      <alignment horizontal="left" vertical="center"/>
    </xf>
    <xf numFmtId="0" fontId="5" fillId="0" borderId="0" xfId="9" applyFont="1" applyAlignment="1">
      <alignment vertical="center"/>
    </xf>
    <xf numFmtId="0" fontId="6" fillId="0" borderId="0" xfId="5" applyFont="1" applyFill="1" applyBorder="1" applyAlignment="1">
      <alignment horizontal="left" vertical="center" wrapText="1"/>
    </xf>
    <xf numFmtId="0" fontId="5" fillId="0" borderId="0" xfId="5" applyFont="1" applyFill="1" applyAlignment="1">
      <alignment horizontal="left" vertical="center"/>
    </xf>
    <xf numFmtId="0" fontId="6" fillId="0" borderId="0" xfId="5" applyFont="1" applyFill="1" applyAlignment="1">
      <alignment horizontal="left" vertical="center"/>
    </xf>
    <xf numFmtId="0" fontId="5" fillId="0" borderId="0" xfId="9" applyFont="1" applyFill="1" applyAlignment="1">
      <alignment vertical="center"/>
    </xf>
    <xf numFmtId="0" fontId="27" fillId="0" borderId="0" xfId="5" applyFont="1" applyFill="1" applyAlignment="1">
      <alignment horizontal="left" vertical="center"/>
    </xf>
    <xf numFmtId="0" fontId="23" fillId="0" borderId="0" xfId="5" applyFont="1" applyFill="1" applyAlignment="1">
      <alignment horizontal="left" vertical="center"/>
    </xf>
    <xf numFmtId="0" fontId="11" fillId="0" borderId="0" xfId="5" applyFont="1" applyAlignment="1">
      <alignment horizontal="left" vertical="center"/>
    </xf>
    <xf numFmtId="0" fontId="6" fillId="0" borderId="0" xfId="9" applyFont="1" applyFill="1" applyAlignment="1">
      <alignment horizontal="left" vertical="center"/>
    </xf>
    <xf numFmtId="0" fontId="23" fillId="0" borderId="0" xfId="5" applyFont="1" applyFill="1" applyAlignment="1">
      <alignment vertical="center"/>
    </xf>
    <xf numFmtId="0" fontId="6" fillId="0" borderId="0" xfId="5" applyFont="1" applyFill="1" applyAlignment="1">
      <alignment horizontal="right" vertical="center"/>
    </xf>
    <xf numFmtId="0" fontId="11" fillId="0" borderId="0" xfId="5" applyFont="1" applyFill="1" applyAlignment="1">
      <alignment horizontal="right" vertical="center"/>
    </xf>
    <xf numFmtId="0" fontId="5" fillId="0" borderId="0" xfId="5" applyFont="1" applyFill="1" applyAlignment="1">
      <alignment horizontal="right" vertical="center"/>
    </xf>
    <xf numFmtId="0" fontId="5" fillId="0" borderId="0" xfId="5" applyFont="1" applyFill="1" applyAlignment="1">
      <alignment vertical="center" wrapText="1"/>
    </xf>
    <xf numFmtId="0" fontId="24" fillId="0" borderId="0" xfId="9" applyFont="1" applyFill="1" applyAlignment="1">
      <alignment vertical="center"/>
    </xf>
    <xf numFmtId="0" fontId="15" fillId="0" borderId="1" xfId="1" applyFont="1" applyFill="1" applyBorder="1" applyAlignment="1" applyProtection="1"/>
    <xf numFmtId="0" fontId="14" fillId="0" borderId="1" xfId="1" applyFont="1" applyFill="1" applyBorder="1" applyAlignment="1" applyProtection="1"/>
    <xf numFmtId="0" fontId="14" fillId="0" borderId="1" xfId="1" applyFont="1" applyBorder="1" applyAlignment="1"/>
    <xf numFmtId="0" fontId="15" fillId="0" borderId="1" xfId="1" applyFont="1" applyFill="1" applyBorder="1" applyAlignment="1" applyProtection="1">
      <alignment vertical="center" wrapText="1"/>
    </xf>
    <xf numFmtId="0" fontId="15" fillId="0" borderId="1" xfId="1" applyFont="1" applyFill="1" applyBorder="1" applyAlignment="1" applyProtection="1">
      <alignment horizontal="center" vertical="center" wrapText="1"/>
    </xf>
    <xf numFmtId="0" fontId="11" fillId="0" borderId="1" xfId="1" applyNumberFormat="1" applyFont="1" applyFill="1" applyBorder="1" applyAlignment="1">
      <alignment horizontal="center" vertical="center"/>
    </xf>
    <xf numFmtId="14" fontId="11" fillId="0" borderId="1" xfId="1" applyNumberFormat="1" applyFont="1" applyFill="1" applyBorder="1" applyAlignment="1">
      <alignment horizontal="center" vertical="center"/>
    </xf>
    <xf numFmtId="0" fontId="29" fillId="0" borderId="0" xfId="1" applyFont="1" applyAlignment="1" applyProtection="1">
      <alignment vertical="center"/>
      <protection locked="0"/>
    </xf>
    <xf numFmtId="0" fontId="28" fillId="0" borderId="0" xfId="1" applyFont="1" applyAlignment="1">
      <alignment vertical="center"/>
    </xf>
    <xf numFmtId="0" fontId="20" fillId="0" borderId="0" xfId="1" applyFont="1" applyAlignment="1">
      <alignment vertical="center"/>
    </xf>
    <xf numFmtId="0" fontId="0" fillId="0" borderId="0" xfId="1" applyFont="1" applyAlignment="1">
      <alignment vertical="center"/>
    </xf>
    <xf numFmtId="0" fontId="0" fillId="0" borderId="0" xfId="1" applyFont="1" applyAlignment="1">
      <alignment horizontal="left" vertical="center"/>
    </xf>
    <xf numFmtId="0" fontId="28" fillId="0" borderId="0" xfId="1" applyFont="1" applyAlignment="1">
      <alignment horizontal="center" vertical="center"/>
    </xf>
    <xf numFmtId="0" fontId="29" fillId="0" borderId="0" xfId="1" applyFont="1" applyAlignment="1" applyProtection="1">
      <alignment horizontal="center" vertical="center"/>
      <protection locked="0"/>
    </xf>
    <xf numFmtId="0" fontId="0" fillId="0" borderId="0" xfId="1" applyFont="1" applyAlignment="1">
      <alignment horizontal="center" vertical="center"/>
    </xf>
    <xf numFmtId="0" fontId="7" fillId="0" borderId="0" xfId="1" applyFont="1" applyAlignment="1">
      <alignment horizontal="left" vertical="center"/>
    </xf>
    <xf numFmtId="0" fontId="6" fillId="0" borderId="0" xfId="1" applyFont="1" applyAlignment="1">
      <alignment horizontal="left" vertical="center"/>
    </xf>
    <xf numFmtId="0" fontId="9" fillId="0" borderId="0" xfId="1" applyFont="1" applyAlignment="1" applyProtection="1">
      <alignment vertical="center"/>
      <protection locked="0"/>
    </xf>
    <xf numFmtId="0" fontId="13" fillId="0" borderId="0" xfId="1" applyFont="1" applyAlignment="1" applyProtection="1">
      <alignment vertical="center"/>
      <protection locked="0"/>
    </xf>
    <xf numFmtId="0" fontId="21" fillId="0" borderId="0" xfId="1" applyFont="1" applyFill="1" applyBorder="1" applyAlignment="1" applyProtection="1">
      <alignment vertical="center"/>
      <protection locked="0"/>
    </xf>
    <xf numFmtId="0" fontId="17" fillId="0" borderId="0" xfId="1" applyFont="1" applyFill="1" applyBorder="1" applyAlignment="1" applyProtection="1">
      <alignment vertical="center"/>
      <protection locked="0"/>
    </xf>
    <xf numFmtId="0" fontId="17" fillId="0" borderId="0" xfId="1" applyFont="1" applyFill="1" applyBorder="1" applyAlignment="1" applyProtection="1">
      <alignment horizontal="left" vertical="center"/>
      <protection locked="0"/>
    </xf>
    <xf numFmtId="0" fontId="6" fillId="2" borderId="1" xfId="1" applyFont="1" applyFill="1" applyBorder="1" applyAlignment="1" applyProtection="1">
      <alignment horizontal="center" vertical="center" wrapText="1"/>
      <protection locked="0"/>
    </xf>
    <xf numFmtId="165" fontId="17" fillId="0" borderId="0" xfId="1" applyNumberFormat="1" applyFont="1" applyFill="1" applyBorder="1" applyAlignment="1" applyProtection="1">
      <alignment vertical="center"/>
      <protection locked="0"/>
    </xf>
    <xf numFmtId="0" fontId="12" fillId="0" borderId="0" xfId="1" applyFont="1" applyFill="1" applyBorder="1" applyAlignment="1" applyProtection="1">
      <alignment horizontal="center" vertical="center"/>
      <protection locked="0"/>
    </xf>
    <xf numFmtId="0" fontId="12" fillId="0" borderId="0" xfId="1" applyFont="1" applyAlignment="1" applyProtection="1">
      <alignment vertical="center"/>
      <protection locked="0"/>
    </xf>
    <xf numFmtId="2" fontId="14" fillId="0" borderId="0" xfId="1" applyNumberFormat="1" applyFont="1" applyFill="1" applyBorder="1" applyAlignment="1" applyProtection="1">
      <alignment horizontal="center" vertical="center" wrapText="1"/>
      <protection locked="0"/>
    </xf>
    <xf numFmtId="1" fontId="14" fillId="0" borderId="0" xfId="1" applyNumberFormat="1" applyFont="1" applyFill="1" applyBorder="1" applyAlignment="1" applyProtection="1">
      <alignment horizontal="center" vertical="center" wrapText="1"/>
      <protection locked="0"/>
    </xf>
    <xf numFmtId="0" fontId="18" fillId="0" borderId="0" xfId="1" applyFont="1" applyAlignment="1" applyProtection="1">
      <alignment vertical="center"/>
      <protection locked="0"/>
    </xf>
    <xf numFmtId="0" fontId="20" fillId="2" borderId="1" xfId="1" applyFont="1" applyFill="1" applyBorder="1" applyAlignment="1" applyProtection="1">
      <alignment horizontal="center" vertical="center" wrapText="1"/>
    </xf>
    <xf numFmtId="16" fontId="28" fillId="0" borderId="0" xfId="1" applyNumberFormat="1" applyFont="1" applyAlignment="1">
      <alignment vertical="center"/>
    </xf>
    <xf numFmtId="0" fontId="11" fillId="0" borderId="0" xfId="5" applyFont="1" applyBorder="1" applyAlignment="1">
      <alignment horizontal="left" vertical="center"/>
    </xf>
    <xf numFmtId="0" fontId="0" fillId="3" borderId="1" xfId="1" applyFont="1" applyFill="1" applyBorder="1" applyAlignment="1">
      <alignment horizontal="center" vertical="center"/>
    </xf>
    <xf numFmtId="0" fontId="0" fillId="3" borderId="1" xfId="1" applyFont="1" applyFill="1" applyBorder="1" applyAlignment="1">
      <alignment horizontal="left" vertical="center" wrapText="1"/>
    </xf>
    <xf numFmtId="16" fontId="0" fillId="3" borderId="1" xfId="1" applyNumberFormat="1" applyFont="1" applyFill="1" applyBorder="1" applyAlignment="1">
      <alignment horizontal="center" vertical="center" wrapText="1"/>
    </xf>
    <xf numFmtId="0" fontId="0" fillId="3" borderId="1" xfId="1" applyFont="1" applyFill="1" applyBorder="1" applyAlignment="1">
      <alignment vertical="center"/>
    </xf>
    <xf numFmtId="0" fontId="0" fillId="3" borderId="1" xfId="1" applyFont="1" applyFill="1" applyBorder="1" applyAlignment="1">
      <alignment horizontal="center"/>
    </xf>
    <xf numFmtId="9" fontId="12" fillId="0" borderId="0" xfId="1" applyNumberFormat="1" applyFont="1" applyFill="1" applyBorder="1" applyAlignment="1" applyProtection="1">
      <alignment horizontal="left" vertical="center" wrapText="1"/>
    </xf>
    <xf numFmtId="0" fontId="32" fillId="0" borderId="0" xfId="1" applyFont="1" applyFill="1" applyBorder="1" applyAlignment="1" applyProtection="1">
      <alignment vertical="center"/>
      <protection locked="0"/>
    </xf>
    <xf numFmtId="16" fontId="28" fillId="4" borderId="1" xfId="1" applyNumberFormat="1" applyFont="1" applyFill="1" applyBorder="1" applyAlignment="1">
      <alignment horizontal="center" vertical="center"/>
    </xf>
    <xf numFmtId="0" fontId="20" fillId="2" borderId="1" xfId="1" applyFont="1" applyFill="1" applyBorder="1" applyAlignment="1" applyProtection="1">
      <alignment horizontal="center" vertical="center"/>
      <protection locked="0"/>
    </xf>
    <xf numFmtId="0" fontId="20" fillId="2" borderId="2" xfId="1" applyFont="1" applyFill="1" applyBorder="1" applyAlignment="1" applyProtection="1">
      <alignment vertical="center"/>
      <protection locked="0"/>
    </xf>
    <xf numFmtId="0" fontId="20" fillId="2" borderId="3" xfId="1" applyFont="1" applyFill="1" applyBorder="1" applyAlignment="1" applyProtection="1">
      <alignment vertical="center"/>
      <protection locked="0"/>
    </xf>
    <xf numFmtId="0" fontId="20" fillId="2" borderId="1" xfId="1" applyFont="1" applyFill="1" applyBorder="1" applyAlignment="1" applyProtection="1">
      <alignment horizontal="center" vertical="center" wrapText="1"/>
      <protection locked="0"/>
    </xf>
    <xf numFmtId="0" fontId="20" fillId="5" borderId="1" xfId="1" applyFont="1" applyFill="1" applyBorder="1" applyAlignment="1" applyProtection="1">
      <alignment horizontal="center" vertical="center"/>
      <protection locked="0"/>
    </xf>
    <xf numFmtId="0" fontId="20" fillId="5" borderId="2" xfId="1" applyFont="1" applyFill="1" applyBorder="1" applyAlignment="1" applyProtection="1">
      <alignment vertical="center"/>
      <protection locked="0"/>
    </xf>
    <xf numFmtId="0" fontId="20" fillId="5" borderId="3" xfId="1" applyFont="1" applyFill="1" applyBorder="1" applyAlignment="1" applyProtection="1">
      <alignment vertical="center"/>
      <protection locked="0"/>
    </xf>
    <xf numFmtId="0" fontId="20" fillId="5" borderId="1" xfId="1" applyFont="1" applyFill="1" applyBorder="1" applyAlignment="1" applyProtection="1">
      <alignment horizontal="center" vertical="center" wrapText="1"/>
      <protection locked="0"/>
    </xf>
    <xf numFmtId="0" fontId="20" fillId="2" borderId="4" xfId="1" applyFont="1" applyFill="1" applyBorder="1" applyAlignment="1" applyProtection="1">
      <alignment horizontal="center" vertical="center"/>
      <protection locked="0"/>
    </xf>
    <xf numFmtId="0" fontId="20" fillId="2" borderId="4" xfId="1" applyFont="1" applyFill="1" applyBorder="1" applyAlignment="1" applyProtection="1">
      <alignment vertical="center"/>
      <protection locked="0"/>
    </xf>
    <xf numFmtId="0" fontId="20" fillId="2" borderId="5" xfId="1" applyFont="1" applyFill="1" applyBorder="1" applyAlignment="1" applyProtection="1">
      <alignment vertical="center"/>
      <protection locked="0"/>
    </xf>
    <xf numFmtId="0" fontId="20" fillId="2" borderId="6" xfId="1" applyFont="1" applyFill="1" applyBorder="1" applyAlignment="1" applyProtection="1">
      <alignment vertical="center"/>
      <protection locked="0"/>
    </xf>
    <xf numFmtId="0" fontId="28" fillId="4" borderId="1" xfId="1" applyFont="1" applyFill="1" applyBorder="1" applyAlignment="1">
      <alignment horizontal="center" vertical="center"/>
    </xf>
    <xf numFmtId="0" fontId="6" fillId="2" borderId="1" xfId="1" applyFont="1" applyFill="1" applyBorder="1" applyAlignment="1">
      <alignment horizontal="center" wrapText="1"/>
    </xf>
    <xf numFmtId="0" fontId="6" fillId="2" borderId="1" xfId="1" applyFont="1" applyFill="1" applyBorder="1" applyAlignment="1">
      <alignment horizontal="center" vertical="center" wrapText="1"/>
    </xf>
    <xf numFmtId="0" fontId="6" fillId="0" borderId="0" xfId="5" applyFont="1" applyAlignment="1">
      <alignment horizontal="left" vertical="center"/>
    </xf>
    <xf numFmtId="0" fontId="11" fillId="0" borderId="0" xfId="5" applyFont="1" applyAlignment="1">
      <alignment vertical="center"/>
    </xf>
    <xf numFmtId="0" fontId="33" fillId="0" borderId="0" xfId="5" applyFont="1" applyAlignment="1">
      <alignment horizontal="center" vertical="center"/>
    </xf>
    <xf numFmtId="0" fontId="11" fillId="2" borderId="1" xfId="5" applyFont="1" applyFill="1" applyBorder="1" applyAlignment="1">
      <alignment horizontal="center" vertical="center"/>
    </xf>
    <xf numFmtId="0" fontId="11" fillId="0" borderId="0" xfId="5" applyFont="1" applyAlignment="1">
      <alignment horizontal="center" vertical="center"/>
    </xf>
    <xf numFmtId="0" fontId="6" fillId="4" borderId="1" xfId="7" applyFont="1" applyFill="1" applyBorder="1" applyAlignment="1">
      <alignment horizontal="center" vertical="center" wrapText="1"/>
    </xf>
    <xf numFmtId="0" fontId="11" fillId="4" borderId="1" xfId="5" applyFont="1" applyFill="1" applyBorder="1" applyAlignment="1">
      <alignment horizontal="center" vertical="center"/>
    </xf>
    <xf numFmtId="0" fontId="34" fillId="6" borderId="1" xfId="5" applyFont="1" applyFill="1" applyBorder="1" applyAlignment="1">
      <alignment horizontal="center" vertical="center"/>
    </xf>
    <xf numFmtId="0" fontId="14" fillId="0" borderId="1" xfId="1" applyFont="1" applyBorder="1" applyAlignment="1">
      <alignment horizontal="left" vertical="center" wrapText="1"/>
    </xf>
    <xf numFmtId="0" fontId="11" fillId="0" borderId="0" xfId="5" applyFont="1" applyBorder="1" applyAlignment="1">
      <alignment horizontal="left" vertical="center" wrapText="1"/>
    </xf>
    <xf numFmtId="0" fontId="28" fillId="4" borderId="1" xfId="1" applyFont="1" applyFill="1" applyBorder="1" applyAlignment="1">
      <alignment horizontal="left" vertical="center" wrapText="1"/>
    </xf>
    <xf numFmtId="0" fontId="0" fillId="4" borderId="1" xfId="1" applyFont="1" applyFill="1" applyBorder="1" applyAlignment="1">
      <alignment horizontal="center" vertical="center" wrapText="1"/>
    </xf>
    <xf numFmtId="0" fontId="0" fillId="4" borderId="1" xfId="1" applyFont="1" applyFill="1" applyBorder="1" applyAlignment="1">
      <alignment horizontal="left" vertical="center" wrapText="1"/>
    </xf>
    <xf numFmtId="16" fontId="0" fillId="4" borderId="1" xfId="1" applyNumberFormat="1" applyFont="1" applyFill="1" applyBorder="1" applyAlignment="1">
      <alignment horizontal="center" vertical="center" wrapText="1"/>
    </xf>
    <xf numFmtId="0" fontId="20" fillId="2" borderId="6" xfId="1" applyFont="1" applyFill="1" applyBorder="1" applyAlignment="1" applyProtection="1">
      <alignment horizontal="center" vertical="center" wrapText="1"/>
      <protection locked="0"/>
    </xf>
    <xf numFmtId="2" fontId="20" fillId="2" borderId="2" xfId="1" applyNumberFormat="1" applyFont="1" applyFill="1" applyBorder="1" applyAlignment="1" applyProtection="1">
      <alignment horizontal="center" vertical="center" wrapText="1"/>
      <protection locked="0"/>
    </xf>
    <xf numFmtId="2" fontId="14" fillId="4" borderId="2" xfId="1" applyNumberFormat="1" applyFont="1" applyFill="1" applyBorder="1" applyAlignment="1" applyProtection="1">
      <alignment horizontal="left" vertical="center" wrapText="1"/>
      <protection locked="0"/>
    </xf>
    <xf numFmtId="1" fontId="14" fillId="4" borderId="1" xfId="1" applyNumberFormat="1" applyFont="1" applyFill="1" applyBorder="1" applyAlignment="1" applyProtection="1">
      <alignment horizontal="center" vertical="center" wrapText="1"/>
      <protection locked="0"/>
    </xf>
    <xf numFmtId="9" fontId="14" fillId="4" borderId="1" xfId="11" applyNumberFormat="1" applyFont="1" applyFill="1" applyBorder="1" applyAlignment="1" applyProtection="1">
      <alignment horizontal="center" vertical="center" wrapText="1"/>
      <protection locked="0"/>
    </xf>
    <xf numFmtId="1" fontId="20" fillId="2" borderId="2" xfId="1" applyNumberFormat="1" applyFont="1" applyFill="1" applyBorder="1" applyAlignment="1" applyProtection="1">
      <alignment horizontal="center" vertical="center" wrapText="1"/>
      <protection locked="0"/>
    </xf>
    <xf numFmtId="9" fontId="20" fillId="2" borderId="2" xfId="11" applyFont="1" applyFill="1" applyBorder="1" applyAlignment="1" applyProtection="1">
      <alignment horizontal="center" vertical="center" wrapText="1"/>
      <protection locked="0"/>
    </xf>
    <xf numFmtId="0" fontId="14" fillId="2" borderId="1" xfId="1" applyFont="1" applyFill="1" applyBorder="1" applyAlignment="1" applyProtection="1">
      <alignment horizontal="center" vertical="center" wrapText="1"/>
    </xf>
    <xf numFmtId="0" fontId="19" fillId="5" borderId="1" xfId="5" applyFont="1" applyFill="1" applyBorder="1" applyAlignment="1">
      <alignment horizontal="center" vertical="center" wrapText="1"/>
    </xf>
    <xf numFmtId="0" fontId="6" fillId="5" borderId="1" xfId="1" applyNumberFormat="1" applyFont="1" applyFill="1" applyBorder="1" applyAlignment="1">
      <alignment horizontal="center" vertical="center"/>
    </xf>
    <xf numFmtId="0" fontId="11" fillId="2" borderId="1" xfId="1" applyFont="1" applyFill="1" applyBorder="1" applyAlignment="1" applyProtection="1">
      <alignment horizontal="left" vertical="center" wrapText="1"/>
      <protection locked="0"/>
    </xf>
    <xf numFmtId="0" fontId="11" fillId="0" borderId="0" xfId="10" applyFont="1" applyAlignment="1">
      <alignment vertical="center"/>
    </xf>
    <xf numFmtId="0" fontId="11" fillId="2" borderId="3" xfId="1" applyFont="1" applyFill="1" applyBorder="1" applyAlignment="1" applyProtection="1">
      <alignment horizontal="left" vertical="center" wrapText="1"/>
      <protection locked="0"/>
    </xf>
    <xf numFmtId="0" fontId="11" fillId="2" borderId="2" xfId="1" applyFont="1" applyFill="1" applyBorder="1" applyAlignment="1" applyProtection="1">
      <alignment horizontal="left" vertical="center" wrapText="1"/>
      <protection locked="0"/>
    </xf>
    <xf numFmtId="0" fontId="6" fillId="2" borderId="2" xfId="1" applyFont="1" applyFill="1" applyBorder="1" applyAlignment="1" applyProtection="1">
      <alignment horizontal="left" vertical="center" wrapText="1"/>
      <protection locked="0"/>
    </xf>
    <xf numFmtId="0" fontId="6" fillId="2" borderId="4" xfId="1" applyFont="1" applyFill="1" applyBorder="1" applyAlignment="1" applyProtection="1">
      <alignment vertical="center"/>
      <protection locked="0"/>
    </xf>
    <xf numFmtId="0" fontId="6" fillId="2" borderId="4" xfId="1" applyFont="1" applyFill="1" applyBorder="1" applyAlignment="1" applyProtection="1">
      <alignment horizontal="center" vertical="center"/>
      <protection locked="0"/>
    </xf>
    <xf numFmtId="0" fontId="6" fillId="2" borderId="5" xfId="1" applyFont="1" applyFill="1" applyBorder="1" applyAlignment="1" applyProtection="1">
      <alignment vertical="center"/>
      <protection locked="0"/>
    </xf>
    <xf numFmtId="0" fontId="11" fillId="2" borderId="7" xfId="1" applyFont="1" applyFill="1" applyBorder="1" applyAlignment="1" applyProtection="1">
      <alignment horizontal="left" vertical="center" wrapText="1"/>
      <protection locked="0"/>
    </xf>
    <xf numFmtId="0" fontId="39" fillId="7" borderId="1" xfId="1" applyFont="1" applyFill="1" applyBorder="1" applyAlignment="1">
      <alignment horizontal="center" vertical="center"/>
    </xf>
    <xf numFmtId="0" fontId="39" fillId="7" borderId="1" xfId="1" applyFont="1" applyFill="1" applyBorder="1" applyAlignment="1">
      <alignment horizontal="left" vertical="center" wrapText="1"/>
    </xf>
    <xf numFmtId="16" fontId="39" fillId="7" borderId="1" xfId="1" applyNumberFormat="1" applyFont="1" applyFill="1" applyBorder="1" applyAlignment="1">
      <alignment horizontal="center" vertical="center" wrapText="1"/>
    </xf>
    <xf numFmtId="0" fontId="39" fillId="7" borderId="1" xfId="1" applyFont="1" applyFill="1" applyBorder="1" applyAlignment="1">
      <alignment vertical="center"/>
    </xf>
    <xf numFmtId="0" fontId="39" fillId="7" borderId="1" xfId="1" applyFont="1" applyFill="1" applyBorder="1" applyAlignment="1">
      <alignment horizontal="center"/>
    </xf>
    <xf numFmtId="0" fontId="39" fillId="8" borderId="1" xfId="1" applyFont="1" applyFill="1" applyBorder="1" applyAlignment="1">
      <alignment horizontal="center" vertical="center"/>
    </xf>
    <xf numFmtId="0" fontId="39" fillId="8" borderId="1" xfId="1" applyFont="1" applyFill="1" applyBorder="1" applyAlignment="1">
      <alignment horizontal="left" vertical="center" wrapText="1"/>
    </xf>
    <xf numFmtId="16" fontId="39" fillId="8" borderId="1" xfId="1" applyNumberFormat="1" applyFont="1" applyFill="1" applyBorder="1" applyAlignment="1">
      <alignment horizontal="center" vertical="center" wrapText="1"/>
    </xf>
    <xf numFmtId="0" fontId="39" fillId="8" borderId="1" xfId="1" applyFont="1" applyFill="1" applyBorder="1" applyAlignment="1">
      <alignment vertical="center"/>
    </xf>
    <xf numFmtId="0" fontId="39" fillId="8" borderId="1" xfId="1" applyFont="1" applyFill="1" applyBorder="1" applyAlignment="1">
      <alignment horizontal="center"/>
    </xf>
    <xf numFmtId="2" fontId="14" fillId="4" borderId="0" xfId="1" applyNumberFormat="1" applyFont="1" applyFill="1" applyBorder="1" applyAlignment="1" applyProtection="1">
      <alignment horizontal="left" vertical="center" wrapText="1"/>
      <protection locked="0"/>
    </xf>
    <xf numFmtId="1" fontId="14" fillId="4" borderId="0" xfId="1" applyNumberFormat="1" applyFont="1" applyFill="1" applyBorder="1" applyAlignment="1" applyProtection="1">
      <alignment horizontal="center" vertical="center" wrapText="1"/>
      <protection locked="0"/>
    </xf>
    <xf numFmtId="9" fontId="14" fillId="4" borderId="0" xfId="11" applyNumberFormat="1" applyFont="1" applyFill="1" applyBorder="1" applyAlignment="1" applyProtection="1">
      <alignment horizontal="center" vertical="center" wrapText="1"/>
      <protection locked="0"/>
    </xf>
    <xf numFmtId="2" fontId="20" fillId="2" borderId="1" xfId="1" applyNumberFormat="1" applyFont="1" applyFill="1" applyBorder="1" applyAlignment="1" applyProtection="1">
      <alignment horizontal="left" vertical="center" wrapText="1"/>
      <protection locked="0"/>
    </xf>
    <xf numFmtId="2" fontId="20" fillId="2" borderId="1" xfId="1" applyNumberFormat="1" applyFont="1" applyFill="1" applyBorder="1" applyAlignment="1" applyProtection="1">
      <alignment horizontal="center" vertical="center" wrapText="1"/>
      <protection locked="0"/>
    </xf>
    <xf numFmtId="9" fontId="20" fillId="2" borderId="1" xfId="1" applyNumberFormat="1" applyFont="1" applyFill="1" applyBorder="1" applyAlignment="1" applyProtection="1">
      <alignment horizontal="center" vertical="center" wrapText="1"/>
      <protection locked="0"/>
    </xf>
    <xf numFmtId="0" fontId="20" fillId="5" borderId="1" xfId="1" applyFont="1" applyFill="1" applyBorder="1" applyAlignment="1" applyProtection="1">
      <alignment vertical="center"/>
      <protection locked="0"/>
    </xf>
    <xf numFmtId="0" fontId="39" fillId="9" borderId="1" xfId="1" applyFont="1" applyFill="1" applyBorder="1" applyAlignment="1">
      <alignment horizontal="center" vertical="center"/>
    </xf>
    <xf numFmtId="0" fontId="39" fillId="9" borderId="1" xfId="1" applyFont="1" applyFill="1" applyBorder="1" applyAlignment="1">
      <alignment horizontal="left" vertical="center" wrapText="1"/>
    </xf>
    <xf numFmtId="16" fontId="39" fillId="9" borderId="1" xfId="1" applyNumberFormat="1" applyFont="1" applyFill="1" applyBorder="1" applyAlignment="1">
      <alignment horizontal="center" vertical="center" wrapText="1"/>
    </xf>
    <xf numFmtId="0" fontId="39" fillId="9" borderId="1" xfId="1" applyFont="1" applyFill="1" applyBorder="1" applyAlignment="1">
      <alignment vertical="center"/>
    </xf>
    <xf numFmtId="0" fontId="39" fillId="9" borderId="1" xfId="1" applyFont="1" applyFill="1" applyBorder="1" applyAlignment="1">
      <alignment horizontal="center"/>
    </xf>
    <xf numFmtId="0" fontId="20" fillId="5" borderId="3" xfId="1" applyFont="1" applyFill="1" applyBorder="1" applyAlignment="1" applyProtection="1">
      <alignment horizontal="center" vertical="center"/>
      <protection locked="0"/>
    </xf>
    <xf numFmtId="1" fontId="20" fillId="5" borderId="1" xfId="1" applyNumberFormat="1" applyFont="1" applyFill="1" applyBorder="1" applyAlignment="1" applyProtection="1">
      <alignment horizontal="center" vertical="center"/>
      <protection locked="0"/>
    </xf>
    <xf numFmtId="0" fontId="20" fillId="5" borderId="1" xfId="1" applyNumberFormat="1" applyFont="1" applyFill="1" applyBorder="1" applyAlignment="1" applyProtection="1">
      <alignment horizontal="center" vertical="center"/>
      <protection locked="0"/>
    </xf>
    <xf numFmtId="0" fontId="20" fillId="2" borderId="1" xfId="3" applyFont="1" applyFill="1" applyBorder="1" applyAlignment="1" applyProtection="1">
      <alignment horizontal="center" vertical="center"/>
      <protection locked="0"/>
    </xf>
    <xf numFmtId="0" fontId="20" fillId="2" borderId="2" xfId="3" applyFont="1" applyFill="1" applyBorder="1" applyAlignment="1" applyProtection="1">
      <alignment vertical="center"/>
      <protection locked="0"/>
    </xf>
    <xf numFmtId="0" fontId="20" fillId="2" borderId="3" xfId="3" applyFont="1" applyFill="1" applyBorder="1" applyAlignment="1" applyProtection="1">
      <alignment vertical="center"/>
      <protection locked="0"/>
    </xf>
    <xf numFmtId="0" fontId="29" fillId="0" borderId="0" xfId="3" applyFont="1" applyAlignment="1" applyProtection="1">
      <alignment vertical="center"/>
      <protection locked="0"/>
    </xf>
    <xf numFmtId="0" fontId="11" fillId="2" borderId="1" xfId="3" applyFont="1" applyFill="1" applyBorder="1" applyAlignment="1" applyProtection="1">
      <alignment horizontal="left" vertical="center" wrapText="1"/>
      <protection locked="0"/>
    </xf>
    <xf numFmtId="0" fontId="11" fillId="2" borderId="7" xfId="3" applyFont="1" applyFill="1" applyBorder="1" applyAlignment="1" applyProtection="1">
      <alignment horizontal="left" vertical="center" wrapText="1"/>
      <protection locked="0"/>
    </xf>
    <xf numFmtId="0" fontId="11" fillId="2" borderId="3" xfId="3" applyFont="1" applyFill="1" applyBorder="1" applyAlignment="1" applyProtection="1">
      <alignment horizontal="left" vertical="center" wrapText="1"/>
      <protection locked="0"/>
    </xf>
    <xf numFmtId="0" fontId="11" fillId="2" borderId="2" xfId="3" applyFont="1" applyFill="1" applyBorder="1" applyAlignment="1" applyProtection="1">
      <alignment horizontal="left" vertical="center" wrapText="1"/>
      <protection locked="0"/>
    </xf>
    <xf numFmtId="0" fontId="6" fillId="2" borderId="2" xfId="3" applyFont="1" applyFill="1" applyBorder="1" applyAlignment="1" applyProtection="1">
      <alignment horizontal="left" vertical="center" wrapText="1"/>
      <protection locked="0"/>
    </xf>
    <xf numFmtId="0" fontId="6" fillId="4" borderId="4" xfId="3" applyFont="1" applyFill="1" applyBorder="1" applyAlignment="1" applyProtection="1">
      <alignment horizontal="center" vertical="center"/>
      <protection locked="0"/>
    </xf>
    <xf numFmtId="0" fontId="6" fillId="2" borderId="4" xfId="3" applyFont="1" applyFill="1" applyBorder="1" applyAlignment="1" applyProtection="1">
      <alignment vertical="center"/>
      <protection locked="0"/>
    </xf>
    <xf numFmtId="0" fontId="6" fillId="2" borderId="5" xfId="3" applyFont="1" applyFill="1" applyBorder="1" applyAlignment="1" applyProtection="1">
      <alignment vertical="center"/>
      <protection locked="0"/>
    </xf>
    <xf numFmtId="0" fontId="20" fillId="2" borderId="1" xfId="2" applyFont="1" applyFill="1" applyBorder="1" applyAlignment="1" applyProtection="1">
      <alignment horizontal="center" vertical="center"/>
      <protection locked="0"/>
    </xf>
    <xf numFmtId="0" fontId="20" fillId="2" borderId="2" xfId="2" applyFont="1" applyFill="1" applyBorder="1" applyAlignment="1" applyProtection="1">
      <alignment vertical="center"/>
      <protection locked="0"/>
    </xf>
    <xf numFmtId="0" fontId="20" fillId="2" borderId="3" xfId="2" applyFont="1" applyFill="1" applyBorder="1" applyAlignment="1" applyProtection="1">
      <alignment vertical="center"/>
      <protection locked="0"/>
    </xf>
    <xf numFmtId="0" fontId="29" fillId="0" borderId="0" xfId="2" applyFont="1" applyAlignment="1" applyProtection="1">
      <alignment vertical="center"/>
      <protection locked="0"/>
    </xf>
    <xf numFmtId="0" fontId="11" fillId="2" borderId="1" xfId="2" applyFont="1" applyFill="1" applyBorder="1" applyAlignment="1" applyProtection="1">
      <alignment horizontal="left" vertical="center" wrapText="1"/>
      <protection locked="0"/>
    </xf>
    <xf numFmtId="0" fontId="11" fillId="2" borderId="7" xfId="2" applyFont="1" applyFill="1" applyBorder="1" applyAlignment="1" applyProtection="1">
      <alignment horizontal="left" vertical="center" wrapText="1"/>
      <protection locked="0"/>
    </xf>
    <xf numFmtId="0" fontId="11" fillId="2" borderId="3" xfId="2" applyFont="1" applyFill="1" applyBorder="1" applyAlignment="1" applyProtection="1">
      <alignment horizontal="left" vertical="center" wrapText="1"/>
      <protection locked="0"/>
    </xf>
    <xf numFmtId="0" fontId="11" fillId="2" borderId="8" xfId="2" applyFont="1" applyFill="1" applyBorder="1" applyAlignment="1" applyProtection="1">
      <alignment horizontal="left" vertical="center" wrapText="1"/>
      <protection locked="0"/>
    </xf>
    <xf numFmtId="0" fontId="11" fillId="2" borderId="4" xfId="2" applyFont="1" applyFill="1" applyBorder="1" applyAlignment="1" applyProtection="1">
      <alignment horizontal="left" vertical="center" wrapText="1"/>
      <protection locked="0"/>
    </xf>
    <xf numFmtId="0" fontId="11" fillId="2" borderId="2" xfId="2" applyFont="1" applyFill="1" applyBorder="1" applyAlignment="1" applyProtection="1">
      <alignment horizontal="left" vertical="center" wrapText="1"/>
      <protection locked="0"/>
    </xf>
    <xf numFmtId="0" fontId="6" fillId="2" borderId="1" xfId="2" applyFont="1" applyFill="1" applyBorder="1" applyAlignment="1" applyProtection="1">
      <alignment vertical="center"/>
      <protection locked="0"/>
    </xf>
    <xf numFmtId="0" fontId="6" fillId="2" borderId="9" xfId="1" applyFont="1" applyFill="1" applyBorder="1" applyAlignment="1">
      <alignment horizontal="center" vertical="center" wrapText="1"/>
    </xf>
    <xf numFmtId="0" fontId="11" fillId="0" borderId="9" xfId="5" applyFont="1" applyBorder="1" applyAlignment="1">
      <alignment horizontal="left" vertical="center"/>
    </xf>
    <xf numFmtId="0" fontId="28" fillId="0" borderId="0" xfId="1" applyFont="1" applyAlignment="1" applyProtection="1">
      <alignment vertical="center"/>
    </xf>
    <xf numFmtId="0" fontId="28" fillId="0" borderId="0" xfId="1" applyFont="1" applyAlignment="1" applyProtection="1">
      <alignment vertical="center"/>
      <protection locked="0"/>
    </xf>
    <xf numFmtId="16" fontId="28" fillId="0" borderId="0" xfId="1" applyNumberFormat="1" applyFont="1" applyAlignment="1" applyProtection="1">
      <alignment vertical="center"/>
      <protection locked="0"/>
    </xf>
    <xf numFmtId="0" fontId="20" fillId="0" borderId="0" xfId="1" applyFont="1" applyAlignment="1" applyProtection="1">
      <alignment vertical="center"/>
      <protection locked="0"/>
    </xf>
    <xf numFmtId="0" fontId="30" fillId="0" borderId="0" xfId="1" applyFont="1" applyBorder="1" applyAlignment="1" applyProtection="1">
      <alignment horizontal="left" vertical="center" wrapText="1"/>
      <protection locked="0"/>
    </xf>
    <xf numFmtId="0" fontId="40" fillId="0" borderId="0" xfId="1" applyFont="1" applyBorder="1" applyAlignment="1" applyProtection="1">
      <alignment vertical="center"/>
      <protection locked="0"/>
    </xf>
    <xf numFmtId="0" fontId="36" fillId="2" borderId="3" xfId="1" applyFont="1" applyFill="1" applyBorder="1" applyAlignment="1" applyProtection="1">
      <alignment vertical="center"/>
      <protection locked="0"/>
    </xf>
    <xf numFmtId="0" fontId="11" fillId="4" borderId="1" xfId="1" applyNumberFormat="1" applyFont="1" applyFill="1" applyBorder="1" applyAlignment="1" applyProtection="1">
      <alignment horizontal="center" vertical="center"/>
      <protection locked="0"/>
    </xf>
    <xf numFmtId="0" fontId="6" fillId="2" borderId="3" xfId="1" applyFont="1" applyFill="1" applyBorder="1" applyAlignment="1" applyProtection="1">
      <alignment vertical="center"/>
      <protection locked="0"/>
    </xf>
    <xf numFmtId="0" fontId="11" fillId="2" borderId="3" xfId="1" applyFont="1" applyFill="1" applyBorder="1" applyAlignment="1" applyProtection="1">
      <alignment vertical="center"/>
      <protection locked="0"/>
    </xf>
    <xf numFmtId="0" fontId="11" fillId="0" borderId="0" xfId="1" applyFont="1" applyAlignment="1" applyProtection="1">
      <alignment vertical="center"/>
      <protection locked="0"/>
    </xf>
    <xf numFmtId="0" fontId="6" fillId="0" borderId="0" xfId="1" applyFont="1" applyAlignment="1" applyProtection="1">
      <alignment vertical="center"/>
      <protection locked="0"/>
    </xf>
    <xf numFmtId="0" fontId="11" fillId="0" borderId="0" xfId="1" applyFont="1" applyAlignment="1" applyProtection="1">
      <alignment horizontal="left" vertical="center"/>
      <protection locked="0"/>
    </xf>
    <xf numFmtId="0" fontId="6" fillId="0" borderId="0" xfId="1" applyFont="1" applyAlignment="1" applyProtection="1">
      <alignment horizontal="left" vertical="center"/>
      <protection locked="0"/>
    </xf>
    <xf numFmtId="0" fontId="11" fillId="2" borderId="1" xfId="0" applyFont="1" applyFill="1" applyBorder="1" applyAlignment="1" applyProtection="1">
      <alignment vertical="center" wrapText="1"/>
      <protection locked="0"/>
    </xf>
    <xf numFmtId="0" fontId="11" fillId="2" borderId="3" xfId="0" applyFont="1" applyFill="1" applyBorder="1" applyAlignment="1" applyProtection="1">
      <alignment vertical="center" wrapText="1"/>
      <protection locked="0"/>
    </xf>
    <xf numFmtId="0" fontId="36" fillId="2" borderId="3" xfId="1" applyFont="1" applyFill="1" applyBorder="1" applyAlignment="1" applyProtection="1">
      <alignment horizontal="center" vertical="center"/>
      <protection locked="0"/>
    </xf>
    <xf numFmtId="0" fontId="11" fillId="2" borderId="3" xfId="1" applyFont="1" applyFill="1" applyBorder="1" applyAlignment="1" applyProtection="1">
      <alignment horizontal="center" vertical="center"/>
      <protection locked="0"/>
    </xf>
    <xf numFmtId="0" fontId="0" fillId="0" borderId="0" xfId="1" applyFont="1" applyAlignment="1" applyProtection="1">
      <alignment vertical="center"/>
      <protection locked="0"/>
    </xf>
    <xf numFmtId="16" fontId="0" fillId="0" borderId="0" xfId="1" applyNumberFormat="1" applyFont="1" applyAlignment="1" applyProtection="1">
      <alignment vertical="center"/>
      <protection locked="0"/>
    </xf>
    <xf numFmtId="0" fontId="14" fillId="0" borderId="0" xfId="2" applyFont="1" applyAlignment="1" applyProtection="1">
      <alignment vertical="center"/>
      <protection locked="0"/>
    </xf>
    <xf numFmtId="16" fontId="14" fillId="0" borderId="0" xfId="2" applyNumberFormat="1" applyFont="1" applyAlignment="1" applyProtection="1">
      <alignment vertical="center"/>
      <protection locked="0"/>
    </xf>
    <xf numFmtId="0" fontId="14" fillId="0" borderId="0" xfId="2" applyFont="1" applyAlignment="1" applyProtection="1">
      <alignment horizontal="left" vertical="center"/>
      <protection locked="0"/>
    </xf>
    <xf numFmtId="0" fontId="20" fillId="0" borderId="0" xfId="2" applyFont="1" applyAlignment="1" applyProtection="1">
      <alignment vertical="center"/>
      <protection locked="0"/>
    </xf>
    <xf numFmtId="0" fontId="14" fillId="0" borderId="0" xfId="2" applyFont="1" applyBorder="1" applyAlignment="1" applyProtection="1">
      <alignment horizontal="left" vertical="center" wrapText="1"/>
      <protection locked="0"/>
    </xf>
    <xf numFmtId="0" fontId="40" fillId="0" borderId="0" xfId="2" applyFont="1" applyAlignment="1" applyProtection="1">
      <alignment vertical="center"/>
      <protection locked="0"/>
    </xf>
    <xf numFmtId="0" fontId="11" fillId="4" borderId="1" xfId="2" applyFont="1" applyFill="1" applyBorder="1" applyAlignment="1" applyProtection="1">
      <alignment horizontal="center" vertical="center"/>
      <protection locked="0"/>
    </xf>
    <xf numFmtId="0" fontId="6" fillId="2" borderId="3" xfId="2" applyFont="1" applyFill="1" applyBorder="1" applyAlignment="1" applyProtection="1">
      <alignment vertical="center"/>
      <protection locked="0"/>
    </xf>
    <xf numFmtId="0" fontId="11" fillId="2" borderId="3" xfId="2" applyFont="1" applyFill="1" applyBorder="1" applyAlignment="1" applyProtection="1">
      <alignment vertical="center"/>
      <protection locked="0"/>
    </xf>
    <xf numFmtId="0" fontId="36" fillId="2" borderId="3" xfId="2" applyFont="1" applyFill="1" applyBorder="1" applyAlignment="1" applyProtection="1">
      <alignment horizontal="center" vertical="center"/>
      <protection locked="0"/>
    </xf>
    <xf numFmtId="0" fontId="11" fillId="2" borderId="3" xfId="2" applyFont="1" applyFill="1" applyBorder="1" applyAlignment="1" applyProtection="1">
      <alignment horizontal="center" vertical="center"/>
      <protection locked="0"/>
    </xf>
    <xf numFmtId="0" fontId="11" fillId="0" borderId="0" xfId="2" applyFont="1" applyAlignment="1" applyProtection="1">
      <alignment vertical="center"/>
      <protection locked="0"/>
    </xf>
    <xf numFmtId="0" fontId="6" fillId="0" borderId="0" xfId="2" applyFont="1" applyAlignment="1" applyProtection="1">
      <alignment vertical="center"/>
      <protection locked="0"/>
    </xf>
    <xf numFmtId="0" fontId="11" fillId="0" borderId="0" xfId="2" applyFont="1" applyAlignment="1" applyProtection="1">
      <alignment horizontal="left" vertical="center"/>
      <protection locked="0"/>
    </xf>
    <xf numFmtId="0" fontId="6" fillId="0" borderId="0" xfId="2" applyFont="1" applyAlignment="1" applyProtection="1">
      <alignment horizontal="left" vertical="center"/>
      <protection locked="0"/>
    </xf>
    <xf numFmtId="0" fontId="11" fillId="4" borderId="1" xfId="2" applyFont="1" applyFill="1" applyBorder="1" applyAlignment="1" applyProtection="1">
      <alignment horizontal="center" vertical="center" wrapText="1"/>
      <protection locked="0"/>
    </xf>
    <xf numFmtId="0" fontId="6" fillId="2" borderId="3" xfId="2" applyFont="1" applyFill="1" applyBorder="1" applyAlignment="1" applyProtection="1">
      <alignment horizontal="center" vertical="center"/>
      <protection locked="0"/>
    </xf>
    <xf numFmtId="0" fontId="11" fillId="0" borderId="0" xfId="2" applyFont="1" applyBorder="1" applyAlignment="1" applyProtection="1">
      <alignment horizontal="left" vertical="center"/>
      <protection locked="0"/>
    </xf>
    <xf numFmtId="0" fontId="6" fillId="0" borderId="0" xfId="2" applyFont="1" applyBorder="1" applyAlignment="1" applyProtection="1">
      <alignment horizontal="left" vertical="center"/>
      <protection locked="0"/>
    </xf>
    <xf numFmtId="0" fontId="11" fillId="2" borderId="8" xfId="0" applyFont="1" applyFill="1" applyBorder="1" applyAlignment="1" applyProtection="1">
      <alignment vertical="center" wrapText="1"/>
      <protection locked="0"/>
    </xf>
    <xf numFmtId="0" fontId="11" fillId="0" borderId="12" xfId="2" applyFont="1" applyBorder="1" applyAlignment="1" applyProtection="1">
      <alignment horizontal="left" vertical="center"/>
      <protection locked="0"/>
    </xf>
    <xf numFmtId="0" fontId="0" fillId="0" borderId="0" xfId="2" applyFont="1" applyAlignment="1" applyProtection="1">
      <alignment vertical="center"/>
      <protection locked="0"/>
    </xf>
    <xf numFmtId="16" fontId="0" fillId="0" borderId="0" xfId="2" applyNumberFormat="1" applyFont="1" applyAlignment="1" applyProtection="1">
      <alignment vertical="center"/>
      <protection locked="0"/>
    </xf>
    <xf numFmtId="0" fontId="14" fillId="0" borderId="0" xfId="2" applyFont="1" applyAlignment="1" applyProtection="1">
      <alignment vertical="center"/>
    </xf>
    <xf numFmtId="0" fontId="11" fillId="4" borderId="1" xfId="1" applyFont="1" applyFill="1" applyBorder="1" applyAlignment="1" applyProtection="1">
      <alignment horizontal="center" vertical="center"/>
      <protection locked="0"/>
    </xf>
    <xf numFmtId="16" fontId="28" fillId="4" borderId="0" xfId="1" applyNumberFormat="1" applyFont="1" applyFill="1" applyBorder="1" applyAlignment="1" applyProtection="1">
      <alignment horizontal="center" vertical="center"/>
    </xf>
    <xf numFmtId="0" fontId="11" fillId="2" borderId="1" xfId="0" applyFont="1" applyFill="1" applyBorder="1" applyAlignment="1" applyProtection="1">
      <alignment horizontal="left" vertical="center" wrapText="1"/>
      <protection locked="0"/>
    </xf>
    <xf numFmtId="0" fontId="14" fillId="0" borderId="0" xfId="3" applyFont="1" applyAlignment="1" applyProtection="1">
      <alignment vertical="center"/>
      <protection locked="0"/>
    </xf>
    <xf numFmtId="16" fontId="14" fillId="0" borderId="0" xfId="3" applyNumberFormat="1" applyFont="1" applyAlignment="1" applyProtection="1">
      <alignment vertical="center"/>
      <protection locked="0"/>
    </xf>
    <xf numFmtId="0" fontId="20" fillId="0" borderId="0" xfId="3" applyFont="1" applyAlignment="1" applyProtection="1">
      <alignment vertical="center"/>
      <protection locked="0"/>
    </xf>
    <xf numFmtId="0" fontId="30" fillId="0" borderId="0" xfId="3" applyFont="1" applyBorder="1" applyAlignment="1" applyProtection="1">
      <alignment horizontal="left" vertical="center" wrapText="1"/>
      <protection locked="0"/>
    </xf>
    <xf numFmtId="0" fontId="40" fillId="0" borderId="0" xfId="3" applyFont="1" applyBorder="1" applyAlignment="1" applyProtection="1">
      <alignment vertical="center"/>
      <protection locked="0"/>
    </xf>
    <xf numFmtId="0" fontId="11" fillId="4" borderId="1" xfId="3" applyFont="1" applyFill="1" applyBorder="1" applyAlignment="1" applyProtection="1">
      <alignment horizontal="center" vertical="center"/>
      <protection locked="0"/>
    </xf>
    <xf numFmtId="0" fontId="6" fillId="2" borderId="3" xfId="3" applyFont="1" applyFill="1" applyBorder="1" applyAlignment="1" applyProtection="1">
      <alignment vertical="center"/>
      <protection locked="0"/>
    </xf>
    <xf numFmtId="0" fontId="11" fillId="2" borderId="3" xfId="3" applyFont="1" applyFill="1" applyBorder="1" applyAlignment="1" applyProtection="1">
      <alignment vertical="center"/>
      <protection locked="0"/>
    </xf>
    <xf numFmtId="0" fontId="36" fillId="2" borderId="3" xfId="3" applyFont="1" applyFill="1" applyBorder="1" applyAlignment="1" applyProtection="1">
      <alignment horizontal="center" vertical="center"/>
      <protection locked="0"/>
    </xf>
    <xf numFmtId="0" fontId="11" fillId="2" borderId="3" xfId="3" applyFont="1" applyFill="1" applyBorder="1" applyAlignment="1" applyProtection="1">
      <alignment horizontal="center" vertical="center"/>
      <protection locked="0"/>
    </xf>
    <xf numFmtId="0" fontId="11" fillId="0" borderId="0" xfId="3" applyFont="1" applyAlignment="1" applyProtection="1">
      <alignment vertical="center"/>
      <protection locked="0"/>
    </xf>
    <xf numFmtId="0" fontId="6" fillId="0" borderId="0" xfId="3" applyFont="1" applyAlignment="1" applyProtection="1">
      <alignment vertical="center"/>
      <protection locked="0"/>
    </xf>
    <xf numFmtId="0" fontId="11" fillId="0" borderId="0" xfId="3" applyFont="1" applyAlignment="1" applyProtection="1">
      <alignment horizontal="left" vertical="center"/>
      <protection locked="0"/>
    </xf>
    <xf numFmtId="0" fontId="6" fillId="0" borderId="0" xfId="3" applyFont="1" applyAlignment="1" applyProtection="1">
      <alignment horizontal="left" vertical="center"/>
      <protection locked="0"/>
    </xf>
    <xf numFmtId="0" fontId="42" fillId="0" borderId="0" xfId="3" applyFont="1" applyAlignment="1" applyProtection="1">
      <alignment vertical="center"/>
      <protection locked="0"/>
    </xf>
    <xf numFmtId="16" fontId="42" fillId="0" borderId="0" xfId="3" applyNumberFormat="1" applyFont="1" applyAlignment="1" applyProtection="1">
      <alignment vertical="center"/>
      <protection locked="0"/>
    </xf>
    <xf numFmtId="0" fontId="14" fillId="0" borderId="0" xfId="3" applyFont="1" applyAlignment="1" applyProtection="1">
      <alignment vertical="center"/>
    </xf>
    <xf numFmtId="16" fontId="14" fillId="4" borderId="0" xfId="3" applyNumberFormat="1" applyFont="1" applyFill="1" applyBorder="1" applyAlignment="1" applyProtection="1">
      <alignment horizontal="center" vertical="center"/>
    </xf>
    <xf numFmtId="16" fontId="28" fillId="4" borderId="1" xfId="1" applyNumberFormat="1" applyFont="1" applyFill="1" applyBorder="1" applyAlignment="1" applyProtection="1">
      <alignment horizontal="center" vertical="center"/>
      <protection locked="0"/>
    </xf>
    <xf numFmtId="0" fontId="0" fillId="4" borderId="1" xfId="1" applyFont="1" applyFill="1" applyBorder="1" applyAlignment="1" applyProtection="1">
      <alignment horizontal="left" vertical="center" wrapText="1"/>
      <protection locked="0"/>
    </xf>
    <xf numFmtId="0" fontId="0" fillId="4" borderId="1" xfId="1" applyFont="1" applyFill="1" applyBorder="1" applyAlignment="1" applyProtection="1">
      <alignment horizontal="center" vertical="center" wrapText="1"/>
      <protection locked="0"/>
    </xf>
    <xf numFmtId="16" fontId="0" fillId="4" borderId="1" xfId="1" applyNumberFormat="1" applyFont="1" applyFill="1" applyBorder="1" applyAlignment="1" applyProtection="1">
      <alignment horizontal="center" vertical="center" wrapText="1"/>
      <protection locked="0"/>
    </xf>
    <xf numFmtId="0" fontId="5" fillId="2" borderId="1" xfId="1" applyFont="1" applyFill="1" applyBorder="1" applyAlignment="1" applyProtection="1">
      <alignment horizontal="left" vertical="center" wrapText="1"/>
      <protection locked="0"/>
    </xf>
    <xf numFmtId="0" fontId="11" fillId="2" borderId="3" xfId="1" applyFont="1" applyFill="1" applyBorder="1" applyAlignment="1" applyProtection="1">
      <alignment horizontal="center" vertical="center"/>
      <protection locked="0"/>
    </xf>
    <xf numFmtId="0" fontId="5" fillId="2" borderId="7" xfId="1" applyFont="1" applyFill="1" applyBorder="1" applyAlignment="1" applyProtection="1">
      <alignment horizontal="left" vertical="center" wrapText="1"/>
      <protection locked="0"/>
    </xf>
    <xf numFmtId="0" fontId="5" fillId="0" borderId="0" xfId="1" applyFont="1" applyAlignment="1">
      <alignment horizontal="left" vertical="center"/>
    </xf>
    <xf numFmtId="0" fontId="5" fillId="2" borderId="1" xfId="3" applyFont="1" applyFill="1" applyBorder="1" applyAlignment="1" applyProtection="1">
      <alignment horizontal="left" vertical="center" wrapText="1"/>
      <protection locked="0"/>
    </xf>
    <xf numFmtId="0" fontId="5" fillId="0" borderId="0" xfId="1" applyFont="1" applyAlignment="1" applyProtection="1">
      <alignment horizontal="left" vertical="center"/>
      <protection locked="0"/>
    </xf>
    <xf numFmtId="0" fontId="5" fillId="4" borderId="1" xfId="2" applyFont="1" applyFill="1" applyBorder="1" applyAlignment="1" applyProtection="1">
      <alignment horizontal="center" vertical="center"/>
      <protection locked="0"/>
    </xf>
    <xf numFmtId="0" fontId="5" fillId="2" borderId="3" xfId="2" applyFont="1" applyFill="1" applyBorder="1" applyAlignment="1" applyProtection="1">
      <alignment horizontal="left" vertical="center" wrapText="1"/>
      <protection locked="0"/>
    </xf>
    <xf numFmtId="0" fontId="5" fillId="2" borderId="1" xfId="0" applyFont="1" applyFill="1" applyBorder="1" applyAlignment="1" applyProtection="1">
      <alignment vertical="center" wrapText="1"/>
      <protection locked="0"/>
    </xf>
    <xf numFmtId="0" fontId="5" fillId="0" borderId="0" xfId="2" applyFont="1" applyAlignment="1" applyProtection="1">
      <alignment horizontal="left" vertical="center"/>
      <protection locked="0"/>
    </xf>
    <xf numFmtId="0" fontId="5" fillId="0" borderId="1" xfId="5" applyFont="1" applyBorder="1" applyAlignment="1">
      <alignment horizontal="left" vertical="center"/>
    </xf>
    <xf numFmtId="0" fontId="11" fillId="2" borderId="3" xfId="1" applyFont="1" applyFill="1" applyBorder="1" applyAlignment="1" applyProtection="1">
      <alignment horizontal="center" vertical="center"/>
      <protection locked="0"/>
    </xf>
    <xf numFmtId="0" fontId="6" fillId="2" borderId="3" xfId="25" applyFont="1" applyFill="1" applyBorder="1" applyAlignment="1" applyProtection="1">
      <alignment vertical="center"/>
      <protection locked="0"/>
    </xf>
    <xf numFmtId="0" fontId="5" fillId="2" borderId="3" xfId="25" applyFont="1" applyFill="1" applyBorder="1" applyAlignment="1" applyProtection="1">
      <alignment vertical="center"/>
      <protection locked="0"/>
    </xf>
    <xf numFmtId="0" fontId="5" fillId="0" borderId="0" xfId="25" applyFont="1" applyAlignment="1" applyProtection="1">
      <alignment vertical="center"/>
      <protection locked="0"/>
    </xf>
    <xf numFmtId="0" fontId="6" fillId="0" borderId="0" xfId="25" applyFont="1" applyAlignment="1" applyProtection="1">
      <alignment vertical="center"/>
      <protection locked="0"/>
    </xf>
    <xf numFmtId="0" fontId="5" fillId="2" borderId="3" xfId="25" applyFont="1" applyFill="1" applyBorder="1" applyAlignment="1" applyProtection="1">
      <alignment horizontal="center" vertical="center"/>
      <protection locked="0"/>
    </xf>
    <xf numFmtId="0" fontId="5" fillId="2" borderId="1" xfId="28" applyFont="1" applyFill="1" applyBorder="1" applyAlignment="1" applyProtection="1">
      <alignment horizontal="left" vertical="center" wrapText="1"/>
      <protection locked="0"/>
    </xf>
    <xf numFmtId="0" fontId="5" fillId="4" borderId="1" xfId="1" applyFont="1" applyFill="1" applyBorder="1" applyAlignment="1" applyProtection="1">
      <alignment horizontal="left" vertical="center" wrapText="1"/>
      <protection locked="0"/>
    </xf>
    <xf numFmtId="0" fontId="20" fillId="5" borderId="2" xfId="1" applyFont="1" applyFill="1" applyBorder="1" applyAlignment="1" applyProtection="1">
      <alignment horizontal="center" vertical="center" wrapText="1"/>
      <protection locked="0"/>
    </xf>
    <xf numFmtId="0" fontId="20" fillId="2" borderId="2" xfId="2" applyFont="1" applyFill="1" applyBorder="1" applyAlignment="1" applyProtection="1">
      <alignment horizontal="center" vertical="center" wrapText="1"/>
      <protection locked="0"/>
    </xf>
    <xf numFmtId="0" fontId="20" fillId="2" borderId="2" xfId="1" applyFont="1" applyFill="1" applyBorder="1" applyAlignment="1" applyProtection="1">
      <alignment horizontal="center" vertical="center" wrapText="1"/>
      <protection locked="0"/>
    </xf>
    <xf numFmtId="0" fontId="20" fillId="2" borderId="2" xfId="3" applyFont="1" applyFill="1" applyBorder="1" applyAlignment="1" applyProtection="1">
      <alignment horizontal="center" vertical="center" wrapText="1"/>
      <protection locked="0"/>
    </xf>
    <xf numFmtId="0" fontId="6" fillId="0" borderId="0" xfId="5" applyFont="1" applyBorder="1" applyAlignment="1">
      <alignment horizontal="center" vertical="center" wrapText="1"/>
    </xf>
    <xf numFmtId="0" fontId="22" fillId="0" borderId="0" xfId="5" applyFont="1" applyBorder="1" applyAlignment="1">
      <alignment vertical="center" wrapText="1"/>
    </xf>
    <xf numFmtId="0" fontId="45" fillId="0" borderId="0" xfId="29"/>
    <xf numFmtId="0" fontId="14" fillId="0" borderId="0" xfId="5" applyFont="1" applyFill="1" applyAlignment="1">
      <alignment horizontal="left" vertical="center" wrapText="1" indent="5"/>
    </xf>
    <xf numFmtId="0" fontId="5" fillId="0" borderId="0" xfId="31"/>
    <xf numFmtId="0" fontId="14" fillId="0" borderId="0" xfId="5" applyFont="1"/>
    <xf numFmtId="0" fontId="20" fillId="0" borderId="0" xfId="5" applyFont="1"/>
    <xf numFmtId="0" fontId="20" fillId="0" borderId="1" xfId="5" applyFont="1" applyBorder="1" applyAlignment="1">
      <alignment vertical="center" wrapText="1"/>
    </xf>
    <xf numFmtId="0" fontId="20" fillId="0" borderId="0" xfId="5" applyFont="1" applyFill="1" applyAlignment="1">
      <alignment horizontal="center"/>
    </xf>
    <xf numFmtId="0" fontId="14" fillId="0" borderId="0" xfId="5" applyFont="1" applyFill="1"/>
    <xf numFmtId="0" fontId="14" fillId="0" borderId="0" xfId="5" applyFont="1" applyFill="1" applyAlignment="1">
      <alignment horizontal="left" wrapText="1"/>
    </xf>
    <xf numFmtId="0" fontId="14" fillId="0" borderId="0" xfId="9" applyFont="1"/>
    <xf numFmtId="0" fontId="14" fillId="0" borderId="0" xfId="9" applyFont="1" applyFill="1"/>
    <xf numFmtId="0" fontId="20" fillId="0" borderId="0" xfId="9" applyFont="1" applyFill="1" applyAlignment="1">
      <alignment horizontal="left" indent="2"/>
    </xf>
    <xf numFmtId="0" fontId="14" fillId="0" borderId="0" xfId="5" applyFont="1" applyFill="1" applyAlignment="1"/>
    <xf numFmtId="0" fontId="20" fillId="0" borderId="0" xfId="5" applyFont="1" applyFill="1" applyAlignment="1">
      <alignment horizontal="right" vertical="top" indent="3"/>
    </xf>
    <xf numFmtId="0" fontId="14" fillId="0" borderId="0" xfId="5" applyFont="1" applyFill="1" applyAlignment="1">
      <alignment horizontal="right" vertical="top" indent="3"/>
    </xf>
    <xf numFmtId="0" fontId="20" fillId="0" borderId="0" xfId="5" applyFont="1" applyFill="1" applyAlignment="1">
      <alignment horizontal="right" vertical="top"/>
    </xf>
    <xf numFmtId="0" fontId="14" fillId="0" borderId="0" xfId="5" applyFont="1" applyFill="1" applyAlignment="1">
      <alignment horizontal="right"/>
    </xf>
    <xf numFmtId="0" fontId="14" fillId="0" borderId="0" xfId="5" applyFont="1" applyFill="1" applyAlignment="1">
      <alignment horizontal="right" vertical="top"/>
    </xf>
    <xf numFmtId="0" fontId="14" fillId="0" borderId="0" xfId="5" applyFont="1" applyFill="1" applyAlignment="1">
      <alignment horizontal="left" vertical="center" wrapText="1" indent="2"/>
    </xf>
    <xf numFmtId="0" fontId="14" fillId="0" borderId="0" xfId="5" applyFont="1" applyFill="1" applyAlignment="1">
      <alignment horizontal="left" vertical="center" wrapText="1"/>
    </xf>
    <xf numFmtId="0" fontId="14" fillId="0" borderId="0" xfId="5" applyFont="1" applyFill="1" applyAlignment="1">
      <alignment vertical="center" wrapText="1"/>
    </xf>
    <xf numFmtId="0" fontId="20" fillId="0" borderId="0" xfId="5" applyFont="1" applyFill="1" applyAlignment="1">
      <alignment horizontal="left" vertical="top" indent="1"/>
    </xf>
    <xf numFmtId="1" fontId="14" fillId="0" borderId="1" xfId="15" applyNumberFormat="1" applyFont="1" applyBorder="1" applyAlignment="1">
      <alignment horizontal="center" vertical="center" wrapText="1"/>
    </xf>
    <xf numFmtId="0" fontId="14" fillId="0" borderId="1" xfId="5" applyFont="1" applyBorder="1" applyAlignment="1">
      <alignment vertical="center" wrapText="1"/>
    </xf>
    <xf numFmtId="0" fontId="20" fillId="10" borderId="1" xfId="15" applyFont="1" applyFill="1" applyBorder="1" applyAlignment="1">
      <alignment horizontal="center" vertical="center" wrapText="1"/>
    </xf>
    <xf numFmtId="0" fontId="14" fillId="0" borderId="1" xfId="15" applyFont="1" applyBorder="1" applyAlignment="1">
      <alignment horizontal="center" vertical="center" wrapText="1"/>
    </xf>
    <xf numFmtId="164" fontId="14" fillId="0" borderId="1" xfId="15" applyNumberFormat="1" applyFont="1" applyBorder="1" applyAlignment="1">
      <alignment horizontal="center" vertical="center" wrapText="1"/>
    </xf>
    <xf numFmtId="14" fontId="14" fillId="0" borderId="1" xfId="15" applyNumberFormat="1" applyFont="1" applyBorder="1" applyAlignment="1">
      <alignment horizontal="center" vertical="center" wrapText="1"/>
    </xf>
    <xf numFmtId="0" fontId="14" fillId="0" borderId="1" xfId="15" applyFont="1" applyBorder="1" applyAlignment="1">
      <alignment vertical="center" wrapText="1"/>
    </xf>
    <xf numFmtId="0" fontId="14" fillId="0" borderId="1" xfId="15" applyFont="1" applyBorder="1" applyAlignment="1">
      <alignment horizontal="left" vertical="center" wrapText="1"/>
    </xf>
    <xf numFmtId="164" fontId="14" fillId="4" borderId="0" xfId="1" applyNumberFormat="1" applyFont="1" applyFill="1" applyBorder="1" applyAlignment="1" applyProtection="1">
      <alignment horizontal="center" vertical="center"/>
    </xf>
    <xf numFmtId="0" fontId="20" fillId="0" borderId="0" xfId="1" applyFont="1" applyFill="1" applyBorder="1" applyAlignment="1" applyProtection="1">
      <alignment vertical="center"/>
    </xf>
    <xf numFmtId="0" fontId="11" fillId="4" borderId="3" xfId="1" applyFont="1" applyFill="1" applyBorder="1" applyAlignment="1" applyProtection="1">
      <alignment vertical="center" wrapText="1"/>
      <protection locked="0"/>
    </xf>
    <xf numFmtId="0" fontId="5" fillId="4" borderId="3" xfId="1" applyFont="1" applyFill="1" applyBorder="1" applyAlignment="1" applyProtection="1">
      <alignment vertical="center" wrapText="1"/>
      <protection locked="0"/>
    </xf>
    <xf numFmtId="164" fontId="14" fillId="4" borderId="0" xfId="2" applyNumberFormat="1" applyFont="1" applyFill="1" applyBorder="1" applyAlignment="1" applyProtection="1">
      <alignment horizontal="center" vertical="center"/>
    </xf>
    <xf numFmtId="0" fontId="20" fillId="0" borderId="0" xfId="2" applyFont="1" applyFill="1" applyBorder="1" applyAlignment="1" applyProtection="1">
      <alignment vertical="center"/>
    </xf>
    <xf numFmtId="0" fontId="11" fillId="4" borderId="3" xfId="2" applyFont="1" applyFill="1" applyBorder="1" applyAlignment="1" applyProtection="1">
      <alignment horizontal="center" vertical="center" wrapText="1"/>
      <protection locked="0"/>
    </xf>
    <xf numFmtId="0" fontId="11" fillId="4" borderId="2" xfId="2" applyFont="1" applyFill="1" applyBorder="1" applyAlignment="1" applyProtection="1">
      <alignment horizontal="center" vertical="center" wrapText="1"/>
      <protection locked="0"/>
    </xf>
    <xf numFmtId="0" fontId="5" fillId="4" borderId="2" xfId="2" applyFont="1" applyFill="1" applyBorder="1" applyAlignment="1" applyProtection="1">
      <alignment horizontal="center" vertical="center" wrapText="1"/>
      <protection locked="0"/>
    </xf>
    <xf numFmtId="0" fontId="11" fillId="4" borderId="5" xfId="2" applyFont="1" applyFill="1" applyBorder="1" applyAlignment="1" applyProtection="1">
      <alignment horizontal="center" vertical="center" wrapText="1"/>
      <protection locked="0"/>
    </xf>
    <xf numFmtId="0" fontId="11" fillId="4" borderId="4" xfId="2" applyFont="1" applyFill="1" applyBorder="1" applyAlignment="1" applyProtection="1">
      <alignment horizontal="center" vertical="center" wrapText="1"/>
      <protection locked="0"/>
    </xf>
    <xf numFmtId="0" fontId="11" fillId="2" borderId="4" xfId="0" applyFont="1" applyFill="1" applyBorder="1" applyAlignment="1" applyProtection="1">
      <alignment vertical="center" wrapText="1"/>
      <protection locked="0"/>
    </xf>
    <xf numFmtId="0" fontId="6" fillId="2" borderId="8" xfId="2" applyFont="1" applyFill="1" applyBorder="1" applyAlignment="1" applyProtection="1">
      <alignment horizontal="center" vertical="center"/>
      <protection locked="0"/>
    </xf>
    <xf numFmtId="0" fontId="6" fillId="2" borderId="8" xfId="2" applyFont="1" applyFill="1" applyBorder="1" applyAlignment="1" applyProtection="1">
      <alignment vertical="center"/>
      <protection locked="0"/>
    </xf>
    <xf numFmtId="0" fontId="6" fillId="2" borderId="10" xfId="2" applyFont="1" applyFill="1" applyBorder="1" applyAlignment="1" applyProtection="1">
      <alignment vertical="center"/>
      <protection locked="0"/>
    </xf>
    <xf numFmtId="0" fontId="11" fillId="4" borderId="3" xfId="1" applyFont="1" applyFill="1" applyBorder="1" applyAlignment="1" applyProtection="1">
      <alignment horizontal="center" vertical="center" wrapText="1"/>
      <protection locked="0"/>
    </xf>
    <xf numFmtId="0" fontId="11" fillId="4" borderId="2" xfId="1" applyFont="1" applyFill="1" applyBorder="1" applyAlignment="1" applyProtection="1">
      <alignment horizontal="center" vertical="center" wrapText="1"/>
      <protection locked="0"/>
    </xf>
    <xf numFmtId="0" fontId="6" fillId="11" borderId="0" xfId="1" applyFont="1" applyFill="1" applyBorder="1" applyAlignment="1" applyProtection="1">
      <alignment vertical="center"/>
      <protection locked="0"/>
    </xf>
    <xf numFmtId="0" fontId="6" fillId="2" borderId="8" xfId="1" applyFont="1" applyFill="1" applyBorder="1" applyAlignment="1" applyProtection="1">
      <alignment vertical="center"/>
      <protection locked="0"/>
    </xf>
    <xf numFmtId="0" fontId="6" fillId="11" borderId="8" xfId="1" applyFont="1" applyFill="1" applyBorder="1" applyAlignment="1" applyProtection="1">
      <alignment vertical="center"/>
      <protection locked="0"/>
    </xf>
    <xf numFmtId="0" fontId="6" fillId="4" borderId="1" xfId="1" applyFont="1" applyFill="1" applyBorder="1" applyAlignment="1" applyProtection="1">
      <alignment horizontal="center" vertical="center"/>
      <protection locked="0"/>
    </xf>
    <xf numFmtId="0" fontId="6" fillId="5" borderId="4" xfId="3" applyFont="1" applyFill="1" applyBorder="1" applyAlignment="1" applyProtection="1">
      <alignment vertical="center"/>
      <protection locked="0"/>
    </xf>
    <xf numFmtId="0" fontId="11" fillId="4" borderId="3" xfId="3" applyFont="1" applyFill="1" applyBorder="1" applyAlignment="1" applyProtection="1">
      <alignment horizontal="center" vertical="center" wrapText="1"/>
      <protection locked="0"/>
    </xf>
    <xf numFmtId="0" fontId="11" fillId="4" borderId="2" xfId="3" applyFont="1" applyFill="1" applyBorder="1" applyAlignment="1" applyProtection="1">
      <alignment horizontal="center" vertical="center" wrapText="1"/>
      <protection locked="0"/>
    </xf>
    <xf numFmtId="164" fontId="14" fillId="4" borderId="0" xfId="3" applyNumberFormat="1" applyFont="1" applyFill="1" applyBorder="1" applyAlignment="1" applyProtection="1">
      <alignment horizontal="center" vertical="center"/>
    </xf>
    <xf numFmtId="0" fontId="20" fillId="0" borderId="0" xfId="3" applyFont="1" applyFill="1" applyBorder="1" applyAlignment="1" applyProtection="1">
      <alignment vertical="center"/>
    </xf>
    <xf numFmtId="0" fontId="6" fillId="2" borderId="0" xfId="1" applyFont="1" applyFill="1" applyBorder="1" applyAlignment="1" applyProtection="1">
      <alignment vertical="center"/>
      <protection locked="0"/>
    </xf>
    <xf numFmtId="0" fontId="6" fillId="11" borderId="1" xfId="1" applyFont="1" applyFill="1" applyBorder="1" applyAlignment="1" applyProtection="1">
      <alignment vertical="center"/>
      <protection locked="0"/>
    </xf>
    <xf numFmtId="16" fontId="20" fillId="5" borderId="1" xfId="53" applyNumberFormat="1" applyFont="1" applyFill="1" applyBorder="1" applyAlignment="1" applyProtection="1">
      <alignment horizontal="center" vertical="center" wrapText="1"/>
      <protection locked="0"/>
    </xf>
    <xf numFmtId="16" fontId="5" fillId="4" borderId="9" xfId="53" applyNumberFormat="1" applyFont="1" applyFill="1" applyBorder="1" applyAlignment="1" applyProtection="1">
      <alignment horizontal="center" vertical="center"/>
      <protection locked="0"/>
    </xf>
    <xf numFmtId="16" fontId="5" fillId="2" borderId="7" xfId="53" applyNumberFormat="1" applyFont="1" applyFill="1" applyBorder="1" applyAlignment="1" applyProtection="1">
      <alignment vertical="center"/>
      <protection locked="0"/>
    </xf>
    <xf numFmtId="0" fontId="6" fillId="11" borderId="1" xfId="2" applyFont="1" applyFill="1" applyBorder="1" applyAlignment="1" applyProtection="1">
      <alignment vertical="center"/>
      <protection locked="0"/>
    </xf>
    <xf numFmtId="16" fontId="20" fillId="5" borderId="1" xfId="55" applyNumberFormat="1" applyFont="1" applyFill="1" applyBorder="1" applyAlignment="1" applyProtection="1">
      <alignment horizontal="center" vertical="center" wrapText="1"/>
      <protection locked="0"/>
    </xf>
    <xf numFmtId="16" fontId="20" fillId="2" borderId="6" xfId="55" applyNumberFormat="1" applyFont="1" applyFill="1" applyBorder="1" applyAlignment="1" applyProtection="1">
      <alignment horizontal="center" vertical="center" wrapText="1"/>
      <protection locked="0"/>
    </xf>
    <xf numFmtId="16" fontId="20" fillId="5" borderId="7" xfId="55" applyNumberFormat="1" applyFont="1" applyFill="1" applyBorder="1" applyAlignment="1" applyProtection="1">
      <alignment horizontal="center" vertical="center" wrapText="1"/>
      <protection locked="0"/>
    </xf>
    <xf numFmtId="16" fontId="37" fillId="2" borderId="7" xfId="55" applyNumberFormat="1" applyFont="1" applyFill="1" applyBorder="1" applyAlignment="1" applyProtection="1">
      <alignment vertical="center"/>
      <protection locked="0"/>
    </xf>
    <xf numFmtId="16" fontId="5" fillId="4" borderId="9" xfId="55" applyNumberFormat="1" applyFont="1" applyFill="1" applyBorder="1" applyAlignment="1" applyProtection="1">
      <alignment horizontal="center" vertical="center"/>
      <protection locked="0"/>
    </xf>
    <xf numFmtId="16" fontId="20" fillId="2" borderId="1" xfId="57" applyNumberFormat="1" applyFont="1" applyFill="1" applyBorder="1" applyAlignment="1" applyProtection="1">
      <alignment horizontal="center" vertical="center" wrapText="1"/>
      <protection locked="0"/>
    </xf>
    <xf numFmtId="16" fontId="6" fillId="4" borderId="1" xfId="57" applyNumberFormat="1" applyFont="1" applyFill="1" applyBorder="1" applyAlignment="1" applyProtection="1">
      <alignment horizontal="center" vertical="center" wrapText="1"/>
      <protection locked="0"/>
    </xf>
    <xf numFmtId="16" fontId="5" fillId="2" borderId="7" xfId="57" applyNumberFormat="1" applyFont="1" applyFill="1" applyBorder="1" applyAlignment="1" applyProtection="1">
      <alignment vertical="center"/>
      <protection locked="0"/>
    </xf>
    <xf numFmtId="16" fontId="5" fillId="4" borderId="9" xfId="57" applyNumberFormat="1" applyFont="1" applyFill="1" applyBorder="1" applyAlignment="1" applyProtection="1">
      <alignment horizontal="center" vertical="center"/>
      <protection locked="0"/>
    </xf>
    <xf numFmtId="16" fontId="5" fillId="2" borderId="1" xfId="57" applyNumberFormat="1" applyFont="1" applyFill="1" applyBorder="1" applyAlignment="1" applyProtection="1">
      <alignment horizontal="center" vertical="center"/>
      <protection locked="0"/>
    </xf>
    <xf numFmtId="16" fontId="20" fillId="5" borderId="1" xfId="59" applyNumberFormat="1" applyFont="1" applyFill="1" applyBorder="1" applyAlignment="1" applyProtection="1">
      <alignment horizontal="center" vertical="center" wrapText="1"/>
      <protection locked="0"/>
    </xf>
    <xf numFmtId="16" fontId="5" fillId="4" borderId="9" xfId="59" applyNumberFormat="1" applyFont="1" applyFill="1" applyBorder="1" applyAlignment="1" applyProtection="1">
      <alignment horizontal="center" vertical="center"/>
      <protection locked="0"/>
    </xf>
    <xf numFmtId="16" fontId="5" fillId="2" borderId="7" xfId="59" applyNumberFormat="1" applyFont="1" applyFill="1" applyBorder="1" applyAlignment="1" applyProtection="1">
      <alignment vertical="center"/>
      <protection locked="0"/>
    </xf>
    <xf numFmtId="16" fontId="5" fillId="2" borderId="7" xfId="25" applyNumberFormat="1" applyFont="1" applyFill="1" applyBorder="1" applyAlignment="1" applyProtection="1">
      <alignment vertical="center"/>
      <protection locked="0"/>
    </xf>
    <xf numFmtId="16" fontId="20" fillId="2" borderId="1" xfId="62" applyNumberFormat="1" applyFont="1" applyFill="1" applyBorder="1" applyAlignment="1" applyProtection="1">
      <alignment horizontal="center" vertical="center" wrapText="1"/>
      <protection locked="0"/>
    </xf>
    <xf numFmtId="16" fontId="5" fillId="4" borderId="9" xfId="62" applyNumberFormat="1" applyFont="1" applyFill="1" applyBorder="1" applyAlignment="1" applyProtection="1">
      <alignment horizontal="center" vertical="center"/>
      <protection locked="0"/>
    </xf>
    <xf numFmtId="16" fontId="5" fillId="2" borderId="7" xfId="62" applyNumberFormat="1" applyFont="1" applyFill="1" applyBorder="1" applyAlignment="1" applyProtection="1">
      <alignment vertical="center"/>
      <protection locked="0"/>
    </xf>
    <xf numFmtId="16" fontId="36" fillId="2" borderId="7" xfId="62" applyNumberFormat="1" applyFont="1" applyFill="1" applyBorder="1" applyAlignment="1" applyProtection="1">
      <alignment vertical="center"/>
      <protection locked="0"/>
    </xf>
    <xf numFmtId="16" fontId="20" fillId="2" borderId="1" xfId="64" applyNumberFormat="1" applyFont="1" applyFill="1" applyBorder="1" applyAlignment="1" applyProtection="1">
      <alignment horizontal="center" vertical="center" wrapText="1"/>
      <protection locked="0"/>
    </xf>
    <xf numFmtId="16" fontId="5" fillId="2" borderId="7" xfId="64" applyNumberFormat="1" applyFont="1" applyFill="1" applyBorder="1" applyAlignment="1" applyProtection="1">
      <alignment vertical="center"/>
      <protection locked="0"/>
    </xf>
    <xf numFmtId="16" fontId="5" fillId="4" borderId="9" xfId="64" applyNumberFormat="1" applyFont="1" applyFill="1" applyBorder="1" applyAlignment="1" applyProtection="1">
      <alignment horizontal="center" vertical="center"/>
      <protection locked="0"/>
    </xf>
    <xf numFmtId="16" fontId="36" fillId="2" borderId="7" xfId="64" applyNumberFormat="1" applyFont="1" applyFill="1" applyBorder="1" applyAlignment="1" applyProtection="1">
      <alignment vertical="center"/>
      <protection locked="0"/>
    </xf>
    <xf numFmtId="0" fontId="6" fillId="2" borderId="8" xfId="3" applyFont="1" applyFill="1" applyBorder="1" applyAlignment="1" applyProtection="1">
      <alignment vertical="center"/>
      <protection locked="0"/>
    </xf>
    <xf numFmtId="0" fontId="6" fillId="12" borderId="1" xfId="3" applyFont="1" applyFill="1" applyBorder="1" applyAlignment="1" applyProtection="1">
      <alignment vertical="center"/>
      <protection locked="0"/>
    </xf>
    <xf numFmtId="16" fontId="5" fillId="11" borderId="9" xfId="57" applyNumberFormat="1" applyFont="1" applyFill="1" applyBorder="1" applyAlignment="1" applyProtection="1">
      <alignment horizontal="center" vertical="center"/>
      <protection locked="0"/>
    </xf>
    <xf numFmtId="0" fontId="26" fillId="0" borderId="9" xfId="0" applyFont="1" applyBorder="1"/>
    <xf numFmtId="0" fontId="5" fillId="0" borderId="1" xfId="0" applyFont="1" applyFill="1" applyBorder="1" applyAlignment="1">
      <alignment horizontal="center" vertical="center" wrapText="1"/>
    </xf>
    <xf numFmtId="0" fontId="5" fillId="0" borderId="1" xfId="0" applyFont="1" applyFill="1" applyBorder="1" applyAlignment="1">
      <alignment vertical="center" wrapText="1"/>
    </xf>
    <xf numFmtId="0" fontId="15" fillId="0" borderId="0" xfId="1" applyFont="1" applyFill="1" applyBorder="1" applyAlignment="1" applyProtection="1"/>
    <xf numFmtId="0" fontId="5" fillId="0" borderId="0" xfId="66"/>
    <xf numFmtId="0" fontId="5" fillId="0" borderId="0" xfId="5" applyFont="1" applyAlignment="1">
      <alignment vertical="center"/>
    </xf>
    <xf numFmtId="0" fontId="46" fillId="11" borderId="1" xfId="5" applyFont="1" applyFill="1" applyBorder="1" applyAlignment="1" applyProtection="1">
      <alignment horizontal="center" vertical="center" wrapText="1"/>
      <protection locked="0"/>
    </xf>
    <xf numFmtId="0" fontId="46" fillId="11" borderId="1" xfId="5" applyFont="1" applyFill="1" applyBorder="1" applyAlignment="1" applyProtection="1">
      <alignment vertical="center" wrapText="1"/>
      <protection locked="0"/>
    </xf>
    <xf numFmtId="0" fontId="5" fillId="0" borderId="1" xfId="14" applyFont="1" applyBorder="1" applyAlignment="1" applyProtection="1">
      <alignment horizontal="center" vertical="center" wrapText="1"/>
      <protection locked="0"/>
    </xf>
    <xf numFmtId="0" fontId="5" fillId="0" borderId="1" xfId="14" applyFont="1" applyBorder="1" applyAlignment="1" applyProtection="1">
      <alignment vertical="center" wrapText="1"/>
      <protection locked="0"/>
    </xf>
    <xf numFmtId="14" fontId="5" fillId="0" borderId="1" xfId="69" applyNumberFormat="1" applyFont="1" applyBorder="1" applyAlignment="1" applyProtection="1">
      <alignment horizontal="center" vertical="center" wrapText="1"/>
      <protection locked="0"/>
    </xf>
    <xf numFmtId="164" fontId="5" fillId="4" borderId="1" xfId="78" applyNumberFormat="1" applyFont="1" applyFill="1" applyBorder="1" applyAlignment="1">
      <alignment horizontal="center" vertical="center" wrapText="1"/>
    </xf>
    <xf numFmtId="14" fontId="5" fillId="4" borderId="1" xfId="78" applyNumberFormat="1" applyFont="1" applyFill="1" applyBorder="1" applyAlignment="1">
      <alignment horizontal="center" vertical="center" wrapText="1"/>
    </xf>
    <xf numFmtId="0" fontId="19" fillId="5" borderId="1" xfId="5" applyFont="1" applyFill="1" applyBorder="1" applyAlignment="1">
      <alignment horizontal="center" vertical="center" wrapText="1"/>
    </xf>
    <xf numFmtId="0" fontId="44" fillId="0" borderId="1" xfId="17" applyFont="1" applyBorder="1"/>
    <xf numFmtId="0" fontId="44" fillId="0" borderId="1" xfId="17" applyFont="1" applyFill="1" applyBorder="1"/>
    <xf numFmtId="0" fontId="5" fillId="0" borderId="1" xfId="14" applyFont="1" applyBorder="1" applyAlignment="1" applyProtection="1">
      <alignment horizontal="center" vertical="center" wrapText="1"/>
      <protection locked="0"/>
    </xf>
    <xf numFmtId="1" fontId="5" fillId="4" borderId="1" xfId="78" applyNumberFormat="1" applyFont="1" applyFill="1" applyBorder="1" applyAlignment="1">
      <alignment horizontal="center" vertical="center" wrapText="1"/>
    </xf>
    <xf numFmtId="0" fontId="6" fillId="2" borderId="1" xfId="33" applyFont="1" applyFill="1" applyBorder="1" applyAlignment="1">
      <alignment horizontal="center" vertical="center"/>
    </xf>
    <xf numFmtId="49" fontId="5" fillId="4" borderId="1" xfId="1" applyNumberFormat="1" applyFont="1" applyFill="1" applyBorder="1" applyAlignment="1">
      <alignment horizontal="center" vertical="center"/>
    </xf>
    <xf numFmtId="0" fontId="6" fillId="2" borderId="2" xfId="1" applyFont="1" applyFill="1" applyBorder="1" applyAlignment="1">
      <alignment horizontal="left" vertical="center"/>
    </xf>
    <xf numFmtId="0" fontId="6" fillId="2" borderId="7" xfId="1" applyFont="1" applyFill="1" applyBorder="1" applyAlignment="1">
      <alignment horizontal="left" vertical="center"/>
    </xf>
    <xf numFmtId="16" fontId="5" fillId="4" borderId="1" xfId="1" applyNumberFormat="1" applyFont="1" applyFill="1" applyBorder="1" applyAlignment="1">
      <alignment horizontal="center" vertical="center"/>
    </xf>
    <xf numFmtId="0" fontId="6" fillId="2" borderId="2" xfId="1" applyFont="1" applyFill="1" applyBorder="1" applyAlignment="1">
      <alignment vertical="center"/>
    </xf>
    <xf numFmtId="0" fontId="5" fillId="4" borderId="1" xfId="1" applyNumberFormat="1" applyFont="1" applyFill="1" applyBorder="1" applyAlignment="1">
      <alignment horizontal="center" vertical="center"/>
    </xf>
    <xf numFmtId="164" fontId="5" fillId="4" borderId="1" xfId="1" applyNumberFormat="1" applyFont="1" applyFill="1" applyBorder="1" applyAlignment="1" applyProtection="1">
      <alignment horizontal="center" vertical="center"/>
    </xf>
    <xf numFmtId="0" fontId="5" fillId="0" borderId="0" xfId="1" applyFont="1" applyAlignment="1" applyProtection="1">
      <alignment vertical="center"/>
    </xf>
    <xf numFmtId="0" fontId="6" fillId="2" borderId="2" xfId="1" applyFont="1" applyFill="1" applyBorder="1" applyAlignment="1" applyProtection="1">
      <alignment vertical="center"/>
    </xf>
    <xf numFmtId="0" fontId="6" fillId="2" borderId="2" xfId="1" applyFont="1" applyFill="1" applyBorder="1" applyAlignment="1" applyProtection="1">
      <alignment horizontal="left" vertical="center"/>
    </xf>
    <xf numFmtId="0" fontId="6" fillId="2" borderId="7" xfId="1" applyFont="1" applyFill="1" applyBorder="1" applyAlignment="1" applyProtection="1">
      <alignment horizontal="left" vertical="center"/>
    </xf>
    <xf numFmtId="1" fontId="5" fillId="4" borderId="1" xfId="1" applyNumberFormat="1" applyFont="1" applyFill="1" applyBorder="1" applyAlignment="1" applyProtection="1">
      <alignment horizontal="center" vertical="center"/>
    </xf>
    <xf numFmtId="16" fontId="5" fillId="4" borderId="1" xfId="1" applyNumberFormat="1" applyFont="1" applyFill="1" applyBorder="1" applyAlignment="1" applyProtection="1">
      <alignment horizontal="center" vertical="center"/>
    </xf>
    <xf numFmtId="14" fontId="5" fillId="0" borderId="0" xfId="1" applyNumberFormat="1" applyFont="1" applyFill="1" applyBorder="1" applyAlignment="1" applyProtection="1">
      <alignment vertical="center"/>
      <protection locked="0"/>
    </xf>
    <xf numFmtId="0" fontId="6" fillId="2" borderId="2" xfId="2" applyFont="1" applyFill="1" applyBorder="1" applyAlignment="1" applyProtection="1">
      <alignment vertical="center"/>
      <protection locked="0"/>
    </xf>
    <xf numFmtId="0" fontId="6" fillId="2" borderId="3" xfId="2" applyFont="1" applyFill="1" applyBorder="1" applyAlignment="1" applyProtection="1">
      <alignment vertical="center"/>
    </xf>
    <xf numFmtId="164" fontId="5" fillId="4" borderId="1" xfId="2" applyNumberFormat="1" applyFont="1" applyFill="1" applyBorder="1" applyAlignment="1" applyProtection="1">
      <alignment horizontal="center" vertical="center"/>
    </xf>
    <xf numFmtId="0" fontId="5" fillId="0" borderId="0" xfId="2" applyFont="1" applyAlignment="1" applyProtection="1">
      <alignment vertical="center"/>
    </xf>
    <xf numFmtId="0" fontId="6" fillId="2" borderId="2" xfId="2" applyFont="1" applyFill="1" applyBorder="1" applyAlignment="1" applyProtection="1">
      <alignment vertical="center"/>
    </xf>
    <xf numFmtId="1" fontId="5" fillId="4" borderId="1" xfId="2" applyNumberFormat="1" applyFont="1" applyFill="1" applyBorder="1" applyAlignment="1" applyProtection="1">
      <alignment horizontal="center" vertical="center"/>
    </xf>
    <xf numFmtId="16" fontId="5" fillId="4" borderId="1" xfId="2" applyNumberFormat="1" applyFont="1" applyFill="1" applyBorder="1" applyAlignment="1" applyProtection="1">
      <alignment horizontal="center" vertical="center"/>
    </xf>
    <xf numFmtId="0" fontId="6" fillId="2" borderId="3" xfId="1" applyFont="1" applyFill="1" applyBorder="1" applyAlignment="1" applyProtection="1">
      <alignment vertical="center"/>
    </xf>
    <xf numFmtId="49" fontId="5" fillId="4" borderId="0" xfId="1" applyNumberFormat="1" applyFont="1" applyFill="1" applyBorder="1" applyAlignment="1" applyProtection="1">
      <alignment horizontal="center" vertical="center"/>
    </xf>
    <xf numFmtId="0" fontId="6" fillId="2" borderId="1" xfId="1" applyFont="1" applyFill="1" applyBorder="1" applyAlignment="1" applyProtection="1">
      <alignment vertical="center"/>
    </xf>
    <xf numFmtId="16" fontId="5" fillId="4" borderId="0" xfId="1" applyNumberFormat="1" applyFont="1" applyFill="1" applyBorder="1" applyAlignment="1" applyProtection="1">
      <alignment horizontal="center" vertical="center"/>
    </xf>
    <xf numFmtId="0" fontId="6" fillId="2" borderId="2" xfId="3" applyFont="1" applyFill="1" applyBorder="1" applyAlignment="1" applyProtection="1">
      <alignment vertical="center"/>
    </xf>
    <xf numFmtId="0" fontId="6" fillId="2" borderId="3" xfId="3" applyFont="1" applyFill="1" applyBorder="1" applyAlignment="1" applyProtection="1">
      <alignment vertical="center"/>
    </xf>
    <xf numFmtId="164" fontId="5" fillId="4" borderId="1" xfId="3" applyNumberFormat="1" applyFont="1" applyFill="1" applyBorder="1" applyAlignment="1" applyProtection="1">
      <alignment horizontal="center" vertical="center"/>
    </xf>
    <xf numFmtId="49" fontId="5" fillId="4" borderId="0" xfId="3" applyNumberFormat="1" applyFont="1" applyFill="1" applyBorder="1" applyAlignment="1" applyProtection="1">
      <alignment horizontal="center" vertical="center"/>
    </xf>
    <xf numFmtId="0" fontId="5" fillId="0" borderId="0" xfId="3" applyFont="1" applyAlignment="1" applyProtection="1">
      <alignment vertical="center"/>
    </xf>
    <xf numFmtId="1" fontId="5" fillId="4" borderId="1" xfId="3" applyNumberFormat="1" applyFont="1" applyFill="1" applyBorder="1" applyAlignment="1" applyProtection="1">
      <alignment horizontal="center" vertical="center"/>
    </xf>
    <xf numFmtId="16" fontId="5" fillId="4" borderId="1" xfId="3" applyNumberFormat="1" applyFont="1" applyFill="1" applyBorder="1" applyAlignment="1" applyProtection="1">
      <alignment horizontal="center" vertical="center"/>
    </xf>
    <xf numFmtId="0" fontId="6" fillId="2" borderId="4" xfId="3" applyFont="1" applyFill="1" applyBorder="1" applyAlignment="1" applyProtection="1">
      <alignment vertical="center"/>
    </xf>
    <xf numFmtId="0" fontId="6" fillId="2" borderId="5" xfId="3" applyFont="1" applyFill="1" applyBorder="1" applyAlignment="1" applyProtection="1">
      <alignment vertical="center"/>
    </xf>
    <xf numFmtId="16" fontId="5" fillId="4" borderId="8" xfId="3" applyNumberFormat="1" applyFont="1" applyFill="1" applyBorder="1" applyAlignment="1" applyProtection="1">
      <alignment horizontal="center" vertical="center"/>
    </xf>
    <xf numFmtId="16" fontId="5" fillId="4" borderId="0" xfId="3" applyNumberFormat="1" applyFont="1" applyFill="1" applyBorder="1" applyAlignment="1" applyProtection="1">
      <alignment horizontal="center" vertical="center"/>
    </xf>
    <xf numFmtId="14" fontId="5" fillId="0" borderId="5" xfId="1" applyNumberFormat="1" applyFont="1" applyFill="1" applyBorder="1" applyAlignment="1" applyProtection="1">
      <alignment vertical="center"/>
      <protection locked="0"/>
    </xf>
    <xf numFmtId="0" fontId="6" fillId="2" borderId="4" xfId="1" applyFont="1" applyFill="1" applyBorder="1" applyAlignment="1" applyProtection="1">
      <alignment vertical="center"/>
    </xf>
    <xf numFmtId="0" fontId="6" fillId="2" borderId="5" xfId="1" applyFont="1" applyFill="1" applyBorder="1" applyAlignment="1" applyProtection="1">
      <alignment vertical="center"/>
    </xf>
    <xf numFmtId="16" fontId="5" fillId="4" borderId="8" xfId="1" applyNumberFormat="1" applyFont="1" applyFill="1" applyBorder="1" applyAlignment="1" applyProtection="1">
      <alignment horizontal="center" vertical="center"/>
    </xf>
    <xf numFmtId="164" fontId="5" fillId="4" borderId="1" xfId="1" applyNumberFormat="1" applyFont="1" applyFill="1" applyBorder="1" applyAlignment="1">
      <alignment horizontal="center" vertical="center"/>
    </xf>
    <xf numFmtId="0" fontId="5" fillId="0" borderId="0" xfId="1" applyFont="1" applyAlignment="1">
      <alignment vertical="center"/>
    </xf>
    <xf numFmtId="1" fontId="5" fillId="4" borderId="1" xfId="1" applyNumberFormat="1" applyFont="1" applyFill="1" applyBorder="1" applyAlignment="1">
      <alignment horizontal="center" vertical="center"/>
    </xf>
    <xf numFmtId="0" fontId="44" fillId="0" borderId="0" xfId="17" applyFont="1" applyFill="1" applyBorder="1"/>
    <xf numFmtId="0" fontId="44" fillId="0" borderId="0" xfId="17" applyFont="1" applyBorder="1"/>
    <xf numFmtId="0" fontId="9" fillId="0" borderId="0" xfId="1" applyFont="1" applyBorder="1"/>
    <xf numFmtId="0" fontId="5" fillId="11" borderId="3" xfId="1" applyFont="1" applyFill="1" applyBorder="1" applyAlignment="1" applyProtection="1">
      <alignment vertical="center" wrapText="1"/>
      <protection locked="0"/>
    </xf>
    <xf numFmtId="0" fontId="44" fillId="0" borderId="17" xfId="17" applyFont="1" applyFill="1" applyBorder="1"/>
    <xf numFmtId="0" fontId="11" fillId="0" borderId="0" xfId="1" applyNumberFormat="1" applyFont="1" applyFill="1" applyBorder="1" applyAlignment="1">
      <alignment horizontal="center" vertical="center"/>
    </xf>
    <xf numFmtId="14" fontId="11" fillId="0" borderId="0" xfId="1" applyNumberFormat="1" applyFont="1" applyFill="1" applyBorder="1" applyAlignment="1">
      <alignment horizontal="center" vertical="center"/>
    </xf>
    <xf numFmtId="0" fontId="5" fillId="2" borderId="1" xfId="33" applyFont="1" applyFill="1" applyBorder="1" applyAlignment="1" applyProtection="1">
      <alignment horizontal="left" vertical="center" wrapText="1"/>
      <protection locked="0"/>
    </xf>
    <xf numFmtId="16" fontId="5" fillId="4" borderId="9" xfId="62" applyNumberFormat="1" applyFont="1" applyFill="1" applyBorder="1" applyAlignment="1" applyProtection="1">
      <alignment horizontal="center" vertical="center"/>
      <protection locked="0"/>
    </xf>
    <xf numFmtId="0" fontId="6" fillId="2" borderId="3" xfId="33" applyFont="1" applyFill="1" applyBorder="1" applyAlignment="1" applyProtection="1">
      <alignment vertical="center"/>
      <protection locked="0"/>
    </xf>
    <xf numFmtId="0" fontId="5" fillId="2" borderId="1" xfId="33" applyFont="1" applyFill="1" applyBorder="1" applyAlignment="1" applyProtection="1">
      <alignment horizontal="left" vertical="center" wrapText="1"/>
      <protection locked="0"/>
    </xf>
    <xf numFmtId="0" fontId="6" fillId="2" borderId="3" xfId="33" applyFont="1" applyFill="1" applyBorder="1" applyAlignment="1" applyProtection="1">
      <alignment vertical="center"/>
      <protection locked="0"/>
    </xf>
    <xf numFmtId="0" fontId="5" fillId="2" borderId="1" xfId="33" applyFont="1" applyFill="1" applyBorder="1" applyAlignment="1" applyProtection="1">
      <alignment horizontal="left" vertical="center" wrapText="1"/>
      <protection locked="0"/>
    </xf>
    <xf numFmtId="16" fontId="5" fillId="2" borderId="7" xfId="53" applyNumberFormat="1" applyFont="1" applyFill="1" applyBorder="1" applyAlignment="1" applyProtection="1">
      <alignment vertical="center"/>
      <protection locked="0"/>
    </xf>
    <xf numFmtId="0" fontId="6" fillId="2" borderId="3" xfId="33" applyFont="1" applyFill="1" applyBorder="1" applyAlignment="1" applyProtection="1">
      <alignment vertical="center"/>
      <protection locked="0"/>
    </xf>
    <xf numFmtId="0" fontId="5" fillId="2" borderId="1" xfId="33" applyFont="1" applyFill="1" applyBorder="1" applyAlignment="1" applyProtection="1">
      <alignment horizontal="left" vertical="center" wrapText="1"/>
      <protection locked="0"/>
    </xf>
    <xf numFmtId="0" fontId="6" fillId="2" borderId="3" xfId="33" applyFont="1" applyFill="1" applyBorder="1" applyAlignment="1" applyProtection="1">
      <alignment vertical="center"/>
      <protection locked="0"/>
    </xf>
    <xf numFmtId="0" fontId="5" fillId="2" borderId="1" xfId="33" applyFont="1" applyFill="1" applyBorder="1" applyAlignment="1" applyProtection="1">
      <alignment horizontal="left" vertical="center" wrapText="1"/>
      <protection locked="0"/>
    </xf>
    <xf numFmtId="0" fontId="14" fillId="0" borderId="0" xfId="54" applyFont="1" applyAlignment="1" applyProtection="1">
      <alignment vertical="center"/>
      <protection locked="0"/>
    </xf>
    <xf numFmtId="16" fontId="14" fillId="0" borderId="0" xfId="54" applyNumberFormat="1" applyFont="1" applyAlignment="1" applyProtection="1">
      <alignment vertical="center"/>
      <protection locked="0"/>
    </xf>
    <xf numFmtId="0" fontId="6" fillId="2" borderId="2" xfId="54" applyFont="1" applyFill="1" applyBorder="1" applyAlignment="1" applyProtection="1">
      <alignment vertical="center"/>
      <protection locked="0"/>
    </xf>
    <xf numFmtId="0" fontId="6" fillId="2" borderId="3" xfId="54" applyFont="1" applyFill="1" applyBorder="1" applyAlignment="1" applyProtection="1">
      <alignment vertical="center"/>
    </xf>
    <xf numFmtId="164" fontId="5" fillId="4" borderId="1" xfId="54" applyNumberFormat="1" applyFont="1" applyFill="1" applyBorder="1" applyAlignment="1" applyProtection="1">
      <alignment horizontal="center" vertical="center"/>
    </xf>
    <xf numFmtId="0" fontId="5" fillId="0" borderId="0" xfId="54" applyFont="1" applyAlignment="1" applyProtection="1">
      <alignment vertical="center"/>
    </xf>
    <xf numFmtId="0" fontId="6" fillId="2" borderId="2" xfId="54" applyFont="1" applyFill="1" applyBorder="1" applyAlignment="1" applyProtection="1">
      <alignment vertical="center"/>
    </xf>
    <xf numFmtId="0" fontId="14" fillId="0" borderId="0" xfId="54" applyFont="1" applyAlignment="1" applyProtection="1">
      <alignment horizontal="left" vertical="center"/>
      <protection locked="0"/>
    </xf>
    <xf numFmtId="1" fontId="5" fillId="4" borderId="1" xfId="54" applyNumberFormat="1" applyFont="1" applyFill="1" applyBorder="1" applyAlignment="1" applyProtection="1">
      <alignment horizontal="center" vertical="center"/>
    </xf>
    <xf numFmtId="16" fontId="5" fillId="4" borderId="1" xfId="54" applyNumberFormat="1" applyFont="1" applyFill="1" applyBorder="1" applyAlignment="1" applyProtection="1">
      <alignment horizontal="center" vertical="center"/>
    </xf>
    <xf numFmtId="14" fontId="5" fillId="0" borderId="0" xfId="33" applyNumberFormat="1" applyFont="1" applyFill="1" applyBorder="1" applyAlignment="1" applyProtection="1">
      <alignment vertical="center"/>
      <protection locked="0"/>
    </xf>
    <xf numFmtId="0" fontId="14" fillId="0" borderId="0" xfId="54" applyFont="1" applyAlignment="1" applyProtection="1">
      <alignment vertical="center"/>
    </xf>
    <xf numFmtId="0" fontId="20" fillId="0" borderId="0" xfId="54" applyFont="1" applyFill="1" applyBorder="1" applyAlignment="1" applyProtection="1">
      <alignment vertical="center"/>
    </xf>
    <xf numFmtId="164" fontId="14" fillId="4" borderId="0" xfId="54" applyNumberFormat="1" applyFont="1" applyFill="1" applyBorder="1" applyAlignment="1" applyProtection="1">
      <alignment horizontal="center" vertical="center"/>
    </xf>
    <xf numFmtId="0" fontId="20" fillId="0" borderId="0" xfId="54" applyFont="1" applyAlignment="1" applyProtection="1">
      <alignment vertical="center"/>
      <protection locked="0"/>
    </xf>
    <xf numFmtId="0" fontId="14" fillId="0" borderId="0" xfId="54" applyFont="1" applyBorder="1" applyAlignment="1" applyProtection="1">
      <alignment horizontal="left" vertical="center" wrapText="1"/>
      <protection locked="0"/>
    </xf>
    <xf numFmtId="0" fontId="40" fillId="0" borderId="0" xfId="54" applyFont="1" applyAlignment="1" applyProtection="1">
      <alignment vertical="center"/>
      <protection locked="0"/>
    </xf>
    <xf numFmtId="0" fontId="20" fillId="2" borderId="1" xfId="54" applyFont="1" applyFill="1" applyBorder="1" applyAlignment="1" applyProtection="1">
      <alignment horizontal="center" vertical="center"/>
      <protection locked="0"/>
    </xf>
    <xf numFmtId="0" fontId="20" fillId="2" borderId="2" xfId="54" applyFont="1" applyFill="1" applyBorder="1" applyAlignment="1" applyProtection="1">
      <alignment vertical="center"/>
      <protection locked="0"/>
    </xf>
    <xf numFmtId="0" fontId="20" fillId="2" borderId="3" xfId="54" applyFont="1" applyFill="1" applyBorder="1" applyAlignment="1" applyProtection="1">
      <alignment vertical="center"/>
      <protection locked="0"/>
    </xf>
    <xf numFmtId="0" fontId="20" fillId="2" borderId="2" xfId="54" applyFont="1" applyFill="1" applyBorder="1" applyAlignment="1" applyProtection="1">
      <alignment horizontal="center" vertical="center" wrapText="1"/>
      <protection locked="0"/>
    </xf>
    <xf numFmtId="0" fontId="29" fillId="0" borderId="0" xfId="54" applyFont="1" applyAlignment="1" applyProtection="1">
      <alignment vertical="center"/>
      <protection locked="0"/>
    </xf>
    <xf numFmtId="0" fontId="5" fillId="4" borderId="1" xfId="54" applyFont="1" applyFill="1" applyBorder="1" applyAlignment="1" applyProtection="1">
      <alignment horizontal="center" vertical="center"/>
      <protection locked="0"/>
    </xf>
    <xf numFmtId="0" fontId="6" fillId="2" borderId="3" xfId="54" applyFont="1" applyFill="1" applyBorder="1" applyAlignment="1" applyProtection="1">
      <alignment vertical="center"/>
      <protection locked="0"/>
    </xf>
    <xf numFmtId="0" fontId="5" fillId="2" borderId="3" xfId="54" applyFont="1" applyFill="1" applyBorder="1" applyAlignment="1" applyProtection="1">
      <alignment vertical="center"/>
      <protection locked="0"/>
    </xf>
    <xf numFmtId="0" fontId="36" fillId="2" borderId="3" xfId="54" applyFont="1" applyFill="1" applyBorder="1" applyAlignment="1" applyProtection="1">
      <alignment horizontal="center" vertical="center"/>
      <protection locked="0"/>
    </xf>
    <xf numFmtId="0" fontId="5" fillId="0" borderId="0" xfId="54" applyFont="1" applyAlignment="1" applyProtection="1">
      <alignment vertical="center"/>
      <protection locked="0"/>
    </xf>
    <xf numFmtId="0" fontId="6" fillId="0" borderId="0" xfId="54" applyFont="1" applyAlignment="1" applyProtection="1">
      <alignment vertical="center"/>
      <protection locked="0"/>
    </xf>
    <xf numFmtId="0" fontId="5" fillId="2" borderId="1" xfId="54" applyFont="1" applyFill="1" applyBorder="1" applyAlignment="1" applyProtection="1">
      <alignment horizontal="left" vertical="center" wrapText="1"/>
      <protection locked="0"/>
    </xf>
    <xf numFmtId="0" fontId="5" fillId="0" borderId="0" xfId="54" applyFont="1" applyAlignment="1" applyProtection="1">
      <alignment horizontal="left" vertical="center"/>
      <protection locked="0"/>
    </xf>
    <xf numFmtId="0" fontId="6" fillId="0" borderId="0" xfId="54" applyFont="1" applyAlignment="1" applyProtection="1">
      <alignment horizontal="left" vertical="center"/>
      <protection locked="0"/>
    </xf>
    <xf numFmtId="0" fontId="5" fillId="2" borderId="3" xfId="54" applyFont="1" applyFill="1" applyBorder="1" applyAlignment="1" applyProtection="1">
      <alignment horizontal="left" vertical="center" wrapText="1"/>
      <protection locked="0"/>
    </xf>
    <xf numFmtId="0" fontId="5" fillId="2" borderId="8" xfId="54" applyFont="1" applyFill="1" applyBorder="1" applyAlignment="1" applyProtection="1">
      <alignment horizontal="left" vertical="center" wrapText="1"/>
      <protection locked="0"/>
    </xf>
    <xf numFmtId="0" fontId="6" fillId="2" borderId="1" xfId="54" applyFont="1" applyFill="1" applyBorder="1" applyAlignment="1" applyProtection="1">
      <alignment vertical="center"/>
      <protection locked="0"/>
    </xf>
    <xf numFmtId="0" fontId="6" fillId="2" borderId="3" xfId="54" applyFont="1" applyFill="1" applyBorder="1" applyAlignment="1" applyProtection="1">
      <alignment horizontal="center" vertical="center"/>
      <protection locked="0"/>
    </xf>
    <xf numFmtId="0" fontId="5" fillId="0" borderId="0" xfId="54" applyFont="1" applyBorder="1" applyAlignment="1" applyProtection="1">
      <alignment horizontal="left" vertical="center"/>
      <protection locked="0"/>
    </xf>
    <xf numFmtId="0" fontId="6" fillId="0" borderId="0" xfId="54" applyFont="1" applyBorder="1" applyAlignment="1" applyProtection="1">
      <alignment horizontal="left" vertical="center"/>
      <protection locked="0"/>
    </xf>
    <xf numFmtId="0" fontId="5" fillId="2" borderId="4" xfId="54" applyFont="1" applyFill="1" applyBorder="1" applyAlignment="1" applyProtection="1">
      <alignment horizontal="left" vertical="center" wrapText="1"/>
      <protection locked="0"/>
    </xf>
    <xf numFmtId="0" fontId="5" fillId="0" borderId="12" xfId="54" applyFont="1" applyBorder="1" applyAlignment="1" applyProtection="1">
      <alignment horizontal="left" vertical="center"/>
      <protection locked="0"/>
    </xf>
    <xf numFmtId="0" fontId="5" fillId="2" borderId="2" xfId="54" applyFont="1" applyFill="1" applyBorder="1" applyAlignment="1" applyProtection="1">
      <alignment horizontal="left" vertical="center" wrapText="1"/>
      <protection locked="0"/>
    </xf>
    <xf numFmtId="0" fontId="6" fillId="2" borderId="8" xfId="54" applyFont="1" applyFill="1" applyBorder="1" applyAlignment="1" applyProtection="1">
      <alignment horizontal="center" vertical="center"/>
      <protection locked="0"/>
    </xf>
    <xf numFmtId="0" fontId="6" fillId="2" borderId="8" xfId="54" applyFont="1" applyFill="1" applyBorder="1" applyAlignment="1" applyProtection="1">
      <alignment vertical="center"/>
      <protection locked="0"/>
    </xf>
    <xf numFmtId="0" fontId="6" fillId="2" borderId="10" xfId="54" applyFont="1" applyFill="1" applyBorder="1" applyAlignment="1" applyProtection="1">
      <alignment vertical="center"/>
      <protection locked="0"/>
    </xf>
    <xf numFmtId="0" fontId="6" fillId="11" borderId="1" xfId="54" applyFont="1" applyFill="1" applyBorder="1" applyAlignment="1" applyProtection="1">
      <alignment vertical="center"/>
      <protection locked="0"/>
    </xf>
    <xf numFmtId="0" fontId="0" fillId="0" borderId="0" xfId="54" applyFont="1" applyAlignment="1" applyProtection="1">
      <alignment vertical="center"/>
      <protection locked="0"/>
    </xf>
    <xf numFmtId="16" fontId="0" fillId="0" borderId="0" xfId="54" applyNumberFormat="1" applyFont="1" applyAlignment="1" applyProtection="1">
      <alignment vertical="center"/>
      <protection locked="0"/>
    </xf>
    <xf numFmtId="0" fontId="5" fillId="2" borderId="1" xfId="15" applyFont="1" applyFill="1" applyBorder="1" applyAlignment="1" applyProtection="1">
      <alignment vertical="center" wrapText="1"/>
      <protection locked="0"/>
    </xf>
    <xf numFmtId="0" fontId="5" fillId="2" borderId="4" xfId="15" applyFont="1" applyFill="1" applyBorder="1" applyAlignment="1" applyProtection="1">
      <alignment vertical="center" wrapText="1"/>
      <protection locked="0"/>
    </xf>
    <xf numFmtId="0" fontId="5" fillId="2" borderId="7" xfId="54" applyFont="1" applyFill="1" applyBorder="1" applyAlignment="1" applyProtection="1">
      <alignment vertical="center"/>
      <protection locked="0"/>
    </xf>
    <xf numFmtId="0" fontId="5" fillId="2" borderId="2" xfId="15" applyFont="1" applyFill="1" applyBorder="1" applyAlignment="1" applyProtection="1">
      <alignment vertical="center" wrapText="1"/>
      <protection locked="0"/>
    </xf>
    <xf numFmtId="0" fontId="0" fillId="0" borderId="1" xfId="0" applyBorder="1" applyAlignment="1">
      <alignment horizontal="left" vertical="center"/>
    </xf>
    <xf numFmtId="0" fontId="5" fillId="2" borderId="3" xfId="54" applyFont="1" applyFill="1" applyBorder="1" applyAlignment="1" applyProtection="1">
      <alignment horizontal="left" vertical="center"/>
      <protection locked="0"/>
    </xf>
    <xf numFmtId="0" fontId="0" fillId="0" borderId="0" xfId="0" applyFill="1"/>
    <xf numFmtId="0" fontId="0" fillId="0" borderId="1" xfId="0" applyBorder="1"/>
    <xf numFmtId="0" fontId="5" fillId="0" borderId="0" xfId="0" quotePrefix="1" applyFont="1"/>
    <xf numFmtId="0" fontId="44" fillId="0" borderId="8" xfId="17" applyFont="1" applyFill="1" applyBorder="1"/>
    <xf numFmtId="0" fontId="26" fillId="0" borderId="1" xfId="0" applyFont="1" applyBorder="1"/>
    <xf numFmtId="0" fontId="26" fillId="0" borderId="1" xfId="0" applyFont="1" applyFill="1" applyBorder="1"/>
    <xf numFmtId="0" fontId="5" fillId="2" borderId="1" xfId="2" applyFont="1" applyFill="1" applyBorder="1" applyAlignment="1" applyProtection="1">
      <alignment horizontal="left" vertical="center" wrapText="1"/>
      <protection locked="0"/>
    </xf>
    <xf numFmtId="0" fontId="50" fillId="0" borderId="0" xfId="115" applyNumberFormat="1" applyFont="1" applyAlignment="1">
      <alignment vertical="center"/>
    </xf>
    <xf numFmtId="0" fontId="51" fillId="0" borderId="0" xfId="115" applyNumberFormat="1" applyFont="1" applyAlignment="1">
      <alignment vertical="center"/>
    </xf>
    <xf numFmtId="0" fontId="53" fillId="0" borderId="0" xfId="115" applyNumberFormat="1" applyFont="1" applyAlignment="1" applyProtection="1">
      <alignment vertical="center"/>
      <protection locked="0"/>
    </xf>
    <xf numFmtId="16" fontId="53" fillId="0" borderId="0" xfId="115" applyNumberFormat="1" applyFont="1" applyAlignment="1" applyProtection="1">
      <alignment vertical="center"/>
      <protection locked="0"/>
    </xf>
    <xf numFmtId="0" fontId="50" fillId="13" borderId="19" xfId="115" applyNumberFormat="1" applyFont="1" applyFill="1" applyBorder="1" applyAlignment="1" applyProtection="1">
      <alignment vertical="center"/>
      <protection locked="0"/>
    </xf>
    <xf numFmtId="0" fontId="50" fillId="13" borderId="20" xfId="115" applyNumberFormat="1" applyFont="1" applyFill="1" applyBorder="1" applyAlignment="1" applyProtection="1">
      <alignment vertical="center"/>
    </xf>
    <xf numFmtId="0" fontId="51" fillId="0" borderId="0" xfId="115" applyNumberFormat="1" applyFont="1" applyAlignment="1" applyProtection="1">
      <alignment vertical="center"/>
    </xf>
    <xf numFmtId="0" fontId="50" fillId="13" borderId="19" xfId="115" applyNumberFormat="1" applyFont="1" applyFill="1" applyBorder="1" applyAlignment="1" applyProtection="1">
      <alignment vertical="center"/>
    </xf>
    <xf numFmtId="0" fontId="53" fillId="0" borderId="0" xfId="115" applyNumberFormat="1" applyFont="1" applyAlignment="1" applyProtection="1">
      <alignment horizontal="left" vertical="center"/>
      <protection locked="0"/>
    </xf>
    <xf numFmtId="14" fontId="51" fillId="0" borderId="0" xfId="115" applyNumberFormat="1" applyFont="1" applyBorder="1" applyAlignment="1" applyProtection="1">
      <alignment vertical="center"/>
      <protection locked="0"/>
    </xf>
    <xf numFmtId="0" fontId="53" fillId="0" borderId="0" xfId="115" applyNumberFormat="1" applyFont="1" applyAlignment="1" applyProtection="1">
      <alignment vertical="center"/>
    </xf>
    <xf numFmtId="0" fontId="54" fillId="0" borderId="0" xfId="115" applyNumberFormat="1" applyFont="1" applyBorder="1" applyAlignment="1" applyProtection="1">
      <alignment vertical="center"/>
    </xf>
    <xf numFmtId="164" fontId="53" fillId="14" borderId="0" xfId="115" applyNumberFormat="1" applyFont="1" applyFill="1" applyBorder="1" applyAlignment="1" applyProtection="1">
      <alignment horizontal="center" vertical="center"/>
    </xf>
    <xf numFmtId="0" fontId="54" fillId="0" borderId="0" xfId="115" applyNumberFormat="1" applyFont="1" applyAlignment="1" applyProtection="1">
      <alignment vertical="center"/>
      <protection locked="0"/>
    </xf>
    <xf numFmtId="0" fontId="53" fillId="0" borderId="0" xfId="115" applyNumberFormat="1" applyFont="1" applyBorder="1" applyAlignment="1" applyProtection="1">
      <alignment horizontal="left" vertical="center" wrapText="1"/>
      <protection locked="0"/>
    </xf>
    <xf numFmtId="0" fontId="56" fillId="0" borderId="0" xfId="115" applyNumberFormat="1" applyFont="1" applyAlignment="1" applyProtection="1">
      <alignment vertical="center"/>
      <protection locked="0"/>
    </xf>
    <xf numFmtId="0" fontId="54" fillId="13" borderId="18" xfId="115" applyNumberFormat="1" applyFont="1" applyFill="1" applyBorder="1" applyAlignment="1" applyProtection="1">
      <alignment horizontal="center" vertical="center"/>
      <protection locked="0"/>
    </xf>
    <xf numFmtId="0" fontId="54" fillId="13" borderId="19" xfId="115" applyNumberFormat="1" applyFont="1" applyFill="1" applyBorder="1" applyAlignment="1" applyProtection="1">
      <alignment vertical="center"/>
      <protection locked="0"/>
    </xf>
    <xf numFmtId="0" fontId="54" fillId="13" borderId="20" xfId="115" applyNumberFormat="1" applyFont="1" applyFill="1" applyBorder="1" applyAlignment="1" applyProtection="1">
      <alignment vertical="center"/>
      <protection locked="0"/>
    </xf>
    <xf numFmtId="0" fontId="54" fillId="13" borderId="19" xfId="115" applyNumberFormat="1" applyFont="1" applyFill="1" applyBorder="1" applyAlignment="1" applyProtection="1">
      <alignment horizontal="center" vertical="center" wrapText="1"/>
      <protection locked="0"/>
    </xf>
    <xf numFmtId="16" fontId="54" fillId="13" borderId="18" xfId="115" applyNumberFormat="1" applyFont="1" applyFill="1" applyBorder="1" applyAlignment="1" applyProtection="1">
      <alignment horizontal="center" vertical="center" wrapText="1"/>
      <protection locked="0"/>
    </xf>
    <xf numFmtId="0" fontId="58" fillId="0" borderId="0" xfId="115" applyNumberFormat="1" applyFont="1" applyAlignment="1" applyProtection="1">
      <alignment vertical="center"/>
      <protection locked="0"/>
    </xf>
    <xf numFmtId="0" fontId="51" fillId="14" borderId="18" xfId="115" applyNumberFormat="1" applyFont="1" applyFill="1" applyBorder="1" applyAlignment="1" applyProtection="1">
      <alignment horizontal="center" vertical="center"/>
      <protection locked="0"/>
    </xf>
    <xf numFmtId="0" fontId="50" fillId="13" borderId="20" xfId="115" applyNumberFormat="1" applyFont="1" applyFill="1" applyBorder="1" applyAlignment="1" applyProtection="1">
      <alignment vertical="center"/>
      <protection locked="0"/>
    </xf>
    <xf numFmtId="0" fontId="51" fillId="13" borderId="20" xfId="115" applyNumberFormat="1" applyFont="1" applyFill="1" applyBorder="1" applyAlignment="1" applyProtection="1">
      <alignment vertical="center"/>
      <protection locked="0"/>
    </xf>
    <xf numFmtId="0" fontId="59" fillId="13" borderId="20" xfId="115" applyNumberFormat="1" applyFont="1" applyFill="1" applyBorder="1" applyAlignment="1" applyProtection="1">
      <alignment horizontal="center" vertical="center"/>
      <protection locked="0"/>
    </xf>
    <xf numFmtId="16" fontId="51" fillId="13" borderId="21" xfId="115" applyNumberFormat="1" applyFont="1" applyFill="1" applyBorder="1" applyAlignment="1" applyProtection="1">
      <alignment vertical="center"/>
      <protection locked="0"/>
    </xf>
    <xf numFmtId="0" fontId="51" fillId="0" borderId="0" xfId="115" applyNumberFormat="1" applyFont="1" applyAlignment="1" applyProtection="1">
      <alignment vertical="center"/>
      <protection locked="0"/>
    </xf>
    <xf numFmtId="0" fontId="50" fillId="0" borderId="0" xfId="115" applyNumberFormat="1" applyFont="1" applyAlignment="1" applyProtection="1">
      <alignment vertical="center"/>
      <protection locked="0"/>
    </xf>
    <xf numFmtId="0" fontId="51" fillId="13" borderId="18" xfId="115" applyNumberFormat="1" applyFont="1" applyFill="1" applyBorder="1" applyAlignment="1" applyProtection="1">
      <alignment horizontal="left" vertical="center" wrapText="1"/>
      <protection locked="0"/>
    </xf>
    <xf numFmtId="0" fontId="0" fillId="0" borderId="18" xfId="0" applyBorder="1" applyAlignment="1">
      <alignment horizontal="left" vertical="center"/>
    </xf>
    <xf numFmtId="16" fontId="51" fillId="14" borderId="9" xfId="115" applyNumberFormat="1" applyFont="1" applyFill="1" applyBorder="1" applyAlignment="1" applyProtection="1">
      <alignment horizontal="center" vertical="center"/>
      <protection locked="0"/>
    </xf>
    <xf numFmtId="0" fontId="51" fillId="0" borderId="0" xfId="115" applyNumberFormat="1" applyFont="1" applyAlignment="1" applyProtection="1">
      <alignment horizontal="left" vertical="center"/>
      <protection locked="0"/>
    </xf>
    <xf numFmtId="0" fontId="50" fillId="0" borderId="0" xfId="115" applyNumberFormat="1" applyFont="1" applyAlignment="1" applyProtection="1">
      <alignment horizontal="left" vertical="center"/>
      <protection locked="0"/>
    </xf>
    <xf numFmtId="0" fontId="51" fillId="13" borderId="18" xfId="0" applyFont="1" applyFill="1" applyBorder="1" applyAlignment="1" applyProtection="1">
      <alignment horizontal="left" vertical="center" wrapText="1"/>
      <protection locked="0"/>
    </xf>
    <xf numFmtId="0" fontId="51" fillId="13" borderId="18" xfId="0" applyFont="1" applyFill="1" applyBorder="1" applyAlignment="1" applyProtection="1">
      <alignment vertical="center" wrapText="1"/>
      <protection locked="0"/>
    </xf>
    <xf numFmtId="0" fontId="51" fillId="13" borderId="20" xfId="115" applyNumberFormat="1" applyFont="1" applyFill="1" applyBorder="1" applyAlignment="1" applyProtection="1">
      <alignment horizontal="left" vertical="center"/>
      <protection locked="0"/>
    </xf>
    <xf numFmtId="16" fontId="51" fillId="15" borderId="9" xfId="115" applyNumberFormat="1" applyFont="1" applyFill="1" applyBorder="1" applyAlignment="1" applyProtection="1">
      <alignment horizontal="center" vertical="center"/>
      <protection locked="0"/>
    </xf>
    <xf numFmtId="0" fontId="51" fillId="13" borderId="21" xfId="115" applyNumberFormat="1" applyFont="1" applyFill="1" applyBorder="1" applyAlignment="1" applyProtection="1">
      <alignment horizontal="left" vertical="center" wrapText="1"/>
      <protection locked="0"/>
    </xf>
    <xf numFmtId="16" fontId="51" fillId="13" borderId="13" xfId="115" applyNumberFormat="1" applyFont="1" applyFill="1" applyBorder="1" applyAlignment="1" applyProtection="1">
      <alignment vertical="center"/>
      <protection locked="0"/>
    </xf>
    <xf numFmtId="0" fontId="51" fillId="13" borderId="22" xfId="115" applyNumberFormat="1" applyFont="1" applyFill="1" applyBorder="1" applyAlignment="1" applyProtection="1">
      <alignment horizontal="left" vertical="center" wrapText="1"/>
      <protection locked="0"/>
    </xf>
    <xf numFmtId="0" fontId="50" fillId="13" borderId="22" xfId="115" applyNumberFormat="1" applyFont="1" applyFill="1" applyBorder="1" applyAlignment="1" applyProtection="1">
      <alignment horizontal="center" vertical="center"/>
      <protection locked="0"/>
    </xf>
    <xf numFmtId="0" fontId="50" fillId="13" borderId="22" xfId="115" applyNumberFormat="1" applyFont="1" applyFill="1" applyBorder="1" applyAlignment="1" applyProtection="1">
      <alignment vertical="center"/>
      <protection locked="0"/>
    </xf>
    <xf numFmtId="0" fontId="50" fillId="13" borderId="10" xfId="115" applyNumberFormat="1" applyFont="1" applyFill="1" applyBorder="1" applyAlignment="1" applyProtection="1">
      <alignment vertical="center"/>
      <protection locked="0"/>
    </xf>
    <xf numFmtId="0" fontId="50" fillId="15" borderId="18" xfId="115" applyNumberFormat="1" applyFont="1" applyFill="1" applyBorder="1" applyAlignment="1" applyProtection="1">
      <alignment vertical="center"/>
      <protection locked="0"/>
    </xf>
    <xf numFmtId="0" fontId="0" fillId="0" borderId="0" xfId="115" applyNumberFormat="1" applyFont="1" applyAlignment="1" applyProtection="1">
      <alignment vertical="center"/>
      <protection locked="0"/>
    </xf>
    <xf numFmtId="16" fontId="0" fillId="0" borderId="0" xfId="115" applyNumberFormat="1" applyFont="1" applyAlignment="1" applyProtection="1">
      <alignment vertical="center"/>
      <protection locked="0"/>
    </xf>
    <xf numFmtId="16" fontId="51" fillId="15" borderId="21" xfId="115" applyNumberFormat="1" applyFont="1" applyFill="1" applyBorder="1" applyAlignment="1" applyProtection="1">
      <alignment horizontal="center" vertical="center"/>
      <protection locked="0"/>
    </xf>
    <xf numFmtId="0" fontId="51" fillId="14" borderId="20" xfId="115" applyNumberFormat="1" applyFont="1" applyFill="1" applyBorder="1" applyAlignment="1" applyProtection="1">
      <alignment horizontal="center" vertical="center" wrapText="1"/>
      <protection locked="0"/>
    </xf>
    <xf numFmtId="0" fontId="51" fillId="14" borderId="19" xfId="115" applyNumberFormat="1" applyFont="1" applyFill="1" applyBorder="1" applyAlignment="1" applyProtection="1">
      <alignment horizontal="center" vertical="center" wrapText="1"/>
      <protection locked="0"/>
    </xf>
    <xf numFmtId="0" fontId="51" fillId="13" borderId="20" xfId="115" applyNumberFormat="1" applyFont="1" applyFill="1" applyBorder="1" applyAlignment="1" applyProtection="1">
      <alignment horizontal="left" vertical="center" wrapText="1"/>
      <protection locked="0"/>
    </xf>
    <xf numFmtId="0" fontId="51" fillId="13" borderId="23" xfId="115" applyNumberFormat="1" applyFont="1" applyFill="1" applyBorder="1" applyAlignment="1" applyProtection="1">
      <alignment horizontal="left" vertical="center" wrapText="1"/>
      <protection locked="0"/>
    </xf>
    <xf numFmtId="16" fontId="5" fillId="4" borderId="18" xfId="1" applyNumberFormat="1" applyFont="1" applyFill="1" applyBorder="1" applyAlignment="1" applyProtection="1">
      <alignment horizontal="center" vertical="center"/>
    </xf>
    <xf numFmtId="0" fontId="11" fillId="2" borderId="18" xfId="1" applyFont="1" applyFill="1" applyBorder="1" applyAlignment="1" applyProtection="1">
      <alignment horizontal="left" vertical="center" wrapText="1"/>
      <protection locked="0"/>
    </xf>
    <xf numFmtId="0" fontId="11" fillId="4" borderId="20" xfId="1" applyFont="1" applyFill="1" applyBorder="1" applyAlignment="1" applyProtection="1">
      <alignment vertical="center" wrapText="1"/>
      <protection locked="0"/>
    </xf>
    <xf numFmtId="0" fontId="5" fillId="2" borderId="18" xfId="1" applyFont="1" applyFill="1" applyBorder="1" applyAlignment="1" applyProtection="1">
      <alignment horizontal="left" vertical="center" wrapText="1"/>
      <protection locked="0"/>
    </xf>
    <xf numFmtId="0" fontId="0" fillId="16" borderId="1" xfId="1" applyFont="1" applyFill="1" applyBorder="1" applyAlignment="1">
      <alignment horizontal="center" vertical="center"/>
    </xf>
    <xf numFmtId="0" fontId="0" fillId="16" borderId="1" xfId="1" applyFont="1" applyFill="1" applyBorder="1" applyAlignment="1">
      <alignment horizontal="left" vertical="center" wrapText="1"/>
    </xf>
    <xf numFmtId="16" fontId="0" fillId="16" borderId="1" xfId="1" applyNumberFormat="1" applyFont="1" applyFill="1" applyBorder="1" applyAlignment="1">
      <alignment horizontal="center" vertical="center" wrapText="1"/>
    </xf>
    <xf numFmtId="0" fontId="0" fillId="16" borderId="1" xfId="1" applyFont="1" applyFill="1" applyBorder="1" applyAlignment="1">
      <alignment vertical="center"/>
    </xf>
    <xf numFmtId="0" fontId="0" fillId="16" borderId="1" xfId="1" applyFont="1" applyFill="1" applyBorder="1" applyAlignment="1">
      <alignment horizontal="center"/>
    </xf>
    <xf numFmtId="0" fontId="0" fillId="17" borderId="1" xfId="1" applyFont="1" applyFill="1" applyBorder="1" applyAlignment="1">
      <alignment horizontal="center" vertical="center"/>
    </xf>
    <xf numFmtId="0" fontId="0" fillId="17" borderId="1" xfId="1" applyFont="1" applyFill="1" applyBorder="1" applyAlignment="1">
      <alignment horizontal="left" vertical="center" wrapText="1"/>
    </xf>
    <xf numFmtId="16" fontId="0" fillId="17" borderId="1" xfId="1" applyNumberFormat="1" applyFont="1" applyFill="1" applyBorder="1" applyAlignment="1">
      <alignment horizontal="center" vertical="center" wrapText="1"/>
    </xf>
    <xf numFmtId="0" fontId="0" fillId="17" borderId="1" xfId="1" applyFont="1" applyFill="1" applyBorder="1" applyAlignment="1">
      <alignment vertical="center"/>
    </xf>
    <xf numFmtId="0" fontId="0" fillId="17" borderId="1" xfId="1" applyFont="1" applyFill="1" applyBorder="1" applyAlignment="1">
      <alignment horizontal="center"/>
    </xf>
    <xf numFmtId="0" fontId="0" fillId="18" borderId="1" xfId="1" applyFont="1" applyFill="1" applyBorder="1" applyAlignment="1">
      <alignment horizontal="center" vertical="center"/>
    </xf>
    <xf numFmtId="0" fontId="0" fillId="18" borderId="1" xfId="1" applyFont="1" applyFill="1" applyBorder="1" applyAlignment="1">
      <alignment horizontal="left" vertical="center" wrapText="1"/>
    </xf>
    <xf numFmtId="16" fontId="0" fillId="18" borderId="1" xfId="1" applyNumberFormat="1" applyFont="1" applyFill="1" applyBorder="1" applyAlignment="1">
      <alignment horizontal="center" vertical="center" wrapText="1"/>
    </xf>
    <xf numFmtId="0" fontId="0" fillId="18" borderId="1" xfId="1" applyFont="1" applyFill="1" applyBorder="1" applyAlignment="1">
      <alignment vertical="center"/>
    </xf>
    <xf numFmtId="0" fontId="0" fillId="18" borderId="1" xfId="1" applyFont="1" applyFill="1" applyBorder="1" applyAlignment="1">
      <alignment horizontal="center"/>
    </xf>
    <xf numFmtId="0" fontId="0" fillId="19" borderId="1" xfId="1" applyFont="1" applyFill="1" applyBorder="1" applyAlignment="1">
      <alignment horizontal="center" vertical="center"/>
    </xf>
    <xf numFmtId="0" fontId="0" fillId="19" borderId="1" xfId="1" applyFont="1" applyFill="1" applyBorder="1" applyAlignment="1">
      <alignment horizontal="left" vertical="center" wrapText="1"/>
    </xf>
    <xf numFmtId="16" fontId="0" fillId="19" borderId="1" xfId="1" applyNumberFormat="1" applyFont="1" applyFill="1" applyBorder="1" applyAlignment="1">
      <alignment horizontal="center" vertical="center" wrapText="1"/>
    </xf>
    <xf numFmtId="0" fontId="0" fillId="19" borderId="1" xfId="1" applyFont="1" applyFill="1" applyBorder="1" applyAlignment="1">
      <alignment vertical="center"/>
    </xf>
    <xf numFmtId="0" fontId="0" fillId="19" borderId="1" xfId="1" applyFont="1" applyFill="1" applyBorder="1" applyAlignment="1">
      <alignment horizontal="center"/>
    </xf>
    <xf numFmtId="0" fontId="0" fillId="0" borderId="18" xfId="0" applyBorder="1" applyAlignment="1">
      <alignment horizontal="left" vertical="center"/>
    </xf>
    <xf numFmtId="0" fontId="5" fillId="16" borderId="1" xfId="1" applyFont="1" applyFill="1" applyBorder="1" applyAlignment="1">
      <alignment horizontal="center"/>
    </xf>
    <xf numFmtId="0" fontId="51" fillId="14" borderId="1" xfId="115" applyNumberFormat="1" applyFont="1" applyFill="1" applyBorder="1" applyAlignment="1" applyProtection="1">
      <alignment horizontal="center" vertical="center"/>
      <protection locked="0"/>
    </xf>
    <xf numFmtId="0" fontId="6" fillId="2" borderId="20" xfId="33" applyFont="1" applyFill="1" applyBorder="1" applyAlignment="1" applyProtection="1">
      <alignment vertical="center"/>
      <protection locked="0"/>
    </xf>
    <xf numFmtId="0" fontId="5" fillId="2" borderId="20" xfId="33" applyFont="1" applyFill="1" applyBorder="1" applyAlignment="1" applyProtection="1">
      <alignment vertical="center"/>
      <protection locked="0"/>
    </xf>
    <xf numFmtId="0" fontId="5" fillId="2" borderId="21" xfId="33" applyFont="1" applyFill="1" applyBorder="1" applyAlignment="1" applyProtection="1">
      <alignment horizontal="left" vertical="center" wrapText="1"/>
      <protection locked="0"/>
    </xf>
    <xf numFmtId="0" fontId="5" fillId="2" borderId="20" xfId="33" applyFont="1" applyFill="1" applyBorder="1" applyAlignment="1" applyProtection="1">
      <alignment horizontal="left" vertical="center" wrapText="1"/>
      <protection locked="0"/>
    </xf>
    <xf numFmtId="0" fontId="5" fillId="2" borderId="1" xfId="15" applyFont="1" applyFill="1" applyBorder="1" applyAlignment="1" applyProtection="1">
      <alignment horizontal="left" vertical="center" wrapText="1"/>
      <protection locked="0"/>
    </xf>
    <xf numFmtId="0" fontId="5" fillId="19" borderId="1" xfId="1" applyFont="1" applyFill="1" applyBorder="1" applyAlignment="1">
      <alignment horizontal="left" vertical="center" wrapText="1"/>
    </xf>
    <xf numFmtId="14" fontId="5" fillId="0" borderId="1" xfId="14" applyNumberFormat="1" applyFont="1" applyBorder="1" applyAlignment="1" applyProtection="1">
      <alignment horizontal="center" vertical="center" wrapText="1"/>
      <protection locked="0"/>
    </xf>
    <xf numFmtId="0" fontId="11" fillId="4" borderId="1" xfId="1" applyFont="1" applyFill="1" applyBorder="1" applyAlignment="1" applyProtection="1">
      <alignment vertical="center" wrapText="1"/>
      <protection locked="0"/>
    </xf>
    <xf numFmtId="0" fontId="0" fillId="0" borderId="24" xfId="0" pivotButton="1" applyBorder="1"/>
    <xf numFmtId="0" fontId="0" fillId="0" borderId="25" xfId="0" applyBorder="1"/>
    <xf numFmtId="0" fontId="0" fillId="0" borderId="26" xfId="0" applyBorder="1"/>
    <xf numFmtId="2" fontId="0" fillId="0" borderId="24" xfId="0" applyNumberFormat="1" applyBorder="1"/>
    <xf numFmtId="0" fontId="0" fillId="0" borderId="26" xfId="0" applyNumberFormat="1" applyBorder="1"/>
    <xf numFmtId="2" fontId="0" fillId="0" borderId="27" xfId="0" applyNumberFormat="1" applyBorder="1"/>
    <xf numFmtId="0" fontId="0" fillId="0" borderId="27" xfId="0" applyBorder="1"/>
    <xf numFmtId="16" fontId="0" fillId="0" borderId="27" xfId="0" applyNumberFormat="1" applyBorder="1"/>
    <xf numFmtId="0" fontId="0" fillId="0" borderId="28" xfId="0" applyNumberFormat="1" applyBorder="1"/>
    <xf numFmtId="0" fontId="0" fillId="0" borderId="28" xfId="0" pivotButton="1" applyBorder="1"/>
    <xf numFmtId="0" fontId="0" fillId="0" borderId="28" xfId="0" applyBorder="1"/>
    <xf numFmtId="14" fontId="5" fillId="16" borderId="1" xfId="14" applyNumberFormat="1" applyFont="1" applyFill="1" applyBorder="1" applyAlignment="1" applyProtection="1">
      <alignment horizontal="center" vertical="center" wrapText="1"/>
      <protection locked="0"/>
    </xf>
    <xf numFmtId="16" fontId="60" fillId="0" borderId="0" xfId="1" applyNumberFormat="1" applyFont="1" applyAlignment="1">
      <alignment vertical="center"/>
    </xf>
    <xf numFmtId="0" fontId="60" fillId="0" borderId="0" xfId="1" applyFont="1" applyAlignment="1">
      <alignment vertical="center"/>
    </xf>
    <xf numFmtId="0" fontId="14" fillId="0" borderId="0" xfId="5" applyFont="1" applyFill="1" applyAlignment="1">
      <alignment horizontal="left" vertical="center" wrapText="1" indent="5"/>
    </xf>
    <xf numFmtId="0" fontId="14" fillId="0" borderId="0" xfId="5" applyFont="1" applyFill="1" applyAlignment="1">
      <alignment horizontal="left" vertical="top" wrapText="1"/>
    </xf>
    <xf numFmtId="0" fontId="20" fillId="0" borderId="0" xfId="5" applyFont="1" applyFill="1" applyAlignment="1">
      <alignment horizontal="left" vertical="top" wrapText="1"/>
    </xf>
    <xf numFmtId="0" fontId="14" fillId="0" borderId="1" xfId="5" applyFont="1" applyBorder="1" applyAlignment="1">
      <alignment horizontal="center" vertical="top" wrapText="1"/>
    </xf>
    <xf numFmtId="0" fontId="20" fillId="0" borderId="2" xfId="5" applyFont="1" applyBorder="1" applyAlignment="1">
      <alignment horizontal="center" vertical="center" wrapText="1"/>
    </xf>
    <xf numFmtId="0" fontId="20" fillId="0" borderId="3" xfId="5" applyFont="1" applyBorder="1" applyAlignment="1">
      <alignment horizontal="center" vertical="center" wrapText="1"/>
    </xf>
    <xf numFmtId="0" fontId="20" fillId="0" borderId="7" xfId="5" applyFont="1" applyBorder="1" applyAlignment="1">
      <alignment horizontal="center" vertical="center" wrapText="1"/>
    </xf>
    <xf numFmtId="0" fontId="14" fillId="0" borderId="2" xfId="5" applyFont="1" applyBorder="1" applyAlignment="1">
      <alignment horizontal="center" vertical="center" wrapText="1"/>
    </xf>
    <xf numFmtId="0" fontId="14" fillId="0" borderId="3" xfId="5" applyFont="1" applyBorder="1" applyAlignment="1">
      <alignment horizontal="center" vertical="center" wrapText="1"/>
    </xf>
    <xf numFmtId="0" fontId="14" fillId="0" borderId="7" xfId="5" applyFont="1" applyBorder="1" applyAlignment="1">
      <alignment horizontal="center" vertical="center" wrapText="1"/>
    </xf>
    <xf numFmtId="0" fontId="14" fillId="0" borderId="0" xfId="5" applyFont="1" applyFill="1" applyAlignment="1">
      <alignment horizontal="left" vertical="top" wrapText="1" indent="2"/>
    </xf>
    <xf numFmtId="0" fontId="7" fillId="10" borderId="14" xfId="15" applyFont="1" applyFill="1" applyBorder="1" applyAlignment="1">
      <alignment horizontal="center" vertical="center" wrapText="1"/>
    </xf>
    <xf numFmtId="0" fontId="7" fillId="10" borderId="15" xfId="15" applyFont="1" applyFill="1" applyBorder="1" applyAlignment="1">
      <alignment horizontal="center" vertical="center" wrapText="1"/>
    </xf>
    <xf numFmtId="0" fontId="7" fillId="10" borderId="16" xfId="15" applyFont="1" applyFill="1" applyBorder="1" applyAlignment="1">
      <alignment horizontal="center" vertical="center" wrapText="1"/>
    </xf>
    <xf numFmtId="0" fontId="14" fillId="0" borderId="0" xfId="5" applyFont="1" applyFill="1" applyAlignment="1">
      <alignment horizontal="left" vertical="center" wrapText="1" indent="2"/>
    </xf>
    <xf numFmtId="0" fontId="14" fillId="0" borderId="0" xfId="5" applyFont="1" applyFill="1" applyAlignment="1">
      <alignment horizontal="left" vertical="center" wrapText="1" indent="1"/>
    </xf>
    <xf numFmtId="0" fontId="20" fillId="0" borderId="0" xfId="5" applyFont="1" applyFill="1" applyAlignment="1">
      <alignment horizontal="left" vertical="center" wrapText="1"/>
    </xf>
    <xf numFmtId="0" fontId="14" fillId="0" borderId="0" xfId="5" applyFont="1" applyFill="1" applyAlignment="1">
      <alignment horizontal="left" vertical="center" wrapText="1"/>
    </xf>
    <xf numFmtId="0" fontId="6" fillId="0" borderId="0" xfId="5" applyFont="1" applyFill="1" applyBorder="1" applyAlignment="1">
      <alignment horizontal="left" vertical="center" wrapText="1"/>
    </xf>
    <xf numFmtId="0" fontId="6" fillId="0" borderId="1" xfId="5" applyFont="1" applyBorder="1" applyAlignment="1">
      <alignment horizontal="center" vertical="center" wrapText="1"/>
    </xf>
    <xf numFmtId="0" fontId="14" fillId="0" borderId="1" xfId="1" applyFont="1" applyBorder="1" applyAlignment="1">
      <alignment horizontal="left" vertical="center" wrapText="1"/>
    </xf>
    <xf numFmtId="0" fontId="6" fillId="0" borderId="1" xfId="5" applyFont="1" applyBorder="1" applyAlignment="1">
      <alignment horizontal="center" vertical="center"/>
    </xf>
    <xf numFmtId="0" fontId="6" fillId="0" borderId="0" xfId="5" applyFont="1" applyFill="1" applyAlignment="1">
      <alignment horizontal="left" vertical="center" wrapText="1"/>
    </xf>
    <xf numFmtId="0" fontId="5" fillId="0" borderId="0" xfId="5" applyFont="1" applyFill="1" applyAlignment="1">
      <alignment horizontal="left" vertical="center" wrapText="1"/>
    </xf>
    <xf numFmtId="0" fontId="5" fillId="0" borderId="10" xfId="5" applyFont="1" applyBorder="1" applyAlignment="1">
      <alignment horizontal="left" vertical="center" wrapText="1"/>
    </xf>
    <xf numFmtId="0" fontId="5" fillId="0" borderId="0" xfId="5" applyFont="1" applyBorder="1" applyAlignment="1">
      <alignment horizontal="left" vertical="center" wrapText="1"/>
    </xf>
    <xf numFmtId="0" fontId="6" fillId="2" borderId="1" xfId="8" applyFont="1" applyFill="1" applyBorder="1" applyAlignment="1">
      <alignment horizontal="center" vertical="center"/>
    </xf>
    <xf numFmtId="0" fontId="5" fillId="0" borderId="0" xfId="5" applyFont="1" applyAlignment="1">
      <alignment horizontal="left" vertical="center" wrapText="1"/>
    </xf>
    <xf numFmtId="0" fontId="14" fillId="0" borderId="4" xfId="1" applyFont="1" applyBorder="1" applyAlignment="1">
      <alignment horizontal="left" vertical="center" wrapText="1"/>
    </xf>
    <xf numFmtId="0" fontId="14" fillId="0" borderId="5" xfId="1" applyFont="1" applyBorder="1" applyAlignment="1">
      <alignment horizontal="left" vertical="center" wrapText="1"/>
    </xf>
    <xf numFmtId="0" fontId="6" fillId="5" borderId="1" xfId="1" applyFont="1" applyFill="1" applyBorder="1" applyAlignment="1">
      <alignment horizontal="center" vertical="center" wrapText="1"/>
    </xf>
    <xf numFmtId="0" fontId="6" fillId="2" borderId="1" xfId="1" applyFont="1" applyFill="1" applyBorder="1" applyAlignment="1">
      <alignment horizontal="center" vertical="center" wrapText="1"/>
    </xf>
    <xf numFmtId="0" fontId="14" fillId="0" borderId="2" xfId="1" applyFont="1" applyBorder="1" applyAlignment="1">
      <alignment horizontal="left" vertical="center" wrapText="1"/>
    </xf>
    <xf numFmtId="0" fontId="14" fillId="0" borderId="3" xfId="1" applyFont="1" applyBorder="1" applyAlignment="1">
      <alignment horizontal="left" vertical="center" wrapText="1"/>
    </xf>
    <xf numFmtId="0" fontId="14" fillId="0" borderId="7" xfId="1" applyFont="1" applyBorder="1" applyAlignment="1">
      <alignment horizontal="left" vertical="center" wrapText="1"/>
    </xf>
    <xf numFmtId="0" fontId="6" fillId="5" borderId="2" xfId="78" applyFont="1" applyFill="1" applyBorder="1" applyAlignment="1" applyProtection="1">
      <alignment horizontal="center" vertical="center" wrapText="1"/>
      <protection locked="0"/>
    </xf>
    <xf numFmtId="0" fontId="6" fillId="5" borderId="3" xfId="78" applyFont="1" applyFill="1" applyBorder="1" applyAlignment="1" applyProtection="1">
      <alignment horizontal="center" vertical="center" wrapText="1"/>
      <protection locked="0"/>
    </xf>
    <xf numFmtId="0" fontId="6" fillId="5" borderId="7" xfId="78" applyFont="1" applyFill="1" applyBorder="1" applyAlignment="1" applyProtection="1">
      <alignment horizontal="center" vertical="center" wrapText="1"/>
      <protection locked="0"/>
    </xf>
    <xf numFmtId="0" fontId="6" fillId="0" borderId="2" xfId="5" applyFont="1" applyBorder="1" applyAlignment="1">
      <alignment horizontal="center" vertical="center" wrapText="1"/>
    </xf>
    <xf numFmtId="0" fontId="6" fillId="0" borderId="3" xfId="5" applyFont="1" applyBorder="1" applyAlignment="1">
      <alignment horizontal="center" vertical="center" wrapText="1"/>
    </xf>
    <xf numFmtId="0" fontId="30" fillId="0" borderId="1" xfId="1" applyFont="1" applyBorder="1" applyAlignment="1">
      <alignment horizontal="center" vertical="center" wrapText="1"/>
    </xf>
    <xf numFmtId="0" fontId="6" fillId="2" borderId="2" xfId="1" applyFont="1" applyFill="1" applyBorder="1" applyAlignment="1">
      <alignment horizontal="left" vertical="center"/>
    </xf>
    <xf numFmtId="0" fontId="6" fillId="2" borderId="7" xfId="1" applyFont="1" applyFill="1" applyBorder="1" applyAlignment="1">
      <alignment horizontal="left" vertical="center"/>
    </xf>
    <xf numFmtId="0" fontId="6" fillId="5" borderId="1" xfId="1" applyNumberFormat="1" applyFont="1" applyFill="1" applyBorder="1" applyAlignment="1">
      <alignment horizontal="center" vertical="center"/>
    </xf>
    <xf numFmtId="0" fontId="6" fillId="5" borderId="1" xfId="5" applyFont="1" applyFill="1" applyBorder="1" applyAlignment="1">
      <alignment horizontal="left"/>
    </xf>
    <xf numFmtId="0" fontId="19" fillId="5" borderId="2" xfId="5" applyFont="1" applyFill="1" applyBorder="1" applyAlignment="1">
      <alignment horizontal="center" vertical="center" wrapText="1"/>
    </xf>
    <xf numFmtId="0" fontId="19" fillId="5" borderId="7" xfId="5" applyFont="1" applyFill="1" applyBorder="1" applyAlignment="1">
      <alignment horizontal="center" vertical="center" wrapText="1"/>
    </xf>
    <xf numFmtId="0" fontId="5" fillId="4" borderId="1" xfId="1" applyFont="1" applyFill="1" applyBorder="1" applyAlignment="1" applyProtection="1">
      <alignment horizontal="left" vertical="center" wrapText="1"/>
      <protection locked="0"/>
    </xf>
    <xf numFmtId="0" fontId="11" fillId="4" borderId="1" xfId="1" applyFont="1" applyFill="1" applyBorder="1" applyAlignment="1" applyProtection="1">
      <alignment horizontal="left" vertical="center" wrapText="1"/>
      <protection locked="0"/>
    </xf>
    <xf numFmtId="0" fontId="37" fillId="2" borderId="1" xfId="1" applyFont="1" applyFill="1" applyBorder="1" applyAlignment="1" applyProtection="1">
      <alignment horizontal="center" vertical="center"/>
      <protection locked="0"/>
    </xf>
    <xf numFmtId="0" fontId="6" fillId="0" borderId="0" xfId="1" applyFont="1" applyFill="1" applyBorder="1" applyAlignment="1" applyProtection="1">
      <alignment horizontal="left" vertical="center"/>
    </xf>
    <xf numFmtId="0" fontId="11" fillId="2" borderId="1" xfId="1" applyFont="1" applyFill="1" applyBorder="1" applyAlignment="1" applyProtection="1">
      <alignment horizontal="center" vertical="center"/>
      <protection locked="0"/>
    </xf>
    <xf numFmtId="0" fontId="11" fillId="0" borderId="19" xfId="1" applyFont="1" applyBorder="1" applyAlignment="1" applyProtection="1">
      <alignment horizontal="center" vertical="center"/>
      <protection locked="0"/>
    </xf>
    <xf numFmtId="0" fontId="11" fillId="0" borderId="20" xfId="1" applyFont="1" applyBorder="1" applyAlignment="1" applyProtection="1">
      <alignment horizontal="center" vertical="center"/>
      <protection locked="0"/>
    </xf>
    <xf numFmtId="0" fontId="11" fillId="0" borderId="21" xfId="1" applyFont="1" applyBorder="1" applyAlignment="1" applyProtection="1">
      <alignment horizontal="center" vertical="center"/>
      <protection locked="0"/>
    </xf>
    <xf numFmtId="0" fontId="5" fillId="4" borderId="1" xfId="33" applyFont="1" applyFill="1" applyBorder="1" applyAlignment="1" applyProtection="1">
      <alignment horizontal="left" vertical="center" wrapText="1"/>
      <protection locked="0"/>
    </xf>
    <xf numFmtId="0" fontId="7" fillId="2" borderId="2" xfId="5" applyFont="1" applyFill="1" applyBorder="1" applyAlignment="1" applyProtection="1">
      <alignment horizontal="center" vertical="center" wrapText="1"/>
      <protection locked="0"/>
    </xf>
    <xf numFmtId="0" fontId="7" fillId="2" borderId="3" xfId="5" applyFont="1" applyFill="1" applyBorder="1" applyAlignment="1" applyProtection="1">
      <alignment horizontal="center" vertical="center" wrapText="1"/>
      <protection locked="0"/>
    </xf>
    <xf numFmtId="0" fontId="7" fillId="2" borderId="7" xfId="5" applyFont="1" applyFill="1" applyBorder="1" applyAlignment="1" applyProtection="1">
      <alignment horizontal="center" vertical="center" wrapText="1"/>
      <protection locked="0"/>
    </xf>
    <xf numFmtId="0" fontId="6" fillId="2" borderId="2" xfId="1" applyFont="1" applyFill="1" applyBorder="1" applyAlignment="1" applyProtection="1">
      <alignment horizontal="left" vertical="center"/>
    </xf>
    <xf numFmtId="0" fontId="6" fillId="2" borderId="7" xfId="1" applyFont="1" applyFill="1" applyBorder="1" applyAlignment="1" applyProtection="1">
      <alignment horizontal="left" vertical="center"/>
    </xf>
    <xf numFmtId="0" fontId="41" fillId="0" borderId="0" xfId="0" applyFont="1" applyProtection="1">
      <protection locked="0"/>
    </xf>
    <xf numFmtId="0" fontId="6" fillId="0" borderId="7" xfId="5" applyFont="1" applyBorder="1" applyAlignment="1">
      <alignment horizontal="center" vertical="center" wrapText="1"/>
    </xf>
    <xf numFmtId="0" fontId="11" fillId="2" borderId="19" xfId="1" applyFont="1" applyFill="1" applyBorder="1" applyAlignment="1" applyProtection="1">
      <alignment horizontal="center" vertical="center"/>
      <protection locked="0"/>
    </xf>
    <xf numFmtId="0" fontId="11" fillId="2" borderId="20" xfId="1" applyFont="1" applyFill="1" applyBorder="1" applyAlignment="1" applyProtection="1">
      <alignment horizontal="center" vertical="center"/>
      <protection locked="0"/>
    </xf>
    <xf numFmtId="0" fontId="11" fillId="2" borderId="21" xfId="1" applyFont="1" applyFill="1" applyBorder="1" applyAlignment="1" applyProtection="1">
      <alignment horizontal="center" vertical="center"/>
      <protection locked="0"/>
    </xf>
    <xf numFmtId="0" fontId="6" fillId="2" borderId="1" xfId="1" applyFont="1" applyFill="1" applyBorder="1" applyAlignment="1" applyProtection="1">
      <alignment horizontal="left" vertical="center"/>
    </xf>
    <xf numFmtId="0" fontId="30" fillId="0" borderId="2" xfId="1" applyFont="1" applyBorder="1" applyAlignment="1" applyProtection="1">
      <alignment horizontal="left" vertical="center" wrapText="1"/>
      <protection locked="0"/>
    </xf>
    <xf numFmtId="0" fontId="30" fillId="0" borderId="3" xfId="1" applyFont="1" applyBorder="1" applyAlignment="1" applyProtection="1">
      <alignment horizontal="left" vertical="center" wrapText="1"/>
      <protection locked="0"/>
    </xf>
    <xf numFmtId="0" fontId="30" fillId="0" borderId="7" xfId="1" applyFont="1" applyBorder="1" applyAlignment="1" applyProtection="1">
      <alignment horizontal="left" vertical="center" wrapText="1"/>
      <protection locked="0"/>
    </xf>
    <xf numFmtId="0" fontId="20" fillId="5" borderId="1" xfId="1" applyFont="1" applyFill="1" applyBorder="1" applyAlignment="1" applyProtection="1">
      <alignment horizontal="center" vertical="center" wrapText="1"/>
      <protection locked="0"/>
    </xf>
    <xf numFmtId="0" fontId="28" fillId="4" borderId="1" xfId="1" applyFont="1" applyFill="1" applyBorder="1" applyAlignment="1" applyProtection="1">
      <alignment horizontal="center" vertical="center"/>
      <protection locked="0"/>
    </xf>
    <xf numFmtId="0" fontId="5" fillId="11" borderId="1" xfId="1" applyFont="1" applyFill="1" applyBorder="1" applyAlignment="1" applyProtection="1">
      <alignment horizontal="left" vertical="center" wrapText="1"/>
      <protection locked="0"/>
    </xf>
    <xf numFmtId="0" fontId="20" fillId="2" borderId="4" xfId="1" applyFont="1" applyFill="1" applyBorder="1" applyAlignment="1" applyProtection="1">
      <alignment horizontal="center" vertical="center"/>
      <protection locked="0"/>
    </xf>
    <xf numFmtId="0" fontId="20" fillId="2" borderId="5" xfId="1" applyFont="1" applyFill="1" applyBorder="1" applyAlignment="1" applyProtection="1">
      <alignment horizontal="center" vertical="center"/>
      <protection locked="0"/>
    </xf>
    <xf numFmtId="0" fontId="20" fillId="2" borderId="6" xfId="1" applyFont="1" applyFill="1" applyBorder="1" applyAlignment="1" applyProtection="1">
      <alignment horizontal="center" vertical="center"/>
      <protection locked="0"/>
    </xf>
    <xf numFmtId="0" fontId="5" fillId="4" borderId="19" xfId="33" applyFont="1" applyFill="1" applyBorder="1" applyAlignment="1" applyProtection="1">
      <alignment horizontal="left" vertical="center" wrapText="1"/>
      <protection locked="0"/>
    </xf>
    <xf numFmtId="0" fontId="5" fillId="4" borderId="20" xfId="33" applyFont="1" applyFill="1" applyBorder="1" applyAlignment="1" applyProtection="1">
      <alignment horizontal="left" vertical="center" wrapText="1"/>
      <protection locked="0"/>
    </xf>
    <xf numFmtId="0" fontId="5" fillId="4" borderId="21" xfId="33" applyFont="1" applyFill="1" applyBorder="1" applyAlignment="1" applyProtection="1">
      <alignment horizontal="left" vertical="center" wrapText="1"/>
      <protection locked="0"/>
    </xf>
    <xf numFmtId="0" fontId="7" fillId="2" borderId="2" xfId="6" applyFont="1" applyFill="1" applyBorder="1" applyAlignment="1" applyProtection="1">
      <alignment horizontal="center" vertical="center" wrapText="1"/>
      <protection locked="0"/>
    </xf>
    <xf numFmtId="0" fontId="7" fillId="2" borderId="3" xfId="6" applyFont="1" applyFill="1" applyBorder="1" applyAlignment="1" applyProtection="1">
      <alignment horizontal="center" vertical="center" wrapText="1"/>
      <protection locked="0"/>
    </xf>
    <xf numFmtId="0" fontId="7" fillId="2" borderId="7" xfId="6" applyFont="1" applyFill="1" applyBorder="1" applyAlignment="1" applyProtection="1">
      <alignment horizontal="center" vertical="center" wrapText="1"/>
      <protection locked="0"/>
    </xf>
    <xf numFmtId="0" fontId="30" fillId="0" borderId="2" xfId="2" applyFont="1" applyBorder="1" applyAlignment="1" applyProtection="1">
      <alignment horizontal="left" vertical="center" wrapText="1"/>
      <protection locked="0"/>
    </xf>
    <xf numFmtId="0" fontId="30" fillId="0" borderId="3" xfId="2" applyFont="1" applyBorder="1" applyAlignment="1" applyProtection="1">
      <alignment horizontal="left" vertical="center" wrapText="1"/>
      <protection locked="0"/>
    </xf>
    <xf numFmtId="0" fontId="30" fillId="0" borderId="7" xfId="2" applyFont="1" applyBorder="1" applyAlignment="1" applyProtection="1">
      <alignment horizontal="left" vertical="center" wrapText="1"/>
      <protection locked="0"/>
    </xf>
    <xf numFmtId="0" fontId="34" fillId="0" borderId="12" xfId="0" applyFont="1" applyBorder="1" applyProtection="1">
      <protection locked="0"/>
    </xf>
    <xf numFmtId="0" fontId="20" fillId="2" borderId="1" xfId="2" applyFont="1" applyFill="1" applyBorder="1" applyAlignment="1" applyProtection="1">
      <alignment horizontal="center" vertical="center" wrapText="1"/>
      <protection locked="0"/>
    </xf>
    <xf numFmtId="0" fontId="11" fillId="4" borderId="1" xfId="2" applyFont="1" applyFill="1" applyBorder="1" applyAlignment="1" applyProtection="1">
      <alignment horizontal="left" vertical="center" wrapText="1"/>
      <protection locked="0"/>
    </xf>
    <xf numFmtId="0" fontId="11" fillId="2" borderId="1" xfId="2" applyFont="1" applyFill="1" applyBorder="1" applyAlignment="1" applyProtection="1">
      <alignment horizontal="center" vertical="center"/>
      <protection locked="0"/>
    </xf>
    <xf numFmtId="0" fontId="5" fillId="4" borderId="1" xfId="2" applyFont="1" applyFill="1" applyBorder="1" applyAlignment="1" applyProtection="1">
      <alignment horizontal="left" vertical="center" wrapText="1"/>
      <protection locked="0"/>
    </xf>
    <xf numFmtId="0" fontId="6" fillId="2" borderId="2" xfId="2" applyFont="1" applyFill="1" applyBorder="1" applyAlignment="1" applyProtection="1">
      <alignment horizontal="left" vertical="center"/>
      <protection locked="0"/>
    </xf>
    <xf numFmtId="0" fontId="6" fillId="2" borderId="7" xfId="2" applyFont="1" applyFill="1" applyBorder="1" applyAlignment="1" applyProtection="1">
      <alignment horizontal="left" vertical="center"/>
      <protection locked="0"/>
    </xf>
    <xf numFmtId="0" fontId="14" fillId="4" borderId="1" xfId="2" applyFont="1" applyFill="1" applyBorder="1" applyAlignment="1" applyProtection="1">
      <alignment horizontal="center" vertical="center"/>
      <protection locked="0"/>
    </xf>
    <xf numFmtId="0" fontId="11" fillId="2" borderId="2" xfId="2" applyFont="1" applyFill="1" applyBorder="1" applyAlignment="1" applyProtection="1">
      <alignment horizontal="center" vertical="center"/>
      <protection locked="0"/>
    </xf>
    <xf numFmtId="0" fontId="11" fillId="2" borderId="3" xfId="2" applyFont="1" applyFill="1" applyBorder="1" applyAlignment="1" applyProtection="1">
      <alignment horizontal="center" vertical="center"/>
      <protection locked="0"/>
    </xf>
    <xf numFmtId="0" fontId="11" fillId="2" borderId="7" xfId="2" applyFont="1" applyFill="1" applyBorder="1" applyAlignment="1" applyProtection="1">
      <alignment horizontal="center" vertical="center"/>
      <protection locked="0"/>
    </xf>
    <xf numFmtId="0" fontId="6" fillId="2" borderId="2" xfId="2" applyFont="1" applyFill="1" applyBorder="1" applyAlignment="1" applyProtection="1">
      <alignment horizontal="center" vertical="center"/>
      <protection locked="0"/>
    </xf>
    <xf numFmtId="0" fontId="6" fillId="2" borderId="3" xfId="2" applyFont="1" applyFill="1" applyBorder="1" applyAlignment="1" applyProtection="1">
      <alignment horizontal="center" vertical="center"/>
      <protection locked="0"/>
    </xf>
    <xf numFmtId="0" fontId="6" fillId="2" borderId="7" xfId="2" applyFont="1" applyFill="1" applyBorder="1" applyAlignment="1" applyProtection="1">
      <alignment horizontal="center" vertical="center"/>
      <protection locked="0"/>
    </xf>
    <xf numFmtId="0" fontId="6" fillId="11" borderId="2" xfId="1" applyFont="1" applyFill="1" applyBorder="1" applyAlignment="1" applyProtection="1">
      <alignment horizontal="center" vertical="center"/>
      <protection locked="0"/>
    </xf>
    <xf numFmtId="0" fontId="6" fillId="11" borderId="3" xfId="1" applyFont="1" applyFill="1" applyBorder="1" applyAlignment="1" applyProtection="1">
      <alignment horizontal="center" vertical="center"/>
      <protection locked="0"/>
    </xf>
    <xf numFmtId="0" fontId="6" fillId="11" borderId="7" xfId="1" applyFont="1" applyFill="1" applyBorder="1" applyAlignment="1" applyProtection="1">
      <alignment horizontal="center" vertical="center"/>
      <protection locked="0"/>
    </xf>
    <xf numFmtId="0" fontId="5" fillId="2" borderId="1" xfId="25" applyFont="1" applyFill="1" applyBorder="1" applyAlignment="1" applyProtection="1">
      <alignment horizontal="center" vertical="center"/>
      <protection locked="0"/>
    </xf>
    <xf numFmtId="0" fontId="20" fillId="2" borderId="1" xfId="1" applyFont="1" applyFill="1" applyBorder="1" applyAlignment="1" applyProtection="1">
      <alignment horizontal="center" vertical="center" wrapText="1"/>
      <protection locked="0"/>
    </xf>
    <xf numFmtId="0" fontId="36" fillId="2" borderId="1" xfId="1" applyFont="1" applyFill="1" applyBorder="1" applyAlignment="1" applyProtection="1">
      <alignment horizontal="center" vertical="center"/>
      <protection locked="0"/>
    </xf>
    <xf numFmtId="0" fontId="6" fillId="11" borderId="8" xfId="1" applyFont="1" applyFill="1" applyBorder="1" applyAlignment="1" applyProtection="1">
      <alignment horizontal="center" vertical="center"/>
      <protection locked="0"/>
    </xf>
    <xf numFmtId="0" fontId="30" fillId="0" borderId="2" xfId="3" applyFont="1" applyBorder="1" applyAlignment="1" applyProtection="1">
      <alignment horizontal="left" vertical="center" wrapText="1"/>
      <protection locked="0"/>
    </xf>
    <xf numFmtId="0" fontId="30" fillId="0" borderId="3" xfId="3" applyFont="1" applyBorder="1" applyAlignment="1" applyProtection="1">
      <alignment horizontal="left" vertical="center" wrapText="1"/>
      <protection locked="0"/>
    </xf>
    <xf numFmtId="0" fontId="30" fillId="0" borderId="7" xfId="3" applyFont="1" applyBorder="1" applyAlignment="1" applyProtection="1">
      <alignment horizontal="left" vertical="center" wrapText="1"/>
      <protection locked="0"/>
    </xf>
    <xf numFmtId="0" fontId="34" fillId="0" borderId="0" xfId="0" applyFont="1" applyProtection="1">
      <protection locked="0"/>
    </xf>
    <xf numFmtId="0" fontId="20" fillId="2" borderId="1" xfId="3" applyFont="1" applyFill="1" applyBorder="1" applyAlignment="1" applyProtection="1">
      <alignment horizontal="center" vertical="center" wrapText="1"/>
      <protection locked="0"/>
    </xf>
    <xf numFmtId="0" fontId="11" fillId="4" borderId="1" xfId="3" applyFont="1" applyFill="1" applyBorder="1" applyAlignment="1" applyProtection="1">
      <alignment horizontal="left" vertical="center" wrapText="1"/>
      <protection locked="0"/>
    </xf>
    <xf numFmtId="0" fontId="11" fillId="2" borderId="1" xfId="3" applyFont="1" applyFill="1" applyBorder="1" applyAlignment="1" applyProtection="1">
      <alignment horizontal="center" vertical="center"/>
      <protection locked="0"/>
    </xf>
    <xf numFmtId="0" fontId="5" fillId="4" borderId="1" xfId="3" applyFont="1" applyFill="1" applyBorder="1" applyAlignment="1" applyProtection="1">
      <alignment horizontal="left" vertical="center" wrapText="1"/>
      <protection locked="0"/>
    </xf>
    <xf numFmtId="0" fontId="36" fillId="2" borderId="1" xfId="3" applyFont="1" applyFill="1" applyBorder="1" applyAlignment="1" applyProtection="1">
      <alignment horizontal="center" vertical="center"/>
      <protection locked="0"/>
    </xf>
    <xf numFmtId="0" fontId="6" fillId="0" borderId="5" xfId="1" applyFont="1" applyFill="1" applyBorder="1" applyAlignment="1" applyProtection="1">
      <alignment horizontal="left" vertical="center"/>
    </xf>
    <xf numFmtId="0" fontId="0" fillId="0" borderId="1" xfId="0" applyBorder="1" applyAlignment="1" applyProtection="1">
      <alignment vertical="center"/>
      <protection locked="0"/>
    </xf>
    <xf numFmtId="0" fontId="14" fillId="4" borderId="1" xfId="3" applyFont="1" applyFill="1" applyBorder="1" applyAlignment="1" applyProtection="1">
      <alignment horizontal="center" vertical="center"/>
      <protection locked="0"/>
    </xf>
    <xf numFmtId="0" fontId="6" fillId="5" borderId="4" xfId="3" applyFont="1" applyFill="1" applyBorder="1" applyAlignment="1" applyProtection="1">
      <alignment horizontal="center" vertical="center"/>
      <protection locked="0"/>
    </xf>
    <xf numFmtId="0" fontId="6" fillId="5" borderId="5" xfId="3" applyFont="1" applyFill="1" applyBorder="1" applyAlignment="1" applyProtection="1">
      <alignment horizontal="center" vertical="center"/>
      <protection locked="0"/>
    </xf>
    <xf numFmtId="0" fontId="6" fillId="5" borderId="6" xfId="3" applyFont="1" applyFill="1" applyBorder="1" applyAlignment="1" applyProtection="1">
      <alignment horizontal="center" vertical="center"/>
      <protection locked="0"/>
    </xf>
    <xf numFmtId="0" fontId="6" fillId="2" borderId="8" xfId="1" applyFont="1" applyFill="1" applyBorder="1" applyAlignment="1" applyProtection="1">
      <alignment horizontal="center" vertical="center"/>
      <protection locked="0"/>
    </xf>
    <xf numFmtId="0" fontId="7" fillId="2" borderId="2" xfId="114" applyFont="1" applyFill="1" applyBorder="1" applyAlignment="1" applyProtection="1">
      <alignment horizontal="center" vertical="center" wrapText="1"/>
      <protection locked="0"/>
    </xf>
    <xf numFmtId="0" fontId="7" fillId="2" borderId="3" xfId="114" applyFont="1" applyFill="1" applyBorder="1" applyAlignment="1" applyProtection="1">
      <alignment horizontal="center" vertical="center" wrapText="1"/>
      <protection locked="0"/>
    </xf>
    <xf numFmtId="0" fontId="7" fillId="2" borderId="7" xfId="114" applyFont="1" applyFill="1" applyBorder="1" applyAlignment="1" applyProtection="1">
      <alignment horizontal="center" vertical="center" wrapText="1"/>
      <protection locked="0"/>
    </xf>
    <xf numFmtId="0" fontId="6" fillId="2" borderId="2" xfId="54" applyFont="1" applyFill="1" applyBorder="1" applyAlignment="1" applyProtection="1">
      <alignment horizontal="left" vertical="center"/>
      <protection locked="0"/>
    </xf>
    <xf numFmtId="0" fontId="6" fillId="2" borderId="7" xfId="54" applyFont="1" applyFill="1" applyBorder="1" applyAlignment="1" applyProtection="1">
      <alignment horizontal="left" vertical="center"/>
      <protection locked="0"/>
    </xf>
    <xf numFmtId="0" fontId="5" fillId="4" borderId="7" xfId="54" applyFont="1" applyFill="1" applyBorder="1" applyAlignment="1" applyProtection="1">
      <alignment horizontal="left" vertical="center" wrapText="1"/>
      <protection locked="0"/>
    </xf>
    <xf numFmtId="0" fontId="5" fillId="4" borderId="1" xfId="54" applyFont="1" applyFill="1" applyBorder="1" applyAlignment="1" applyProtection="1">
      <alignment horizontal="left" vertical="center" wrapText="1"/>
      <protection locked="0"/>
    </xf>
    <xf numFmtId="0" fontId="5" fillId="2" borderId="7" xfId="54" applyFont="1" applyFill="1" applyBorder="1" applyAlignment="1" applyProtection="1">
      <alignment horizontal="center" vertical="center"/>
      <protection locked="0"/>
    </xf>
    <xf numFmtId="0" fontId="5" fillId="2" borderId="1" xfId="54" applyFont="1" applyFill="1" applyBorder="1" applyAlignment="1" applyProtection="1">
      <alignment horizontal="center" vertical="center"/>
      <protection locked="0"/>
    </xf>
    <xf numFmtId="0" fontId="6" fillId="0" borderId="0" xfId="33" applyFont="1" applyFill="1" applyBorder="1" applyAlignment="1" applyProtection="1">
      <alignment horizontal="left" vertical="center"/>
    </xf>
    <xf numFmtId="0" fontId="30" fillId="0" borderId="2" xfId="54" applyFont="1" applyBorder="1" applyAlignment="1" applyProtection="1">
      <alignment horizontal="left" vertical="center" wrapText="1"/>
      <protection locked="0"/>
    </xf>
    <xf numFmtId="0" fontId="30" fillId="0" borderId="3" xfId="54" applyFont="1" applyBorder="1" applyAlignment="1" applyProtection="1">
      <alignment horizontal="left" vertical="center" wrapText="1"/>
      <protection locked="0"/>
    </xf>
    <xf numFmtId="0" fontId="30" fillId="0" borderId="7" xfId="54" applyFont="1" applyBorder="1" applyAlignment="1" applyProtection="1">
      <alignment horizontal="left" vertical="center" wrapText="1"/>
      <protection locked="0"/>
    </xf>
    <xf numFmtId="0" fontId="34" fillId="0" borderId="12" xfId="15" applyFont="1" applyBorder="1" applyProtection="1">
      <protection locked="0"/>
    </xf>
    <xf numFmtId="0" fontId="20" fillId="2" borderId="1" xfId="54" applyFont="1" applyFill="1" applyBorder="1" applyAlignment="1" applyProtection="1">
      <alignment horizontal="center" vertical="center" wrapText="1"/>
      <protection locked="0"/>
    </xf>
    <xf numFmtId="0" fontId="5" fillId="2" borderId="3" xfId="54" applyFont="1" applyFill="1" applyBorder="1" applyAlignment="1" applyProtection="1">
      <alignment horizontal="center" vertical="center"/>
      <protection locked="0"/>
    </xf>
    <xf numFmtId="0" fontId="14" fillId="4" borderId="1" xfId="54" applyFont="1" applyFill="1" applyBorder="1" applyAlignment="1" applyProtection="1">
      <alignment horizontal="center" vertical="center"/>
      <protection locked="0"/>
    </xf>
    <xf numFmtId="0" fontId="6" fillId="2" borderId="2" xfId="54" applyFont="1" applyFill="1" applyBorder="1" applyAlignment="1" applyProtection="1">
      <alignment horizontal="center" vertical="center"/>
      <protection locked="0"/>
    </xf>
    <xf numFmtId="0" fontId="6" fillId="2" borderId="3" xfId="54" applyFont="1" applyFill="1" applyBorder="1" applyAlignment="1" applyProtection="1">
      <alignment horizontal="center" vertical="center"/>
      <protection locked="0"/>
    </xf>
    <xf numFmtId="0" fontId="6" fillId="2" borderId="7" xfId="54" applyFont="1" applyFill="1" applyBorder="1" applyAlignment="1" applyProtection="1">
      <alignment horizontal="center" vertical="center"/>
      <protection locked="0"/>
    </xf>
    <xf numFmtId="0" fontId="50" fillId="0" borderId="0" xfId="115" applyNumberFormat="1" applyFont="1" applyBorder="1" applyAlignment="1" applyProtection="1">
      <alignment horizontal="left" vertical="center"/>
    </xf>
    <xf numFmtId="0" fontId="50" fillId="0" borderId="18" xfId="115" applyNumberFormat="1" applyFont="1" applyBorder="1" applyAlignment="1">
      <alignment horizontal="center" vertical="center" wrapText="1"/>
    </xf>
    <xf numFmtId="0" fontId="52" fillId="13" borderId="18" xfId="115" applyNumberFormat="1" applyFont="1" applyFill="1" applyBorder="1" applyAlignment="1" applyProtection="1">
      <alignment horizontal="center" vertical="center" wrapText="1"/>
      <protection locked="0"/>
    </xf>
    <xf numFmtId="0" fontId="50" fillId="13" borderId="18" xfId="115" applyNumberFormat="1" applyFont="1" applyFill="1" applyBorder="1" applyAlignment="1" applyProtection="1">
      <alignment horizontal="left" vertical="center"/>
      <protection locked="0"/>
    </xf>
    <xf numFmtId="0" fontId="51" fillId="13" borderId="21" xfId="115" applyNumberFormat="1" applyFont="1" applyFill="1" applyBorder="1" applyAlignment="1" applyProtection="1">
      <alignment horizontal="center" vertical="center"/>
      <protection locked="0"/>
    </xf>
    <xf numFmtId="0" fontId="55" fillId="0" borderId="18" xfId="115" applyNumberFormat="1" applyFont="1" applyBorder="1" applyAlignment="1" applyProtection="1">
      <alignment horizontal="left" vertical="center" wrapText="1"/>
      <protection locked="0"/>
    </xf>
    <xf numFmtId="0" fontId="57" fillId="0" borderId="12" xfId="115" applyNumberFormat="1" applyFont="1" applyBorder="1" applyAlignment="1" applyProtection="1">
      <protection locked="0"/>
    </xf>
    <xf numFmtId="0" fontId="54" fillId="13" borderId="18" xfId="115" applyNumberFormat="1" applyFont="1" applyFill="1" applyBorder="1" applyAlignment="1" applyProtection="1">
      <alignment horizontal="center" vertical="center" wrapText="1"/>
      <protection locked="0"/>
    </xf>
    <xf numFmtId="0" fontId="51" fillId="13" borderId="18" xfId="115" applyNumberFormat="1" applyFont="1" applyFill="1" applyBorder="1" applyAlignment="1" applyProtection="1">
      <alignment horizontal="center" vertical="center"/>
      <protection locked="0"/>
    </xf>
    <xf numFmtId="0" fontId="51" fillId="14" borderId="21" xfId="115" applyNumberFormat="1" applyFont="1" applyFill="1" applyBorder="1" applyAlignment="1" applyProtection="1">
      <alignment horizontal="left" vertical="center" wrapText="1"/>
      <protection locked="0"/>
    </xf>
    <xf numFmtId="0" fontId="51" fillId="14" borderId="18" xfId="115" applyNumberFormat="1" applyFont="1" applyFill="1" applyBorder="1" applyAlignment="1" applyProtection="1">
      <alignment horizontal="left" vertical="center" wrapText="1"/>
      <protection locked="0"/>
    </xf>
    <xf numFmtId="0" fontId="0" fillId="0" borderId="18" xfId="0" applyBorder="1" applyAlignment="1">
      <alignment horizontal="left" vertical="center"/>
    </xf>
    <xf numFmtId="0" fontId="53" fillId="14" borderId="18" xfId="115" applyNumberFormat="1" applyFont="1" applyFill="1" applyBorder="1" applyAlignment="1" applyProtection="1">
      <alignment horizontal="center" vertical="center"/>
      <protection locked="0"/>
    </xf>
    <xf numFmtId="0" fontId="50" fillId="13" borderId="18" xfId="115" applyNumberFormat="1" applyFont="1" applyFill="1" applyBorder="1" applyAlignment="1" applyProtection="1">
      <alignment horizontal="center" vertical="center"/>
      <protection locked="0"/>
    </xf>
    <xf numFmtId="0" fontId="51" fillId="13" borderId="20" xfId="115" applyNumberFormat="1" applyFont="1" applyFill="1" applyBorder="1" applyAlignment="1" applyProtection="1">
      <alignment horizontal="center" vertical="center"/>
      <protection locked="0"/>
    </xf>
    <xf numFmtId="0" fontId="51" fillId="14" borderId="19" xfId="115" applyNumberFormat="1" applyFont="1" applyFill="1" applyBorder="1" applyAlignment="1" applyProtection="1">
      <alignment horizontal="center" vertical="center" wrapText="1"/>
      <protection locked="0"/>
    </xf>
    <xf numFmtId="0" fontId="51" fillId="14" borderId="20" xfId="115" applyNumberFormat="1" applyFont="1" applyFill="1" applyBorder="1" applyAlignment="1" applyProtection="1">
      <alignment horizontal="center" vertical="center" wrapText="1"/>
      <protection locked="0"/>
    </xf>
    <xf numFmtId="0" fontId="51" fillId="14" borderId="21" xfId="115" applyNumberFormat="1" applyFont="1" applyFill="1" applyBorder="1" applyAlignment="1" applyProtection="1">
      <alignment horizontal="center" vertical="center" wrapText="1"/>
      <protection locked="0"/>
    </xf>
    <xf numFmtId="0" fontId="28" fillId="0" borderId="11" xfId="1" applyFont="1" applyBorder="1" applyAlignment="1">
      <alignment horizontal="left" vertical="center"/>
    </xf>
    <xf numFmtId="0" fontId="28" fillId="0" borderId="12" xfId="1" applyFont="1" applyBorder="1" applyAlignment="1">
      <alignment horizontal="left" vertical="center"/>
    </xf>
    <xf numFmtId="0" fontId="28" fillId="0" borderId="13" xfId="1" applyFont="1" applyBorder="1" applyAlignment="1">
      <alignment horizontal="left" vertical="center"/>
    </xf>
    <xf numFmtId="0" fontId="7" fillId="2" borderId="2" xfId="5" applyFont="1" applyFill="1" applyBorder="1" applyAlignment="1">
      <alignment horizontal="center" vertical="center" wrapText="1"/>
    </xf>
    <xf numFmtId="0" fontId="7" fillId="2" borderId="3" xfId="5" applyFont="1" applyFill="1" applyBorder="1" applyAlignment="1">
      <alignment horizontal="center" vertical="center" wrapText="1"/>
    </xf>
    <xf numFmtId="0" fontId="7" fillId="2" borderId="7" xfId="5" applyFont="1" applyFill="1" applyBorder="1" applyAlignment="1">
      <alignment horizontal="center" vertical="center" wrapText="1"/>
    </xf>
    <xf numFmtId="0" fontId="7" fillId="2" borderId="2" xfId="1" applyFont="1" applyFill="1" applyBorder="1" applyAlignment="1" applyProtection="1">
      <alignment horizontal="center" vertical="center"/>
      <protection locked="0"/>
    </xf>
    <xf numFmtId="0" fontId="7" fillId="2" borderId="3" xfId="1" applyFont="1" applyFill="1" applyBorder="1" applyAlignment="1" applyProtection="1">
      <alignment horizontal="center" vertical="center"/>
      <protection locked="0"/>
    </xf>
    <xf numFmtId="0" fontId="7" fillId="2" borderId="7" xfId="1" applyFont="1" applyFill="1" applyBorder="1" applyAlignment="1" applyProtection="1">
      <alignment horizontal="center" vertical="center"/>
      <protection locked="0"/>
    </xf>
    <xf numFmtId="0" fontId="6" fillId="2" borderId="2" xfId="1" applyFont="1" applyFill="1" applyBorder="1" applyAlignment="1" applyProtection="1">
      <alignment horizontal="center" vertical="center" wrapText="1"/>
      <protection locked="0"/>
    </xf>
    <xf numFmtId="0" fontId="6" fillId="2" borderId="3" xfId="1" applyFont="1" applyFill="1" applyBorder="1" applyAlignment="1" applyProtection="1">
      <alignment horizontal="center" vertical="center" wrapText="1"/>
      <protection locked="0"/>
    </xf>
    <xf numFmtId="0" fontId="6" fillId="2" borderId="7" xfId="1" applyFont="1" applyFill="1" applyBorder="1" applyAlignment="1" applyProtection="1">
      <alignment horizontal="center" vertical="center" wrapText="1"/>
      <protection locked="0"/>
    </xf>
    <xf numFmtId="49" fontId="35" fillId="5" borderId="11" xfId="1" applyNumberFormat="1" applyFont="1" applyFill="1" applyBorder="1" applyAlignment="1" applyProtection="1">
      <alignment horizontal="center" vertical="center" wrapText="1"/>
    </xf>
    <xf numFmtId="49" fontId="35" fillId="5" borderId="12" xfId="1" applyNumberFormat="1" applyFont="1" applyFill="1" applyBorder="1" applyAlignment="1" applyProtection="1">
      <alignment horizontal="center" vertical="center" wrapText="1"/>
    </xf>
    <xf numFmtId="0" fontId="35" fillId="5" borderId="2" xfId="1" applyFont="1" applyFill="1" applyBorder="1" applyAlignment="1" applyProtection="1">
      <alignment horizontal="left" vertical="center"/>
      <protection locked="0"/>
    </xf>
    <xf numFmtId="0" fontId="35" fillId="5" borderId="3" xfId="1" applyFont="1" applyFill="1" applyBorder="1" applyAlignment="1" applyProtection="1">
      <alignment horizontal="left" vertical="center"/>
      <protection locked="0"/>
    </xf>
    <xf numFmtId="0" fontId="35" fillId="5" borderId="7" xfId="1" applyFont="1" applyFill="1" applyBorder="1" applyAlignment="1" applyProtection="1">
      <alignment horizontal="left" vertical="center"/>
      <protection locked="0"/>
    </xf>
    <xf numFmtId="0" fontId="10" fillId="4" borderId="2" xfId="1" applyFont="1" applyFill="1" applyBorder="1" applyAlignment="1" applyProtection="1">
      <alignment horizontal="left" vertical="center" wrapText="1"/>
    </xf>
    <xf numFmtId="0" fontId="10" fillId="4" borderId="3" xfId="1" applyFont="1" applyFill="1" applyBorder="1" applyAlignment="1" applyProtection="1">
      <alignment horizontal="left" vertical="center" wrapText="1"/>
    </xf>
    <xf numFmtId="0" fontId="10" fillId="4" borderId="7" xfId="1" applyFont="1" applyFill="1" applyBorder="1" applyAlignment="1" applyProtection="1">
      <alignment horizontal="left" vertical="center" wrapText="1"/>
    </xf>
    <xf numFmtId="0" fontId="20" fillId="2" borderId="2" xfId="1" applyFont="1" applyFill="1" applyBorder="1" applyAlignment="1" applyProtection="1">
      <alignment horizontal="center" vertical="center" wrapText="1"/>
    </xf>
    <xf numFmtId="0" fontId="20" fillId="2" borderId="7" xfId="1" applyFont="1" applyFill="1" applyBorder="1" applyAlignment="1" applyProtection="1">
      <alignment horizontal="center" vertical="center" wrapText="1"/>
    </xf>
    <xf numFmtId="0" fontId="6" fillId="2" borderId="8" xfId="1" applyFont="1" applyFill="1" applyBorder="1" applyAlignment="1" applyProtection="1">
      <alignment horizontal="center" vertical="center" wrapText="1"/>
      <protection locked="0"/>
    </xf>
    <xf numFmtId="0" fontId="6" fillId="2" borderId="9" xfId="1" applyFont="1" applyFill="1" applyBorder="1" applyAlignment="1" applyProtection="1">
      <alignment horizontal="center" vertical="center" wrapText="1"/>
      <protection locked="0"/>
    </xf>
    <xf numFmtId="0" fontId="6" fillId="2" borderId="4" xfId="1" applyFont="1" applyFill="1" applyBorder="1" applyAlignment="1" applyProtection="1">
      <alignment horizontal="center" vertical="center" wrapText="1"/>
      <protection locked="0"/>
    </xf>
    <xf numFmtId="0" fontId="6" fillId="2" borderId="11" xfId="1" applyFont="1" applyFill="1" applyBorder="1" applyAlignment="1" applyProtection="1">
      <alignment horizontal="center" vertical="center" wrapText="1"/>
      <protection locked="0"/>
    </xf>
    <xf numFmtId="0" fontId="10" fillId="4" borderId="1" xfId="1" applyFont="1" applyFill="1" applyBorder="1" applyAlignment="1" applyProtection="1">
      <alignment vertical="center" wrapText="1"/>
    </xf>
    <xf numFmtId="0" fontId="20" fillId="2" borderId="3" xfId="1" applyFont="1" applyFill="1" applyBorder="1" applyAlignment="1" applyProtection="1">
      <alignment horizontal="center" vertical="center" wrapText="1"/>
    </xf>
    <xf numFmtId="0" fontId="35" fillId="5" borderId="1" xfId="1" applyFont="1" applyFill="1" applyBorder="1" applyAlignment="1" applyProtection="1">
      <alignment horizontal="left" vertical="center"/>
      <protection locked="0"/>
    </xf>
    <xf numFmtId="49" fontId="6" fillId="2" borderId="4" xfId="1" applyNumberFormat="1" applyFont="1" applyFill="1" applyBorder="1" applyAlignment="1" applyProtection="1">
      <alignment horizontal="center" vertical="center" wrapText="1"/>
    </xf>
    <xf numFmtId="49" fontId="6" fillId="2" borderId="11" xfId="1" applyNumberFormat="1" applyFont="1" applyFill="1" applyBorder="1" applyAlignment="1" applyProtection="1">
      <alignment horizontal="center" vertical="center" wrapText="1"/>
    </xf>
    <xf numFmtId="0" fontId="16" fillId="0" borderId="0" xfId="1" applyFont="1" applyFill="1" applyBorder="1" applyAlignment="1" applyProtection="1">
      <alignment horizontal="center" vertical="center"/>
      <protection locked="0"/>
    </xf>
    <xf numFmtId="49" fontId="6" fillId="2" borderId="8" xfId="1" applyNumberFormat="1" applyFont="1" applyFill="1" applyBorder="1" applyAlignment="1" applyProtection="1">
      <alignment horizontal="center" vertical="center" wrapText="1"/>
    </xf>
    <xf numFmtId="49" fontId="6" fillId="2" borderId="9" xfId="1" applyNumberFormat="1" applyFont="1" applyFill="1" applyBorder="1" applyAlignment="1" applyProtection="1">
      <alignment horizontal="center" vertical="center" wrapText="1"/>
    </xf>
    <xf numFmtId="49" fontId="35" fillId="5" borderId="2" xfId="1" applyNumberFormat="1" applyFont="1" applyFill="1" applyBorder="1" applyAlignment="1" applyProtection="1">
      <alignment horizontal="center" vertical="center" wrapText="1"/>
    </xf>
    <xf numFmtId="49" fontId="35" fillId="5" borderId="3" xfId="1" applyNumberFormat="1" applyFont="1" applyFill="1" applyBorder="1" applyAlignment="1" applyProtection="1">
      <alignment horizontal="center" vertical="center" wrapText="1"/>
    </xf>
  </cellXfs>
  <cellStyles count="148">
    <cellStyle name="Cancel" xfId="1"/>
    <cellStyle name="Cancel 10" xfId="33"/>
    <cellStyle name="Cancel 10 2" xfId="126"/>
    <cellStyle name="Cancel 11" xfId="34"/>
    <cellStyle name="Cancel 12" xfId="40"/>
    <cellStyle name="Cancel 13" xfId="53"/>
    <cellStyle name="Cancel 14" xfId="55"/>
    <cellStyle name="Cancel 15" xfId="58"/>
    <cellStyle name="Cancel 16" xfId="59"/>
    <cellStyle name="Cancel 17" xfId="62"/>
    <cellStyle name="Cancel 18" xfId="63"/>
    <cellStyle name="Cancel 19" xfId="67"/>
    <cellStyle name="Cancel 2" xfId="2"/>
    <cellStyle name="Cancel 2 10" xfId="54"/>
    <cellStyle name="Cancel 2 11" xfId="56"/>
    <cellStyle name="Cancel 2 12" xfId="57"/>
    <cellStyle name="Cancel 2 13" xfId="60"/>
    <cellStyle name="Cancel 2 14" xfId="61"/>
    <cellStyle name="Cancel 2 15" xfId="65"/>
    <cellStyle name="Cancel 2 16" xfId="68"/>
    <cellStyle name="Cancel 2 17" xfId="70"/>
    <cellStyle name="Cancel 2 18" xfId="83"/>
    <cellStyle name="Cancel 2 19" xfId="85"/>
    <cellStyle name="Cancel 2 2" xfId="16"/>
    <cellStyle name="Cancel 2 2 2" xfId="128"/>
    <cellStyle name="Cancel 2 2 3" xfId="127"/>
    <cellStyle name="Cancel 2 3" xfId="24"/>
    <cellStyle name="Cancel 2 4" xfId="26"/>
    <cellStyle name="Cancel 2 5" xfId="27"/>
    <cellStyle name="Cancel 2 6" xfId="32"/>
    <cellStyle name="Cancel 2 7" xfId="35"/>
    <cellStyle name="Cancel 2 8" xfId="36"/>
    <cellStyle name="Cancel 2 9" xfId="41"/>
    <cellStyle name="Cancel 20" xfId="72"/>
    <cellStyle name="Cancel 21" xfId="84"/>
    <cellStyle name="Cancel 22" xfId="90"/>
    <cellStyle name="Cancel 23" xfId="116"/>
    <cellStyle name="Cancel 3" xfId="12"/>
    <cellStyle name="Cancel 4" xfId="21"/>
    <cellStyle name="Cancel 5" xfId="13"/>
    <cellStyle name="Cancel 5 2" xfId="129"/>
    <cellStyle name="Cancel 5 2 2" xfId="130"/>
    <cellStyle name="Cancel 6" xfId="25"/>
    <cellStyle name="Cancel 6 2" xfId="131"/>
    <cellStyle name="Cancel 6 2 2" xfId="132"/>
    <cellStyle name="Cancel 7" xfId="28"/>
    <cellStyle name="Cancel 7 2" xfId="133"/>
    <cellStyle name="Cancel 7 2 2" xfId="134"/>
    <cellStyle name="Cancel 8" xfId="30"/>
    <cellStyle name="Cancel 8 2" xfId="37"/>
    <cellStyle name="Cancel 8 2 2" xfId="136"/>
    <cellStyle name="Cancel 8 2 3" xfId="135"/>
    <cellStyle name="Cancel 9" xfId="38"/>
    <cellStyle name="Cancel 9 2" xfId="137"/>
    <cellStyle name="Cancel 9 2 2" xfId="138"/>
    <cellStyle name="Cancel_REV_APLI_OTxxxx_001" xfId="3"/>
    <cellStyle name="Cancel_REV_APLI_OTxxxx_001 7" xfId="64"/>
    <cellStyle name="Estilo 1" xfId="4"/>
    <cellStyle name="Estilo 1 2" xfId="14"/>
    <cellStyle name="Estilo 1 2 2" xfId="18"/>
    <cellStyle name="Estilo 1 2 3" xfId="42"/>
    <cellStyle name="Estilo 1 2 4" xfId="51"/>
    <cellStyle name="Estilo 1 2 5" xfId="52"/>
    <cellStyle name="Estilo 1 3" xfId="22"/>
    <cellStyle name="Estilo 1 4" xfId="39"/>
    <cellStyle name="Estilo 1 5" xfId="124"/>
    <cellStyle name="Euro" xfId="43"/>
    <cellStyle name="Normal" xfId="0" builtinId="0"/>
    <cellStyle name="Normal 11" xfId="139"/>
    <cellStyle name="Normal 2" xfId="29"/>
    <cellStyle name="Normal 2 2" xfId="15"/>
    <cellStyle name="Normal 2 3" xfId="23"/>
    <cellStyle name="Normal 2 4" xfId="31"/>
    <cellStyle name="Normal 2 5" xfId="140"/>
    <cellStyle name="Normal 2 6" xfId="141"/>
    <cellStyle name="Normal 2 7" xfId="142"/>
    <cellStyle name="Normal 2 8" xfId="143"/>
    <cellStyle name="Normal 3" xfId="17"/>
    <cellStyle name="Normal 3 2" xfId="44"/>
    <cellStyle name="Normal 3 2 2" xfId="73"/>
    <cellStyle name="Normal 3 2 2 2" xfId="98"/>
    <cellStyle name="Normal 3 2 2 3" xfId="144"/>
    <cellStyle name="Normal 3 2 3" xfId="79"/>
    <cellStyle name="Normal 3 2 3 2" xfId="103"/>
    <cellStyle name="Normal 3 2 4" xfId="89"/>
    <cellStyle name="Normal 3 2 4 2" xfId="110"/>
    <cellStyle name="Normal 3 2 5" xfId="92"/>
    <cellStyle name="Normal 3 2 5 2" xfId="112"/>
    <cellStyle name="Normal 3 2 6" xfId="93"/>
    <cellStyle name="Normal 3 2 7" xfId="118"/>
    <cellStyle name="Normal 3 3" xfId="45"/>
    <cellStyle name="Normal 3 3 2" xfId="74"/>
    <cellStyle name="Normal 3 3 2 2" xfId="99"/>
    <cellStyle name="Normal 3 3 2 3" xfId="145"/>
    <cellStyle name="Normal 3 3 3" xfId="80"/>
    <cellStyle name="Normal 3 3 3 2" xfId="104"/>
    <cellStyle name="Normal 3 3 4" xfId="88"/>
    <cellStyle name="Normal 3 3 4 2" xfId="109"/>
    <cellStyle name="Normal 3 3 5" xfId="91"/>
    <cellStyle name="Normal 3 3 5 2" xfId="111"/>
    <cellStyle name="Normal 3 3 6" xfId="94"/>
    <cellStyle name="Normal 3 3 7" xfId="119"/>
    <cellStyle name="Normal 3 4" xfId="46"/>
    <cellStyle name="Normal 3 4 2" xfId="75"/>
    <cellStyle name="Normal 3 4 2 2" xfId="100"/>
    <cellStyle name="Normal 3 4 2 3" xfId="146"/>
    <cellStyle name="Normal 3 4 3" xfId="81"/>
    <cellStyle name="Normal 3 4 3 2" xfId="105"/>
    <cellStyle name="Normal 3 4 4" xfId="87"/>
    <cellStyle name="Normal 3 4 4 2" xfId="108"/>
    <cellStyle name="Normal 3 4 5" xfId="77"/>
    <cellStyle name="Normal 3 4 5 2" xfId="102"/>
    <cellStyle name="Normal 3 4 6" xfId="95"/>
    <cellStyle name="Normal 3 4 7" xfId="120"/>
    <cellStyle name="Normal 3 5" xfId="47"/>
    <cellStyle name="Normal 3 5 2" xfId="76"/>
    <cellStyle name="Normal 3 5 2 2" xfId="101"/>
    <cellStyle name="Normal 3 5 2 3" xfId="147"/>
    <cellStyle name="Normal 3 5 3" xfId="82"/>
    <cellStyle name="Normal 3 5 3 2" xfId="106"/>
    <cellStyle name="Normal 3 5 4" xfId="86"/>
    <cellStyle name="Normal 3 5 4 2" xfId="107"/>
    <cellStyle name="Normal 3 5 5" xfId="71"/>
    <cellStyle name="Normal 3 5 5 2" xfId="97"/>
    <cellStyle name="Normal 3 5 6" xfId="96"/>
    <cellStyle name="Normal 3 5 7" xfId="121"/>
    <cellStyle name="Normal 4" xfId="66"/>
    <cellStyle name="Normal 5" xfId="19"/>
    <cellStyle name="Normal 6" xfId="20"/>
    <cellStyle name="Normal 7" xfId="113"/>
    <cellStyle name="Normal_7 1 2R21 Modelo de Estimación Desarrollo a Medida CASCADA" xfId="5"/>
    <cellStyle name="Normal_7 1 2R21 Modelo de Estimación Desarrollo a Medida CASCADA 2" xfId="6"/>
    <cellStyle name="Normal_7 1 2R21 Modelo de Estimación Desarrollo a Medida CASCADA 2 2" xfId="114"/>
    <cellStyle name="Normal_7 7 5 R03 Solicitud de cambios a requerimientos" xfId="7"/>
    <cellStyle name="Normal_7.3.02.R02 Plantilla WBS" xfId="8"/>
    <cellStyle name="Normal_Copy of 7.7.2.R01 Lista de items de configuracion_Generico2" xfId="9"/>
    <cellStyle name="Normal_Pre_Analisis_OT617_20070403" xfId="78"/>
    <cellStyle name="Normal_sst36" xfId="10"/>
    <cellStyle name="Normal_sst36 2" xfId="69"/>
    <cellStyle name="Porcentaje" xfId="11" builtinId="5"/>
    <cellStyle name="Porcentual 2" xfId="48"/>
    <cellStyle name="Porcentual 3" xfId="49"/>
    <cellStyle name="Style 1" xfId="50"/>
    <cellStyle name="Style 1 2" xfId="122"/>
    <cellStyle name="Style 1 3" xfId="125"/>
    <cellStyle name="Style 1 4" xfId="123"/>
    <cellStyle name="Style 1 5" xfId="117"/>
    <cellStyle name="Texto explicativo" xfId="115" builtinId="53"/>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s-PE"/>
              <a:t>NUMERO DE INCIDENCIAS POR GRADO DE SEVERIDAD</a:t>
            </a:r>
          </a:p>
        </c:rich>
      </c:tx>
      <c:layout>
        <c:manualLayout>
          <c:xMode val="edge"/>
          <c:yMode val="edge"/>
          <c:x val="0.19036721327265282"/>
          <c:y val="4.2056373388109101E-2"/>
        </c:manualLayout>
      </c:layout>
      <c:overlay val="0"/>
      <c:spPr>
        <a:noFill/>
        <a:ln w="25400">
          <a:noFill/>
        </a:ln>
      </c:spPr>
    </c:title>
    <c:autoTitleDeleted val="0"/>
    <c:view3D>
      <c:rotX val="15"/>
      <c:hPercent val="37"/>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6.6513835957474704E-2"/>
          <c:y val="0.22429957720223331"/>
          <c:w val="0.90137715625129489"/>
          <c:h val="0.59345929801424158"/>
        </c:manualLayout>
      </c:layout>
      <c:bar3DChart>
        <c:barDir val="col"/>
        <c:grouping val="clustered"/>
        <c:varyColors val="1"/>
        <c:ser>
          <c:idx val="0"/>
          <c:order val="0"/>
          <c:tx>
            <c:strRef>
              <c:f>'Informe Final-Realiza'!$B$28:$B$31</c:f>
              <c:strCache>
                <c:ptCount val="4"/>
                <c:pt idx="0">
                  <c:v>Baja</c:v>
                </c:pt>
                <c:pt idx="1">
                  <c:v>Media</c:v>
                </c:pt>
                <c:pt idx="2">
                  <c:v>Alta</c:v>
                </c:pt>
                <c:pt idx="3">
                  <c:v>Bloqueante</c:v>
                </c:pt>
              </c:strCache>
            </c:strRef>
          </c:tx>
          <c:spPr>
            <a:solidFill>
              <a:srgbClr val="9999FF"/>
            </a:solidFill>
            <a:ln w="12700">
              <a:solidFill>
                <a:srgbClr val="000000"/>
              </a:solidFill>
              <a:prstDash val="solid"/>
            </a:ln>
          </c:spPr>
          <c:invertIfNegative val="0"/>
          <c:dPt>
            <c:idx val="1"/>
            <c:invertIfNegative val="0"/>
            <c:bubble3D val="0"/>
            <c:spPr>
              <a:solidFill>
                <a:srgbClr val="993366"/>
              </a:solidFill>
              <a:ln w="12700">
                <a:solidFill>
                  <a:srgbClr val="000000"/>
                </a:solidFill>
                <a:prstDash val="solid"/>
              </a:ln>
            </c:spPr>
            <c:extLst>
              <c:ext xmlns:c16="http://schemas.microsoft.com/office/drawing/2014/chart" uri="{C3380CC4-5D6E-409C-BE32-E72D297353CC}">
                <c16:uniqueId val="{00000001-759C-484B-AC26-661950DAFBE4}"/>
              </c:ext>
            </c:extLst>
          </c:dPt>
          <c:cat>
            <c:strRef>
              <c:f>'Informe Final-Realiza'!$B$28:$B$31</c:f>
              <c:strCache>
                <c:ptCount val="4"/>
                <c:pt idx="0">
                  <c:v>Baja</c:v>
                </c:pt>
                <c:pt idx="1">
                  <c:v>Media</c:v>
                </c:pt>
                <c:pt idx="2">
                  <c:v>Alta</c:v>
                </c:pt>
                <c:pt idx="3">
                  <c:v>Bloqueante</c:v>
                </c:pt>
              </c:strCache>
            </c:strRef>
          </c:cat>
          <c:val>
            <c:numRef>
              <c:f>'Informe Final-Realiza'!$C$28:$C$31</c:f>
              <c:numCache>
                <c:formatCode>0</c:formatCode>
                <c:ptCount val="4"/>
                <c:pt idx="0">
                  <c:v>0</c:v>
                </c:pt>
                <c:pt idx="1">
                  <c:v>0</c:v>
                </c:pt>
                <c:pt idx="2">
                  <c:v>0</c:v>
                </c:pt>
                <c:pt idx="3">
                  <c:v>0</c:v>
                </c:pt>
              </c:numCache>
            </c:numRef>
          </c:val>
          <c:extLst>
            <c:ext xmlns:c16="http://schemas.microsoft.com/office/drawing/2014/chart" uri="{C3380CC4-5D6E-409C-BE32-E72D297353CC}">
              <c16:uniqueId val="{00000002-759C-484B-AC26-661950DAFBE4}"/>
            </c:ext>
          </c:extLst>
        </c:ser>
        <c:dLbls>
          <c:showLegendKey val="0"/>
          <c:showVal val="0"/>
          <c:showCatName val="0"/>
          <c:showSerName val="0"/>
          <c:showPercent val="0"/>
          <c:showBubbleSize val="0"/>
        </c:dLbls>
        <c:gapWidth val="150"/>
        <c:shape val="box"/>
        <c:axId val="-119959968"/>
        <c:axId val="-119957248"/>
        <c:axId val="0"/>
      </c:bar3DChart>
      <c:catAx>
        <c:axId val="-11995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119957248"/>
        <c:crosses val="autoZero"/>
        <c:auto val="1"/>
        <c:lblAlgn val="ctr"/>
        <c:lblOffset val="100"/>
        <c:tickLblSkip val="1"/>
        <c:tickMarkSkip val="1"/>
        <c:noMultiLvlLbl val="0"/>
      </c:catAx>
      <c:valAx>
        <c:axId val="-119957248"/>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11995996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Arial"/>
          <a:ea typeface="Arial"/>
          <a:cs typeface="Arial"/>
        </a:defRPr>
      </a:pPr>
      <a:endParaRPr lang="es-PE"/>
    </a:p>
  </c:txPr>
  <c:printSettings>
    <c:headerFooter alignWithMargins="0"/>
    <c:pageMargins b="1" l="0.75000000000000733" r="0.75000000000000733"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s-PE"/>
              <a:t>RESUMEN DE INCIDENCIA POR SEVERIDAD</a:t>
            </a:r>
          </a:p>
        </c:rich>
      </c:tx>
      <c:layout>
        <c:manualLayout>
          <c:xMode val="edge"/>
          <c:yMode val="edge"/>
          <c:x val="0.19196441633320441"/>
          <c:y val="3.8610467809170955E-2"/>
        </c:manualLayout>
      </c:layout>
      <c:overlay val="0"/>
      <c:spPr>
        <a:noFill/>
        <a:ln w="25400">
          <a:noFill/>
        </a:ln>
      </c:spPr>
    </c:title>
    <c:autoTitleDeleted val="0"/>
    <c:plotArea>
      <c:layout>
        <c:manualLayout>
          <c:layoutTarget val="inner"/>
          <c:xMode val="edge"/>
          <c:yMode val="edge"/>
          <c:x val="0.20696721311475424"/>
          <c:y val="0.29069877475008632"/>
          <c:w val="0.27254098360655737"/>
          <c:h val="0.51550582722349525"/>
        </c:manualLayout>
      </c:layout>
      <c:pieChart>
        <c:varyColors val="1"/>
        <c:ser>
          <c:idx val="0"/>
          <c:order val="0"/>
          <c:spPr>
            <a:solidFill>
              <a:srgbClr val="9999FF"/>
            </a:solidFill>
            <a:ln w="12700">
              <a:solidFill>
                <a:srgbClr val="000000"/>
              </a:solidFill>
              <a:prstDash val="solid"/>
            </a:ln>
          </c:spPr>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340C-467F-A221-D3B6FBAA0D3C}"/>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3-340C-467F-A221-D3B6FBAA0D3C}"/>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5-340C-467F-A221-D3B6FBAA0D3C}"/>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7-340C-467F-A221-D3B6FBAA0D3C}"/>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9-340C-467F-A221-D3B6FBAA0D3C}"/>
              </c:ext>
            </c:extLst>
          </c:dPt>
          <c:dLbls>
            <c:dLbl>
              <c:idx val="0"/>
              <c:layout>
                <c:manualLayout>
                  <c:x val="7.6766557755274023E-2"/>
                  <c:y val="4.499424884485551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340C-467F-A221-D3B6FBAA0D3C}"/>
                </c:ext>
              </c:extLst>
            </c:dLbl>
            <c:dLbl>
              <c:idx val="1"/>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40C-467F-A221-D3B6FBAA0D3C}"/>
                </c:ext>
              </c:extLst>
            </c:dLbl>
            <c:dLbl>
              <c:idx val="2"/>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40C-467F-A221-D3B6FBAA0D3C}"/>
                </c:ext>
              </c:extLst>
            </c:dLbl>
            <c:dLbl>
              <c:idx val="3"/>
              <c:layout>
                <c:manualLayout>
                  <c:x val="0.17420764371468439"/>
                  <c:y val="5.277933233552420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40C-467F-A221-D3B6FBAA0D3C}"/>
                </c:ext>
              </c:extLst>
            </c:dLbl>
            <c:dLbl>
              <c:idx val="4"/>
              <c:layout>
                <c:manualLayout>
                  <c:x val="0.2211662916361577"/>
                  <c:y val="1.812900744140516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340C-467F-A221-D3B6FBAA0D3C}"/>
                </c:ext>
              </c:extLst>
            </c:dLbl>
            <c:dLbl>
              <c:idx val="5"/>
              <c:layout>
                <c:manualLayout>
                  <c:x val="-0.20376504151527625"/>
                  <c:y val="-2.843278887659704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340C-467F-A221-D3B6FBAA0D3C}"/>
                </c:ext>
              </c:extLst>
            </c:dLbl>
            <c:dLbl>
              <c:idx val="6"/>
              <c:layout>
                <c:manualLayout>
                  <c:x val="-0.17329442427780223"/>
                  <c:y val="8.837516702346326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340C-467F-A221-D3B6FBAA0D3C}"/>
                </c:ext>
              </c:extLst>
            </c:dLbl>
            <c:dLbl>
              <c:idx val="7"/>
              <c:layout>
                <c:manualLayout>
                  <c:x val="1.5525917687854879E-2"/>
                  <c:y val="8.59622068009878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340C-467F-A221-D3B6FBAA0D3C}"/>
                </c:ext>
              </c:extLst>
            </c:dLbl>
            <c:numFmt formatCode="0%" sourceLinked="0"/>
            <c:spPr>
              <a:noFill/>
              <a:ln w="25400">
                <a:noFill/>
              </a:ln>
            </c:spPr>
            <c:txPr>
              <a:bodyPr/>
              <a:lstStyle/>
              <a:p>
                <a:pPr>
                  <a:defRPr sz="825" b="0" i="0" u="none" strike="noStrike" baseline="0">
                    <a:solidFill>
                      <a:srgbClr val="000000"/>
                    </a:solidFill>
                    <a:latin typeface="Arial"/>
                    <a:ea typeface="Arial"/>
                    <a:cs typeface="Arial"/>
                  </a:defRPr>
                </a:pPr>
                <a:endParaRPr lang="es-PE"/>
              </a:p>
            </c:txPr>
            <c:showLegendKey val="0"/>
            <c:showVal val="0"/>
            <c:showCatName val="1"/>
            <c:showSerName val="0"/>
            <c:showPercent val="1"/>
            <c:showBubbleSize val="0"/>
            <c:showLeaderLines val="1"/>
            <c:extLst>
              <c:ext xmlns:c15="http://schemas.microsoft.com/office/drawing/2012/chart" uri="{CE6537A1-D6FC-4f65-9D91-7224C49458BB}"/>
            </c:extLst>
          </c:dLbls>
          <c:cat>
            <c:strRef>
              <c:f>'Informe Final-Realiza'!$B$6:$B$11</c:f>
              <c:strCache>
                <c:ptCount val="6"/>
                <c:pt idx="0">
                  <c:v>Documentación</c:v>
                </c:pt>
                <c:pt idx="1">
                  <c:v>Estandarización</c:v>
                </c:pt>
                <c:pt idx="2">
                  <c:v>Normalización</c:v>
                </c:pt>
                <c:pt idx="3">
                  <c:v>Homologación/Versionamiento</c:v>
                </c:pt>
                <c:pt idx="4">
                  <c:v>Funcionalidad</c:v>
                </c:pt>
                <c:pt idx="5">
                  <c:v>Técnico</c:v>
                </c:pt>
              </c:strCache>
            </c:strRef>
          </c:cat>
          <c:val>
            <c:numRef>
              <c:f>'Informe Final-Realiza'!$C$6:$C$11</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D-340C-467F-A221-D3B6FBAA0D3C}"/>
            </c:ext>
          </c:extLst>
        </c:ser>
        <c:dLbls>
          <c:showLegendKey val="0"/>
          <c:showVal val="0"/>
          <c:showCatName val="1"/>
          <c:showSerName val="0"/>
          <c:showPercent val="1"/>
          <c:showBubbleSize val="0"/>
          <c:showLeaderLines val="1"/>
        </c:dLbls>
        <c:firstSliceAng val="0"/>
      </c:pieChart>
      <c:spPr>
        <a:noFill/>
        <a:ln w="25400">
          <a:noFill/>
        </a:ln>
      </c:spPr>
    </c:plotArea>
    <c:legend>
      <c:legendPos val="r"/>
      <c:layout>
        <c:manualLayout>
          <c:xMode val="edge"/>
          <c:yMode val="edge"/>
          <c:x val="0.72336065573770458"/>
          <c:y val="0.36134542005778686"/>
          <c:w val="0.26229508196721341"/>
          <c:h val="0.37815214274686254"/>
        </c:manualLayout>
      </c:layout>
      <c:overlay val="0"/>
      <c:spPr>
        <a:solidFill>
          <a:srgbClr val="FFFFFF"/>
        </a:solidFill>
        <a:ln w="3175">
          <a:solidFill>
            <a:srgbClr val="000000"/>
          </a:solidFill>
          <a:prstDash val="solid"/>
        </a:ln>
      </c:spPr>
      <c:txPr>
        <a:bodyPr/>
        <a:lstStyle/>
        <a:p>
          <a:pPr>
            <a:defRPr sz="410" b="0" i="0" u="none" strike="noStrike" baseline="0">
              <a:solidFill>
                <a:srgbClr val="000000"/>
              </a:solidFill>
              <a:latin typeface="Arial"/>
              <a:ea typeface="Arial"/>
              <a:cs typeface="Arial"/>
            </a:defRPr>
          </a:pPr>
          <a:endParaRPr lang="es-PE"/>
        </a:p>
      </c:txPr>
    </c:legend>
    <c:plotVisOnly val="1"/>
    <c:dispBlanksAs val="zero"/>
    <c:showDLblsOverMax val="0"/>
  </c:chart>
  <c:spPr>
    <a:solidFill>
      <a:srgbClr val="FFFFFF"/>
    </a:solid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Arial"/>
          <a:ea typeface="Arial"/>
          <a:cs typeface="Arial"/>
        </a:defRPr>
      </a:pPr>
      <a:endParaRPr lang="es-PE"/>
    </a:p>
  </c:txPr>
  <c:printSettings>
    <c:headerFooter alignWithMargins="0"/>
    <c:pageMargins b="1" l="0.75000000000000733" r="0.75000000000000733" t="1" header="0" footer="0"/>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1.jpeg"/><Relationship Id="rId1"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jpeg"/><Relationship Id="rId1" Type="http://schemas.openxmlformats.org/officeDocument/2006/relationships/image" Target="../media/image3.jpeg"/></Relationships>
</file>

<file path=xl/drawings/_rels/drawing1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323850</xdr:colOff>
      <xdr:row>1</xdr:row>
      <xdr:rowOff>57151</xdr:rowOff>
    </xdr:from>
    <xdr:to>
      <xdr:col>2</xdr:col>
      <xdr:colOff>542925</xdr:colOff>
      <xdr:row>1</xdr:row>
      <xdr:rowOff>419100</xdr:rowOff>
    </xdr:to>
    <xdr:pic>
      <xdr:nvPicPr>
        <xdr:cNvPr id="2" name="Picture 2" descr="C:\Documents and Settings\np375151\Desktop\logo\logo\Logo_sura.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0" y="219076"/>
          <a:ext cx="981075" cy="361949"/>
        </a:xfrm>
        <a:prstGeom prst="rect">
          <a:avLst/>
        </a:prstGeom>
        <a:noFill/>
        <a:ln w="9525">
          <a:noFill/>
          <a:miter lim="800000"/>
          <a:headEnd/>
          <a:tailEnd/>
        </a:ln>
      </xdr:spPr>
    </xdr:pic>
    <xdr:clientData/>
  </xdr:twoCellAnchor>
  <xdr:twoCellAnchor editAs="oneCell">
    <xdr:from>
      <xdr:col>7</xdr:col>
      <xdr:colOff>85725</xdr:colOff>
      <xdr:row>0</xdr:row>
      <xdr:rowOff>114300</xdr:rowOff>
    </xdr:from>
    <xdr:to>
      <xdr:col>7</xdr:col>
      <xdr:colOff>1552575</xdr:colOff>
      <xdr:row>1</xdr:row>
      <xdr:rowOff>447675</xdr:rowOff>
    </xdr:to>
    <xdr:pic>
      <xdr:nvPicPr>
        <xdr:cNvPr id="5" name="Picture 4" descr="cid:image001.png@01D448E6.E8A62EB0">
          <a:extLst>
            <a:ext uri="{FF2B5EF4-FFF2-40B4-BE49-F238E27FC236}">
              <a16:creationId xmlns:a16="http://schemas.microsoft.com/office/drawing/2014/main" id="{00000000-0008-0000-0000-000005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15385" b="20000"/>
        <a:stretch/>
      </xdr:blipFill>
      <xdr:spPr bwMode="auto">
        <a:xfrm>
          <a:off x="7134225" y="114300"/>
          <a:ext cx="1466850" cy="4953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323850</xdr:colOff>
      <xdr:row>1</xdr:row>
      <xdr:rowOff>38100</xdr:rowOff>
    </xdr:from>
    <xdr:to>
      <xdr:col>1</xdr:col>
      <xdr:colOff>1638300</xdr:colOff>
      <xdr:row>1</xdr:row>
      <xdr:rowOff>609600</xdr:rowOff>
    </xdr:to>
    <xdr:pic>
      <xdr:nvPicPr>
        <xdr:cNvPr id="7482" name="Picture 2" descr="C:\Documents and Settings\np375151\Desktop\logo\logo\Logo_sura.jpg">
          <a:extLst>
            <a:ext uri="{FF2B5EF4-FFF2-40B4-BE49-F238E27FC236}">
              <a16:creationId xmlns:a16="http://schemas.microsoft.com/office/drawing/2014/main" id="{00000000-0008-0000-0100-00003A1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3875" y="200025"/>
          <a:ext cx="1314450" cy="5715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8172450" y="209550"/>
          <a:ext cx="0" cy="495300"/>
        </a:xfrm>
        <a:prstGeom prst="rect">
          <a:avLst/>
        </a:prstGeom>
        <a:noFill/>
        <a:ln w="9525">
          <a:noFill/>
          <a:miter lim="800000"/>
          <a:headEnd/>
          <a:tailEnd/>
        </a:ln>
      </xdr:spPr>
    </xdr:pic>
    <xdr:clientData/>
  </xdr:twoCellAnchor>
  <xdr:twoCellAnchor>
    <xdr:from>
      <xdr:col>1</xdr:col>
      <xdr:colOff>333374</xdr:colOff>
      <xdr:row>1</xdr:row>
      <xdr:rowOff>66675</xdr:rowOff>
    </xdr:from>
    <xdr:to>
      <xdr:col>2</xdr:col>
      <xdr:colOff>1047749</xdr:colOff>
      <xdr:row>1</xdr:row>
      <xdr:rowOff>638175</xdr:rowOff>
    </xdr:to>
    <xdr:pic>
      <xdr:nvPicPr>
        <xdr:cNvPr id="3" name="Picture 2" descr="C:\Documents and Settings\np375151\Desktop\logo\logo\Logo_sura.jpg">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14374" y="228600"/>
          <a:ext cx="1114425" cy="571500"/>
        </a:xfrm>
        <a:prstGeom prst="rect">
          <a:avLst/>
        </a:prstGeom>
        <a:noFill/>
        <a:ln w="9525">
          <a:noFill/>
          <a:miter lim="800000"/>
          <a:headEnd/>
          <a:tailEnd/>
        </a:ln>
      </xdr:spPr>
    </xdr:pic>
    <xdr:clientData/>
  </xdr:twoCellAnchor>
  <xdr:twoCellAnchor editAs="oneCell">
    <xdr:from>
      <xdr:col>5</xdr:col>
      <xdr:colOff>800100</xdr:colOff>
      <xdr:row>1</xdr:row>
      <xdr:rowOff>85725</xdr:rowOff>
    </xdr:from>
    <xdr:to>
      <xdr:col>6</xdr:col>
      <xdr:colOff>826293</xdr:colOff>
      <xdr:row>1</xdr:row>
      <xdr:rowOff>619392</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53200" y="247650"/>
          <a:ext cx="2245518" cy="5336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543425" y="209550"/>
          <a:ext cx="0" cy="495300"/>
        </a:xfrm>
        <a:prstGeom prst="rect">
          <a:avLst/>
        </a:prstGeom>
        <a:noFill/>
        <a:ln w="9525">
          <a:noFill/>
          <a:miter lim="800000"/>
          <a:headEnd/>
          <a:tailEnd/>
        </a:ln>
      </xdr:spPr>
    </xdr:pic>
    <xdr:clientData/>
  </xdr:twoCellAnchor>
  <xdr:twoCellAnchor>
    <xdr:from>
      <xdr:col>2</xdr:col>
      <xdr:colOff>657226</xdr:colOff>
      <xdr:row>1</xdr:row>
      <xdr:rowOff>66676</xdr:rowOff>
    </xdr:from>
    <xdr:to>
      <xdr:col>2</xdr:col>
      <xdr:colOff>1419225</xdr:colOff>
      <xdr:row>1</xdr:row>
      <xdr:rowOff>457444</xdr:rowOff>
    </xdr:to>
    <xdr:pic>
      <xdr:nvPicPr>
        <xdr:cNvPr id="6" name="Picture 5" descr="C:\Documents and Settings\np375151\Desktop\logo\logo\Logo_sura.jpg">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04926" y="228601"/>
          <a:ext cx="761999" cy="390768"/>
        </a:xfrm>
        <a:prstGeom prst="rect">
          <a:avLst/>
        </a:prstGeom>
        <a:noFill/>
        <a:ln w="9525">
          <a:noFill/>
          <a:miter lim="800000"/>
          <a:headEnd/>
          <a:tailEnd/>
        </a:ln>
      </xdr:spPr>
    </xdr:pic>
    <xdr:clientData/>
  </xdr:twoCellAnchor>
  <xdr:twoCellAnchor editAs="oneCell">
    <xdr:from>
      <xdr:col>7</xdr:col>
      <xdr:colOff>152401</xdr:colOff>
      <xdr:row>1</xdr:row>
      <xdr:rowOff>85726</xdr:rowOff>
    </xdr:from>
    <xdr:to>
      <xdr:col>7</xdr:col>
      <xdr:colOff>2036085</xdr:colOff>
      <xdr:row>1</xdr:row>
      <xdr:rowOff>533400</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258051" y="247651"/>
          <a:ext cx="1883684" cy="4476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753100" y="209550"/>
          <a:ext cx="0" cy="495300"/>
        </a:xfrm>
        <a:prstGeom prst="rect">
          <a:avLst/>
        </a:prstGeom>
        <a:noFill/>
        <a:ln w="9525">
          <a:noFill/>
          <a:miter lim="800000"/>
          <a:headEnd/>
          <a:tailEnd/>
        </a:ln>
      </xdr:spPr>
    </xdr:pic>
    <xdr:clientData/>
  </xdr:twoCellAnchor>
  <xdr:twoCellAnchor>
    <xdr:from>
      <xdr:col>2</xdr:col>
      <xdr:colOff>838200</xdr:colOff>
      <xdr:row>1</xdr:row>
      <xdr:rowOff>47625</xdr:rowOff>
    </xdr:from>
    <xdr:to>
      <xdr:col>2</xdr:col>
      <xdr:colOff>1714500</xdr:colOff>
      <xdr:row>1</xdr:row>
      <xdr:rowOff>619125</xdr:rowOff>
    </xdr:to>
    <xdr:pic>
      <xdr:nvPicPr>
        <xdr:cNvPr id="3" name="Picture 2" descr="C:\Documents and Settings\np375151\Desktop\logo\logo\Logo_sura.jpg">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85900" y="209550"/>
          <a:ext cx="876300" cy="571500"/>
        </a:xfrm>
        <a:prstGeom prst="rect">
          <a:avLst/>
        </a:prstGeom>
        <a:noFill/>
        <a:ln w="9525">
          <a:noFill/>
          <a:miter lim="800000"/>
          <a:headEnd/>
          <a:tailEnd/>
        </a:ln>
      </xdr:spPr>
    </xdr:pic>
    <xdr:clientData/>
  </xdr:twoCellAnchor>
  <xdr:twoCellAnchor editAs="oneCell">
    <xdr:from>
      <xdr:col>7</xdr:col>
      <xdr:colOff>323850</xdr:colOff>
      <xdr:row>1</xdr:row>
      <xdr:rowOff>66675</xdr:rowOff>
    </xdr:from>
    <xdr:to>
      <xdr:col>8</xdr:col>
      <xdr:colOff>397668</xdr:colOff>
      <xdr:row>1</xdr:row>
      <xdr:rowOff>600342</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839075" y="228600"/>
          <a:ext cx="2245518" cy="5336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210300" y="209550"/>
          <a:ext cx="0" cy="495300"/>
        </a:xfrm>
        <a:prstGeom prst="rect">
          <a:avLst/>
        </a:prstGeom>
        <a:noFill/>
        <a:ln w="9525">
          <a:noFill/>
          <a:miter lim="800000"/>
          <a:headEnd/>
          <a:tailEnd/>
        </a:ln>
      </xdr:spPr>
    </xdr:pic>
    <xdr:clientData/>
  </xdr:twoCellAnchor>
  <xdr:twoCellAnchor>
    <xdr:from>
      <xdr:col>2</xdr:col>
      <xdr:colOff>838200</xdr:colOff>
      <xdr:row>1</xdr:row>
      <xdr:rowOff>47625</xdr:rowOff>
    </xdr:from>
    <xdr:to>
      <xdr:col>2</xdr:col>
      <xdr:colOff>1714500</xdr:colOff>
      <xdr:row>1</xdr:row>
      <xdr:rowOff>619125</xdr:rowOff>
    </xdr:to>
    <xdr:pic>
      <xdr:nvPicPr>
        <xdr:cNvPr id="3" name="Picture 2" descr="C:\Documents and Settings\np375151\Desktop\logo\logo\Logo_sura.jpg">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695450" y="209550"/>
          <a:ext cx="876300" cy="571500"/>
        </a:xfrm>
        <a:prstGeom prst="rect">
          <a:avLst/>
        </a:prstGeom>
        <a:noFill/>
        <a:ln w="9525">
          <a:noFill/>
          <a:miter lim="800000"/>
          <a:headEnd/>
          <a:tailEnd/>
        </a:ln>
      </xdr:spPr>
    </xdr:pic>
    <xdr:clientData/>
  </xdr:twoCellAnchor>
  <xdr:twoCellAnchor editAs="oneCell">
    <xdr:from>
      <xdr:col>7</xdr:col>
      <xdr:colOff>85725</xdr:colOff>
      <xdr:row>1</xdr:row>
      <xdr:rowOff>123826</xdr:rowOff>
    </xdr:from>
    <xdr:to>
      <xdr:col>7</xdr:col>
      <xdr:colOff>1914525</xdr:colOff>
      <xdr:row>1</xdr:row>
      <xdr:rowOff>558456</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191375" y="285751"/>
          <a:ext cx="1828800" cy="4346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772150" y="209550"/>
          <a:ext cx="0" cy="495300"/>
        </a:xfrm>
        <a:prstGeom prst="rect">
          <a:avLst/>
        </a:prstGeom>
        <a:noFill/>
        <a:ln w="9525">
          <a:noFill/>
          <a:miter lim="800000"/>
          <a:headEnd/>
          <a:tailEnd/>
        </a:ln>
      </xdr:spPr>
    </xdr:pic>
    <xdr:clientData/>
  </xdr:twoCellAnchor>
  <xdr:twoCellAnchor>
    <xdr:from>
      <xdr:col>2</xdr:col>
      <xdr:colOff>838200</xdr:colOff>
      <xdr:row>1</xdr:row>
      <xdr:rowOff>47625</xdr:rowOff>
    </xdr:from>
    <xdr:to>
      <xdr:col>2</xdr:col>
      <xdr:colOff>1714500</xdr:colOff>
      <xdr:row>1</xdr:row>
      <xdr:rowOff>619125</xdr:rowOff>
    </xdr:to>
    <xdr:pic>
      <xdr:nvPicPr>
        <xdr:cNvPr id="3" name="Picture 2" descr="C:\Documents and Settings\np375151\Desktop\logo\logo\Logo_sura.jpg">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95425" y="209550"/>
          <a:ext cx="876300" cy="571500"/>
        </a:xfrm>
        <a:prstGeom prst="rect">
          <a:avLst/>
        </a:prstGeom>
        <a:noFill/>
        <a:ln w="9525">
          <a:noFill/>
          <a:miter lim="800000"/>
          <a:headEnd/>
          <a:tailEnd/>
        </a:ln>
      </xdr:spPr>
    </xdr:pic>
    <xdr:clientData/>
  </xdr:twoCellAnchor>
  <xdr:twoCellAnchor editAs="oneCell">
    <xdr:from>
      <xdr:col>7</xdr:col>
      <xdr:colOff>152400</xdr:colOff>
      <xdr:row>1</xdr:row>
      <xdr:rowOff>133351</xdr:rowOff>
    </xdr:from>
    <xdr:to>
      <xdr:col>7</xdr:col>
      <xdr:colOff>1996010</xdr:colOff>
      <xdr:row>1</xdr:row>
      <xdr:rowOff>571501</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0" y="295276"/>
          <a:ext cx="184361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981700" y="209550"/>
          <a:ext cx="0" cy="495300"/>
        </a:xfrm>
        <a:prstGeom prst="rect">
          <a:avLst/>
        </a:prstGeom>
        <a:noFill/>
        <a:ln w="9525">
          <a:noFill/>
          <a:miter lim="800000"/>
          <a:headEnd/>
          <a:tailEnd/>
        </a:ln>
      </xdr:spPr>
    </xdr:pic>
    <xdr:clientData/>
  </xdr:twoCellAnchor>
  <xdr:twoCellAnchor>
    <xdr:from>
      <xdr:col>2</xdr:col>
      <xdr:colOff>838200</xdr:colOff>
      <xdr:row>1</xdr:row>
      <xdr:rowOff>47625</xdr:rowOff>
    </xdr:from>
    <xdr:to>
      <xdr:col>2</xdr:col>
      <xdr:colOff>1714500</xdr:colOff>
      <xdr:row>1</xdr:row>
      <xdr:rowOff>619125</xdr:rowOff>
    </xdr:to>
    <xdr:pic>
      <xdr:nvPicPr>
        <xdr:cNvPr id="3" name="Picture 2" descr="C:\Documents and Settings\np375151\Desktop\logo\logo\Logo_sura.jpg">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85900" y="209550"/>
          <a:ext cx="876300" cy="571500"/>
        </a:xfrm>
        <a:prstGeom prst="rect">
          <a:avLst/>
        </a:prstGeom>
        <a:noFill/>
        <a:ln w="9525">
          <a:noFill/>
          <a:miter lim="800000"/>
          <a:headEnd/>
          <a:tailEnd/>
        </a:ln>
      </xdr:spPr>
    </xdr:pic>
    <xdr:clientData/>
  </xdr:twoCellAnchor>
  <xdr:twoCellAnchor editAs="oneCell">
    <xdr:from>
      <xdr:col>7</xdr:col>
      <xdr:colOff>21167</xdr:colOff>
      <xdr:row>1</xdr:row>
      <xdr:rowOff>137585</xdr:rowOff>
    </xdr:from>
    <xdr:to>
      <xdr:col>7</xdr:col>
      <xdr:colOff>2114151</xdr:colOff>
      <xdr:row>1</xdr:row>
      <xdr:rowOff>635001</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50667" y="296335"/>
          <a:ext cx="2092984" cy="49741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981700" y="209550"/>
          <a:ext cx="0" cy="495300"/>
        </a:xfrm>
        <a:prstGeom prst="rect">
          <a:avLst/>
        </a:prstGeom>
        <a:noFill/>
        <a:ln w="9525">
          <a:noFill/>
          <a:miter lim="800000"/>
          <a:headEnd/>
          <a:tailEnd/>
        </a:ln>
      </xdr:spPr>
    </xdr:pic>
    <xdr:clientData/>
  </xdr:twoCellAnchor>
  <xdr:twoCellAnchor>
    <xdr:from>
      <xdr:col>2</xdr:col>
      <xdr:colOff>838200</xdr:colOff>
      <xdr:row>1</xdr:row>
      <xdr:rowOff>47625</xdr:rowOff>
    </xdr:from>
    <xdr:to>
      <xdr:col>2</xdr:col>
      <xdr:colOff>1714500</xdr:colOff>
      <xdr:row>1</xdr:row>
      <xdr:rowOff>619125</xdr:rowOff>
    </xdr:to>
    <xdr:pic>
      <xdr:nvPicPr>
        <xdr:cNvPr id="3" name="Picture 2" descr="C:\Documents and Settings\np375151\Desktop\logo\logo\Logo_sura.jpg">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85900" y="209550"/>
          <a:ext cx="876300" cy="571500"/>
        </a:xfrm>
        <a:prstGeom prst="rect">
          <a:avLst/>
        </a:prstGeom>
        <a:noFill/>
        <a:ln w="9525">
          <a:noFill/>
          <a:miter lim="800000"/>
          <a:headEnd/>
          <a:tailEnd/>
        </a:ln>
      </xdr:spPr>
    </xdr:pic>
    <xdr:clientData/>
  </xdr:twoCellAnchor>
  <xdr:twoCellAnchor editAs="oneCell">
    <xdr:from>
      <xdr:col>7</xdr:col>
      <xdr:colOff>114300</xdr:colOff>
      <xdr:row>1</xdr:row>
      <xdr:rowOff>123825</xdr:rowOff>
    </xdr:from>
    <xdr:to>
      <xdr:col>7</xdr:col>
      <xdr:colOff>1997988</xdr:colOff>
      <xdr:row>1</xdr:row>
      <xdr:rowOff>571500</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315200" y="285750"/>
          <a:ext cx="1883688"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772150" y="209550"/>
          <a:ext cx="0" cy="495300"/>
        </a:xfrm>
        <a:prstGeom prst="rect">
          <a:avLst/>
        </a:prstGeom>
        <a:noFill/>
        <a:ln w="9525">
          <a:noFill/>
          <a:miter lim="800000"/>
          <a:headEnd/>
          <a:tailEnd/>
        </a:ln>
      </xdr:spPr>
    </xdr:pic>
    <xdr:clientData/>
  </xdr:twoCellAnchor>
  <xdr:twoCellAnchor>
    <xdr:from>
      <xdr:col>2</xdr:col>
      <xdr:colOff>838200</xdr:colOff>
      <xdr:row>1</xdr:row>
      <xdr:rowOff>47625</xdr:rowOff>
    </xdr:from>
    <xdr:to>
      <xdr:col>2</xdr:col>
      <xdr:colOff>1714500</xdr:colOff>
      <xdr:row>1</xdr:row>
      <xdr:rowOff>619125</xdr:rowOff>
    </xdr:to>
    <xdr:pic>
      <xdr:nvPicPr>
        <xdr:cNvPr id="3" name="Picture 2" descr="C:\Documents and Settings\np375151\Desktop\logo\logo\Logo_sura.jpg">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95425" y="209550"/>
          <a:ext cx="876300" cy="571500"/>
        </a:xfrm>
        <a:prstGeom prst="rect">
          <a:avLst/>
        </a:prstGeom>
        <a:noFill/>
        <a:ln w="9525">
          <a:noFill/>
          <a:miter lim="800000"/>
          <a:headEnd/>
          <a:tailEnd/>
        </a:ln>
      </xdr:spPr>
    </xdr:pic>
    <xdr:clientData/>
  </xdr:twoCellAnchor>
  <xdr:twoCellAnchor editAs="oneCell">
    <xdr:from>
      <xdr:col>7</xdr:col>
      <xdr:colOff>95250</xdr:colOff>
      <xdr:row>1</xdr:row>
      <xdr:rowOff>104776</xdr:rowOff>
    </xdr:from>
    <xdr:to>
      <xdr:col>7</xdr:col>
      <xdr:colOff>1938860</xdr:colOff>
      <xdr:row>1</xdr:row>
      <xdr:rowOff>542926</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200900" y="266701"/>
          <a:ext cx="184361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772150" y="209550"/>
          <a:ext cx="0" cy="447675"/>
        </a:xfrm>
        <a:prstGeom prst="rect">
          <a:avLst/>
        </a:prstGeom>
        <a:noFill/>
        <a:ln w="9525">
          <a:noFill/>
          <a:miter lim="800000"/>
          <a:headEnd/>
          <a:tailEnd/>
        </a:ln>
      </xdr:spPr>
    </xdr:pic>
    <xdr:clientData/>
  </xdr:twoCellAnchor>
  <xdr:twoCellAnchor>
    <xdr:from>
      <xdr:col>2</xdr:col>
      <xdr:colOff>838200</xdr:colOff>
      <xdr:row>1</xdr:row>
      <xdr:rowOff>47625</xdr:rowOff>
    </xdr:from>
    <xdr:to>
      <xdr:col>2</xdr:col>
      <xdr:colOff>1714500</xdr:colOff>
      <xdr:row>1</xdr:row>
      <xdr:rowOff>619125</xdr:rowOff>
    </xdr:to>
    <xdr:pic>
      <xdr:nvPicPr>
        <xdr:cNvPr id="3" name="Picture 2" descr="C:\Documents and Settings\np375151\Desktop\logo\logo\Logo_sura.jpg">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95425" y="209550"/>
          <a:ext cx="876300" cy="447675"/>
        </a:xfrm>
        <a:prstGeom prst="rect">
          <a:avLst/>
        </a:prstGeom>
        <a:noFill/>
        <a:ln w="9525">
          <a:noFill/>
          <a:miter lim="800000"/>
          <a:headEnd/>
          <a:tailEnd/>
        </a:ln>
      </xdr:spPr>
    </xdr:pic>
    <xdr:clientData/>
  </xdr:twoCellAnchor>
  <xdr:twoCellAnchor editAs="oneCell">
    <xdr:from>
      <xdr:col>7</xdr:col>
      <xdr:colOff>95250</xdr:colOff>
      <xdr:row>1</xdr:row>
      <xdr:rowOff>76201</xdr:rowOff>
    </xdr:from>
    <xdr:to>
      <xdr:col>7</xdr:col>
      <xdr:colOff>1933575</xdr:colOff>
      <xdr:row>1</xdr:row>
      <xdr:rowOff>513095</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200900" y="238126"/>
          <a:ext cx="1838325" cy="4368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524375" y="209550"/>
          <a:ext cx="0" cy="114300"/>
        </a:xfrm>
        <a:prstGeom prst="rect">
          <a:avLst/>
        </a:prstGeom>
        <a:noFill/>
        <a:ln w="9525">
          <a:noFill/>
          <a:miter lim="800000"/>
          <a:headEnd/>
          <a:tailEnd/>
        </a:ln>
      </xdr:spPr>
    </xdr:pic>
    <xdr:clientData/>
  </xdr:twoCellAnchor>
  <xdr:twoCellAnchor>
    <xdr:from>
      <xdr:col>2</xdr:col>
      <xdr:colOff>838200</xdr:colOff>
      <xdr:row>1</xdr:row>
      <xdr:rowOff>47625</xdr:rowOff>
    </xdr:from>
    <xdr:to>
      <xdr:col>2</xdr:col>
      <xdr:colOff>1714500</xdr:colOff>
      <xdr:row>1</xdr:row>
      <xdr:rowOff>619125</xdr:rowOff>
    </xdr:to>
    <xdr:pic>
      <xdr:nvPicPr>
        <xdr:cNvPr id="3" name="Picture 2" descr="C:\Documents and Settings\np375151\Desktop\logo\logo\Logo_sura.jpg">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286000" y="209550"/>
          <a:ext cx="0" cy="114300"/>
        </a:xfrm>
        <a:prstGeom prst="rect">
          <a:avLst/>
        </a:prstGeom>
        <a:noFill/>
        <a:ln w="9525">
          <a:noFill/>
          <a:miter lim="800000"/>
          <a:headEnd/>
          <a:tailEnd/>
        </a:ln>
      </xdr:spPr>
    </xdr:pic>
    <xdr:clientData/>
  </xdr:twoCellAnchor>
  <xdr:twoCellAnchor editAs="oneCell">
    <xdr:from>
      <xdr:col>7</xdr:col>
      <xdr:colOff>152400</xdr:colOff>
      <xdr:row>1</xdr:row>
      <xdr:rowOff>85725</xdr:rowOff>
    </xdr:from>
    <xdr:to>
      <xdr:col>7</xdr:col>
      <xdr:colOff>1847850</xdr:colOff>
      <xdr:row>1</xdr:row>
      <xdr:rowOff>488664</xdr:rowOff>
    </xdr:to>
    <xdr:pic>
      <xdr:nvPicPr>
        <xdr:cNvPr id="4" name="Picture 5" descr="C:\Users\xcueva\Documents\GMD\M&amp;I\Oportunidades de Mejora\OM-568 (El gran CANVIO)\Logos\Mejor este logo.jpg">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67625" y="247650"/>
          <a:ext cx="1695450" cy="4029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847965</xdr:colOff>
      <xdr:row>1</xdr:row>
      <xdr:rowOff>104775</xdr:rowOff>
    </xdr:from>
    <xdr:to>
      <xdr:col>2</xdr:col>
      <xdr:colOff>848205</xdr:colOff>
      <xdr:row>1</xdr:row>
      <xdr:rowOff>161926</xdr:rowOff>
    </xdr:to>
    <xdr:pic>
      <xdr:nvPicPr>
        <xdr:cNvPr id="2" name="Picture 2">
          <a:extLst>
            <a:ext uri="{FF2B5EF4-FFF2-40B4-BE49-F238E27FC236}">
              <a16:creationId xmlns:a16="http://schemas.microsoft.com/office/drawing/2014/main" id="{00000000-0008-0000-0D00-000002000000}"/>
            </a:ext>
          </a:extLst>
        </xdr:cNvPr>
        <xdr:cNvPicPr/>
      </xdr:nvPicPr>
      <xdr:blipFill rotWithShape="1">
        <a:blip xmlns:r="http://schemas.openxmlformats.org/officeDocument/2006/relationships" r:embed="rId1"/>
        <a:srcRect t="15941" b="18974"/>
        <a:stretch/>
      </xdr:blipFill>
      <xdr:spPr>
        <a:xfrm>
          <a:off x="1705215" y="266700"/>
          <a:ext cx="1390410" cy="466726"/>
        </a:xfrm>
        <a:prstGeom prst="rect">
          <a:avLst/>
        </a:prstGeom>
        <a:ln w="9360">
          <a:noFill/>
        </a:ln>
      </xdr:spPr>
    </xdr:pic>
    <xdr:clientData/>
  </xdr:twoCellAnchor>
  <xdr:twoCellAnchor>
    <xdr:from>
      <xdr:col>2</xdr:col>
      <xdr:colOff>1400175</xdr:colOff>
      <xdr:row>1</xdr:row>
      <xdr:rowOff>9525</xdr:rowOff>
    </xdr:from>
    <xdr:to>
      <xdr:col>2</xdr:col>
      <xdr:colOff>2276475</xdr:colOff>
      <xdr:row>1</xdr:row>
      <xdr:rowOff>514350</xdr:rowOff>
    </xdr:to>
    <xdr:pic>
      <xdr:nvPicPr>
        <xdr:cNvPr id="4" name="Picture 3" descr="C:\Documents and Settings\np375151\Desktop\logo\logo\Logo_sura.jpg">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257425" y="171450"/>
          <a:ext cx="876300" cy="504825"/>
        </a:xfrm>
        <a:prstGeom prst="rect">
          <a:avLst/>
        </a:prstGeom>
        <a:noFill/>
        <a:ln w="9525">
          <a:noFill/>
          <a:miter lim="800000"/>
          <a:headEnd/>
          <a:tailEnd/>
        </a:ln>
      </xdr:spPr>
    </xdr:pic>
    <xdr:clientData/>
  </xdr:twoCellAnchor>
  <xdr:twoCellAnchor editAs="oneCell">
    <xdr:from>
      <xdr:col>7</xdr:col>
      <xdr:colOff>123825</xdr:colOff>
      <xdr:row>1</xdr:row>
      <xdr:rowOff>57150</xdr:rowOff>
    </xdr:from>
    <xdr:to>
      <xdr:col>7</xdr:col>
      <xdr:colOff>1981200</xdr:colOff>
      <xdr:row>1</xdr:row>
      <xdr:rowOff>498571</xdr:rowOff>
    </xdr:to>
    <xdr:pic>
      <xdr:nvPicPr>
        <xdr:cNvPr id="5" name="Picture 5" descr="C:\Users\xcueva\Documents\GMD\M&amp;I\Oportunidades de Mejora\OM-568 (El gran CANVIO)\Logos\Mejor este logo.jpg">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82050" y="219075"/>
          <a:ext cx="1857375" cy="441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847965</xdr:colOff>
      <xdr:row>1</xdr:row>
      <xdr:rowOff>11206</xdr:rowOff>
    </xdr:from>
    <xdr:to>
      <xdr:col>2</xdr:col>
      <xdr:colOff>848285</xdr:colOff>
      <xdr:row>1</xdr:row>
      <xdr:rowOff>161925</xdr:rowOff>
    </xdr:to>
    <xdr:pic>
      <xdr:nvPicPr>
        <xdr:cNvPr id="2" name="Picture 2">
          <a:extLst>
            <a:ext uri="{FF2B5EF4-FFF2-40B4-BE49-F238E27FC236}">
              <a16:creationId xmlns:a16="http://schemas.microsoft.com/office/drawing/2014/main" id="{00000000-0008-0000-0E00-000002000000}"/>
            </a:ext>
          </a:extLst>
        </xdr:cNvPr>
        <xdr:cNvPicPr/>
      </xdr:nvPicPr>
      <xdr:blipFill>
        <a:blip xmlns:r="http://schemas.openxmlformats.org/officeDocument/2006/relationships" r:embed="rId1"/>
        <a:stretch/>
      </xdr:blipFill>
      <xdr:spPr>
        <a:xfrm>
          <a:off x="1705215" y="173131"/>
          <a:ext cx="1314770" cy="607919"/>
        </a:xfrm>
        <a:prstGeom prst="rect">
          <a:avLst/>
        </a:prstGeom>
        <a:ln w="9360">
          <a:noFill/>
        </a:ln>
      </xdr:spPr>
    </xdr:pic>
    <xdr:clientData/>
  </xdr:twoCellAnchor>
  <xdr:twoCellAnchor>
    <xdr:from>
      <xdr:col>2</xdr:col>
      <xdr:colOff>1400175</xdr:colOff>
      <xdr:row>1</xdr:row>
      <xdr:rowOff>9525</xdr:rowOff>
    </xdr:from>
    <xdr:to>
      <xdr:col>2</xdr:col>
      <xdr:colOff>2276475</xdr:colOff>
      <xdr:row>1</xdr:row>
      <xdr:rowOff>514350</xdr:rowOff>
    </xdr:to>
    <xdr:pic>
      <xdr:nvPicPr>
        <xdr:cNvPr id="4" name="Picture 3" descr="C:\Documents and Settings\np375151\Desktop\logo\logo\Logo_sura.jpg">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257425" y="171450"/>
          <a:ext cx="876300" cy="504825"/>
        </a:xfrm>
        <a:prstGeom prst="rect">
          <a:avLst/>
        </a:prstGeom>
        <a:noFill/>
        <a:ln w="9525">
          <a:noFill/>
          <a:miter lim="800000"/>
          <a:headEnd/>
          <a:tailEnd/>
        </a:ln>
      </xdr:spPr>
    </xdr:pic>
    <xdr:clientData/>
  </xdr:twoCellAnchor>
  <xdr:twoCellAnchor editAs="oneCell">
    <xdr:from>
      <xdr:col>7</xdr:col>
      <xdr:colOff>190500</xdr:colOff>
      <xdr:row>1</xdr:row>
      <xdr:rowOff>66675</xdr:rowOff>
    </xdr:from>
    <xdr:to>
      <xdr:col>7</xdr:col>
      <xdr:colOff>1800225</xdr:colOff>
      <xdr:row>1</xdr:row>
      <xdr:rowOff>449240</xdr:rowOff>
    </xdr:to>
    <xdr:pic>
      <xdr:nvPicPr>
        <xdr:cNvPr id="5" name="Picture 5" descr="C:\Users\xcueva\Documents\GMD\M&amp;I\Oportunidades de Mejora\OM-568 (El gran CANVIO)\Logos\Mejor este logo.jpg">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963025" y="228600"/>
          <a:ext cx="1609725" cy="3825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847965</xdr:colOff>
      <xdr:row>1</xdr:row>
      <xdr:rowOff>11206</xdr:rowOff>
    </xdr:from>
    <xdr:to>
      <xdr:col>2</xdr:col>
      <xdr:colOff>848285</xdr:colOff>
      <xdr:row>1</xdr:row>
      <xdr:rowOff>161925</xdr:rowOff>
    </xdr:to>
    <xdr:pic>
      <xdr:nvPicPr>
        <xdr:cNvPr id="2" name="Picture 2">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a:stretch/>
      </xdr:blipFill>
      <xdr:spPr>
        <a:xfrm>
          <a:off x="1705215" y="173131"/>
          <a:ext cx="320" cy="150719"/>
        </a:xfrm>
        <a:prstGeom prst="rect">
          <a:avLst/>
        </a:prstGeom>
        <a:ln w="9360">
          <a:noFill/>
        </a:ln>
      </xdr:spPr>
    </xdr:pic>
    <xdr:clientData/>
  </xdr:twoCellAnchor>
  <xdr:twoCellAnchor>
    <xdr:from>
      <xdr:col>2</xdr:col>
      <xdr:colOff>1400175</xdr:colOff>
      <xdr:row>1</xdr:row>
      <xdr:rowOff>9525</xdr:rowOff>
    </xdr:from>
    <xdr:to>
      <xdr:col>2</xdr:col>
      <xdr:colOff>2276475</xdr:colOff>
      <xdr:row>1</xdr:row>
      <xdr:rowOff>514350</xdr:rowOff>
    </xdr:to>
    <xdr:pic>
      <xdr:nvPicPr>
        <xdr:cNvPr id="4" name="Picture 3" descr="C:\Documents and Settings\np375151\Desktop\logo\logo\Logo_sura.jpg">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257425" y="171450"/>
          <a:ext cx="876300" cy="504825"/>
        </a:xfrm>
        <a:prstGeom prst="rect">
          <a:avLst/>
        </a:prstGeom>
        <a:noFill/>
        <a:ln w="9525">
          <a:noFill/>
          <a:miter lim="800000"/>
          <a:headEnd/>
          <a:tailEnd/>
        </a:ln>
      </xdr:spPr>
    </xdr:pic>
    <xdr:clientData/>
  </xdr:twoCellAnchor>
  <xdr:twoCellAnchor editAs="oneCell">
    <xdr:from>
      <xdr:col>7</xdr:col>
      <xdr:colOff>123825</xdr:colOff>
      <xdr:row>1</xdr:row>
      <xdr:rowOff>85725</xdr:rowOff>
    </xdr:from>
    <xdr:to>
      <xdr:col>7</xdr:col>
      <xdr:colOff>1866900</xdr:colOff>
      <xdr:row>1</xdr:row>
      <xdr:rowOff>499982</xdr:rowOff>
    </xdr:to>
    <xdr:pic>
      <xdr:nvPicPr>
        <xdr:cNvPr id="5" name="Picture 5" descr="C:\Users\xcueva\Documents\GMD\M&amp;I\Oportunidades de Mejora\OM-568 (El gran CANVIO)\Logos\Mejor este logo.jpg">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896350" y="247650"/>
          <a:ext cx="1743075" cy="4142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5</xdr:col>
      <xdr:colOff>714375</xdr:colOff>
      <xdr:row>1</xdr:row>
      <xdr:rowOff>47625</xdr:rowOff>
    </xdr:from>
    <xdr:to>
      <xdr:col>5</xdr:col>
      <xdr:colOff>609600</xdr:colOff>
      <xdr:row>1</xdr:row>
      <xdr:rowOff>542925</xdr:rowOff>
    </xdr:to>
    <xdr:pic>
      <xdr:nvPicPr>
        <xdr:cNvPr id="2" name="Picture 1" descr="C:\Documents and Settings\np375151\Desktop\logo\logo\logo_gmd.jpg">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905500" y="209550"/>
          <a:ext cx="0" cy="4953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685800</xdr:colOff>
          <xdr:row>5</xdr:row>
          <xdr:rowOff>76200</xdr:rowOff>
        </xdr:from>
        <xdr:to>
          <xdr:col>7</xdr:col>
          <xdr:colOff>200025</xdr:colOff>
          <xdr:row>9</xdr:row>
          <xdr:rowOff>133350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10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1" i="0" u="none" strike="noStrike" baseline="0">
                  <a:solidFill>
                    <a:srgbClr val="FF0000"/>
                  </a:solidFill>
                  <a:latin typeface="Arial"/>
                  <a:cs typeface="Arial"/>
                </a:rPr>
                <a:t>"Hacer Click"          </a:t>
              </a:r>
              <a:r>
                <a:rPr lang="es-PE" sz="1000" b="0" i="0" u="none" strike="noStrike" baseline="0">
                  <a:solidFill>
                    <a:srgbClr val="000000"/>
                  </a:solidFill>
                  <a:latin typeface="Arial"/>
                  <a:cs typeface="Arial"/>
                </a:rPr>
                <a:t>para Actualizar Registros</a:t>
              </a:r>
            </a:p>
          </xdr:txBody>
        </xdr:sp>
        <xdr:clientData fPrintsWithSheet="0"/>
      </xdr:twoCellAnchor>
    </mc:Choice>
    <mc:Fallback/>
  </mc:AlternateContent>
  <xdr:twoCellAnchor>
    <xdr:from>
      <xdr:col>1</xdr:col>
      <xdr:colOff>1059656</xdr:colOff>
      <xdr:row>1</xdr:row>
      <xdr:rowOff>47624</xdr:rowOff>
    </xdr:from>
    <xdr:to>
      <xdr:col>2</xdr:col>
      <xdr:colOff>309562</xdr:colOff>
      <xdr:row>1</xdr:row>
      <xdr:rowOff>643713</xdr:rowOff>
    </xdr:to>
    <xdr:pic>
      <xdr:nvPicPr>
        <xdr:cNvPr id="6" name="Picture 5" descr="C:\Documents and Settings\np375151\Desktop\logo\logo\Logo_sura.jpg">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452562" y="214312"/>
          <a:ext cx="1166813" cy="596089"/>
        </a:xfrm>
        <a:prstGeom prst="rect">
          <a:avLst/>
        </a:prstGeom>
        <a:noFill/>
        <a:ln w="9525">
          <a:noFill/>
          <a:miter lim="800000"/>
          <a:headEnd/>
          <a:tailEnd/>
        </a:ln>
      </xdr:spPr>
    </xdr:pic>
    <xdr:clientData/>
  </xdr:twoCellAnchor>
  <xdr:twoCellAnchor editAs="oneCell">
    <xdr:from>
      <xdr:col>7</xdr:col>
      <xdr:colOff>0</xdr:colOff>
      <xdr:row>1</xdr:row>
      <xdr:rowOff>0</xdr:rowOff>
    </xdr:from>
    <xdr:to>
      <xdr:col>9</xdr:col>
      <xdr:colOff>200025</xdr:colOff>
      <xdr:row>2</xdr:row>
      <xdr:rowOff>7626</xdr:rowOff>
    </xdr:to>
    <xdr:pic>
      <xdr:nvPicPr>
        <xdr:cNvPr id="7" name="Picture 6">
          <a:extLst>
            <a:ext uri="{FF2B5EF4-FFF2-40B4-BE49-F238E27FC236}">
              <a16:creationId xmlns:a16="http://schemas.microsoft.com/office/drawing/2014/main" id="{00000000-0008-0000-1000-000007000000}"/>
            </a:ext>
          </a:extLst>
        </xdr:cNvPr>
        <xdr:cNvPicPr>
          <a:picLocks noChangeAspect="1"/>
        </xdr:cNvPicPr>
      </xdr:nvPicPr>
      <xdr:blipFill rotWithShape="1">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r="13020"/>
        <a:stretch/>
      </xdr:blipFill>
      <xdr:spPr>
        <a:xfrm>
          <a:off x="9763125" y="166688"/>
          <a:ext cx="1866900" cy="68628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4</xdr:col>
      <xdr:colOff>676275</xdr:colOff>
      <xdr:row>16</xdr:row>
      <xdr:rowOff>28575</xdr:rowOff>
    </xdr:from>
    <xdr:to>
      <xdr:col>9</xdr:col>
      <xdr:colOff>409575</xdr:colOff>
      <xdr:row>30</xdr:row>
      <xdr:rowOff>76200</xdr:rowOff>
    </xdr:to>
    <xdr:graphicFrame macro="">
      <xdr:nvGraphicFramePr>
        <xdr:cNvPr id="1687" name="Chart 1">
          <a:extLst>
            <a:ext uri="{FF2B5EF4-FFF2-40B4-BE49-F238E27FC236}">
              <a16:creationId xmlns:a16="http://schemas.microsoft.com/office/drawing/2014/main" id="{00000000-0008-0000-1100-00009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4</xdr:col>
      <xdr:colOff>419100</xdr:colOff>
      <xdr:row>1</xdr:row>
      <xdr:rowOff>85725</xdr:rowOff>
    </xdr:from>
    <xdr:to>
      <xdr:col>9</xdr:col>
      <xdr:colOff>647700</xdr:colOff>
      <xdr:row>15</xdr:row>
      <xdr:rowOff>95250</xdr:rowOff>
    </xdr:to>
    <xdr:graphicFrame macro="">
      <xdr:nvGraphicFramePr>
        <xdr:cNvPr id="1688" name="Chart 3">
          <a:extLst>
            <a:ext uri="{FF2B5EF4-FFF2-40B4-BE49-F238E27FC236}">
              <a16:creationId xmlns:a16="http://schemas.microsoft.com/office/drawing/2014/main" id="{00000000-0008-0000-1100-00009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4179.474771064815" createdVersion="4" refreshedVersion="6" minRefreshableVersion="3" recordCount="690">
  <cacheSource type="worksheet">
    <worksheetSource ref="A3:G693" sheet="Consolidado"/>
  </cacheSource>
  <cacheFields count="7">
    <cacheField name="Item" numFmtId="0">
      <sharedItems containsSemiMixedTypes="0" containsString="0" containsNumber="1" minValue="0.1" maxValue="685" count="690">
        <n v="0.1"/>
        <n v="0.2"/>
        <n v="0.3"/>
        <n v="0.4"/>
        <n v="0.5"/>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sharedItems>
    </cacheField>
    <cacheField name="Tipo de Defecto" numFmtId="0">
      <sharedItems containsMixedTypes="1" containsNumber="1" containsInteger="1" minValue="0" maxValue="0" count="59">
        <n v="0"/>
        <s v="Documentación"/>
        <s v="Estandarización"/>
        <s v="Técnico"/>
        <s v="Homologación/Versionamiento"/>
        <s v="Funcionalidad"/>
        <e v="#N/A"/>
        <s v="Homologación/ Versionamiento"/>
        <s v="Estandarización "/>
        <s v="Documentación."/>
        <s v="Estandarización."/>
        <s v="Técnico."/>
        <s v="Configuración"/>
        <s v="Incluye sección de objetos para el archivo compilado BAR para el pase automático"/>
        <s v="Las instrucciones permiten realizar el pase a Testing y a Producción"/>
        <s v="¿La cantidad de objetos indicados en PR corresponde a los subidos en el Harvest?"/>
        <s v="¿Las rutas indicadas para los objetos corresponde a la ruta del Harvest?"/>
        <s v="Nombres de variables nemotécnico y con prefijos según tipo de dato"/>
        <s v="Nombres de constantes en Mayúsculas"/>
        <s v="El entorno de los nodos de integración garantiza que los nombres sean únicos y no presentar duplicados o confusión."/>
        <s v="Se incluye archivos para la declaración de constantes"/>
        <s v="Los esquema (paquete) esta compuesto por letras minusculas y separador por punto"/>
        <s v="Se declara cada variable en su propia línea"/>
        <s v="Se evita la coma para declaraciones o instrucciones múltiples"/>
        <s v="Los IF tienen la forma estándar"/>
        <s v="Las sentencias FOR, WHILE y SWITCH tienen la forma estándar"/>
        <s v="Se ha documentado en la parte superior el cambio según el formato estándar"/>
        <s v="Se usa includes para cabecera de comentario"/>
        <s v="Se incluyen bloques de comentarios para lógica compleja o Bloques de instrucciones"/>
        <s v="Se usa el tipo Big Decimal para información de montos monetarios"/>
        <s v="La fuente de archivos siempre deben tener nombre con la terminación &quot;.esql&quot;"/>
        <s v="Siempre comienza con CREATE tipo_nodo MODULE y debe finalizar con la sentencia END MODULE"/>
        <s v="El nombre del campo de referencia debe comienza con una letra mayúscula"/>
        <s v="En caso de nuevos desarrollos no existe codificación de reglas de negocio o de acceso a Base de datos"/>
        <s v="Todas las palabras claves en mayúsculas"/>
        <s v="Descripción de errores esperados se encuentran en los archivos Log "/>
        <s v="Mensaje de error en el archivo Log tiene formato estándar (Fecha, hora, usuario, sesión, error, etc.)"/>
        <s v="Se evita dejar impresión mediante el Nodo Trace para realizar seguimiento"/>
        <s v="Tiene un manejo único para mostrar los mensajes de error en tiempo de ejecución"/>
        <s v="Validación de Nodos para accesos"/>
        <s v="Para accesos a aplicaciones internas, se valida acceso con rutina general usando LDAP"/>
        <s v="Se ha usado Nodos como filtro para acceder a consumir servicios."/>
        <s v="El tamaño de los URLs no exceden los 120 caracteres"/>
        <s v="Los passwords son manejados con encriptación"/>
        <s v="La aplicación corre con los privilegios mínimos que requiere para su ejecución"/>
        <s v="Ha sido desarrollado en IBM Integration Toolkit 9.0.0.2 o Superior"/>
        <s v="Ha sido desarrollado en IBM Integration Explorer 9.0.0.2 o Superior"/>
        <s v="Ha sido desarrollado en IBM Integration Console 9.0.0.2 o Superior"/>
        <s v="El Workspace es completo, no es necesario levantar otros archivos para armar ambiente desarrollo"/>
        <s v="Se ha ejecutado  comandos linux para configurar entorno de desarrollo"/>
        <s v="Cada archivo ha sido entregado con su fuente modificado en el directorio correspondiente"/>
        <s v="Coincide el número de versión Harvest de archivos compilados .bar"/>
        <s v="Coincide el número de versión Harvest de archivos de archivos de configuraciones (xml y sh)"/>
        <s v="Se ha actualizado la documentación prevista en la evaluación de la orden de trabajo o proyecto"/>
        <s v="Se ha incluido el documento de casos de pruebas con los escenarios previstos"/>
        <s v="Una persona distinta al programador ha realizado comparación de fuentes modificados"/>
        <s v="Los cambios de fuente se muestran relacionados con las especificaciones funcionales"/>
        <s v="Se ha evitado la introducción de hardcodes"/>
        <s v="Se ha hecho revisión de fuentes buscando posible código fraudulento"/>
      </sharedItems>
    </cacheField>
    <cacheField name="Puntos de Control" numFmtId="0">
      <sharedItems containsBlank="1" containsMixedTypes="1" containsNumber="1" containsInteger="1" minValue="0" maxValue="0" count="324">
        <n v="0"/>
        <s v="Se ha considerado la carga de la tabla de valores para campos código nuevos."/>
        <s v="Se ha considerado la carga de la tabla de configuración del sistema (CONARC)"/>
        <s v="Se incluyen instrucciones para habilitar acceso a nuevos programas con TRVALSEG activo"/>
        <s v="Se ha evitado indicaciones con comandos CRTPF, CRTLF, CRTPFM, CRTDUPOBJ"/>
        <s v="¿Si es una OT de AS400, se ha indicado el Nro. De Solicitud de Pase ?"/>
        <s v="Se incluyeron las pantallas de los objetos modificados en la solicitud de pase."/>
        <s v="¿Si se creó una nueva opción en el menú se hizo referencia al programa en el PR?"/>
        <s v="Solicitud(es) de Pase se encuentran en estado cerrado"/>
        <s v="Solicitud se encuentra asociada al Requerimiento y OT correspondiente"/>
        <s v="Se encuentran todos los objetos previstos en la última versión del documento de diseño"/>
        <s v="Objetos se encuentran en Origen Estándar"/>
        <s v="Fuentes se encuentran en Origen Estándar"/>
        <s v="Destino PENSWRK en Producción para archivos de trabajo"/>
        <s v="Para cambios de estructura de ARCHIVO se han incluido todos los programas con uso que lo refieren"/>
        <s v="Si se ha cambiado la estructura de un archivo que está incluido en la relación de DataMirror, se ha indicado en el PR que debe ser retirado de este para poder ser modificado?"/>
        <s v="Para el caso de archivos nuevos se han incluido estos en la solicitud de pase"/>
        <s v="Todo programa modificado se ha incluido con su pantalla"/>
        <s v="Cuando se usa comando CLRPFM, se han indicado  los permisos de usuarios que usarán el archivo"/>
        <s v="En el caso de opciones nuevas en MENUPRO/PENSION se ha coordinado está con el Consultor."/>
        <s v="En el caso de opciones nuevas se ha especificado a que grupo de usuarios debe estar asignada la opción"/>
        <s v="Programas CLs (*PGM CL) con nombre estándar - CL AAA NNN XX"/>
        <s v="Querys (*QRYDFN) con nombre estándar - QRY AAA NNN"/>
        <s v="Procedures SQL (*PGM CLE) con nombre estándar - P APLI NNN"/>
        <s v="Programas RPG SNAP de nombre TR AAA NNN, con AAA módulo conocido"/>
        <s v="Todos los archivos declarados son usados (verificar en el documento AS400_Solicitud_de_Pase_OTXXXX.xls si es antiguo o no)"/>
        <s v="Los archivos declarados se encuentran en la librería PRODU o en el pase actual"/>
        <s v="Los archivos declarados con acceso A se usan con instrucciones AGREGAR, GRABAR o BORRAR"/>
        <s v="Todas las nuevas variables y arreglos tienen descripción"/>
        <s v="Tiene la cabecera estándar "/>
        <s v="Manejo de Opciones Estándar (2=Cambiar, 4=Eliminar, 5=Consultar, 12=ver detalles, etc.)"/>
        <s v="Manejo estándar Teclas de Función (F4=Lista, F6=Agregar, F10=Confirmar, etc.)"/>
        <s v="Validación de campos de salida es con &quot;Verificación por Módulo&quot;"/>
        <s v="Errores de validación en pantalla son mostrados con instrucciones MENSAJE y luego ERROR"/>
        <s v="En caso de error el cursor se ubica en el campo con error y este se muestra con contraste invertido"/>
        <s v="Validar que las pantallas sean invocadas en el programa"/>
        <s v="Pantallas no generadas por Snap están ubicadas en archivo fuente QDDISRC "/>
        <s v="Manejo estándar de cabecera de reporte"/>
        <s v="Validar que los formatos de impresión sean invocados en el programa"/>
        <s v="Uso de rutina INICIA con llamadas a RPVALSIS, TRINIFYP y TRVALSEG"/>
        <s v="Existe descripción del cambio en la rutina INICIA según formato previsto (Tomar Formato del modulo INICIA del programa MASCARA)"/>
        <s v="Todas las rutinas que no son MAIN son llamadas por otra rutina"/>
        <s v="Rutinas complejas cuentan con textos de apoyo (autodocumentación)"/>
        <s v="Búsquedas en archivos haciendo uso de los índices de la manera más eficiente"/>
        <s v="Programas no generadas por Snap están ubicadas en archivo fuente QRPISRC "/>
        <s v="Existe descripción del cambio en la parte superior del fuente"/>
        <s v="CLs de ejecución Batch terminan enviando SNDBRKMSG"/>
        <s v="CLs no manipula lista de Bibliotecas con CHGLIBL, ni invocar programas especificando biblioteca"/>
        <s v="Fuentes se encuentran en Origen Estándar (QCLISRC)"/>
        <s v="El programa (CL 1) que llame a la submisión del job deberá obtener el nombre del job interactivo (sesión) que lo submite mediante el comando RTVJOBA"/>
        <s v="El programa (CL 1) llamará a la ejecución del job (CL 2) mediante el comando SBMJOB pasando como parámetro el nombre del job interactivo que submite y LOG(4 00 *SECLVL) "/>
        <s v="Todas las nuevas variables tienen descripción"/>
        <s v="Para nuevos archivos maestros y permanentes se respeta la 3ra. Forma Normal"/>
        <s v="Para los campos solo se usa tipos CHAR, PACKED o ZONED"/>
        <s v="Campos fecha en CHAR(8) formato AAAAMMDD y Periodo en CHAR(6) formato AAAAMM"/>
        <s v="Montos monetarios en PACKED con 13 enteros y 2 decimales"/>
        <s v="Cuando se requiere auditoria de cambios al archivo, se guarda fecha, hora y usuario actualización"/>
        <s v="Se ha establecido vistas que permitan acotar las búsquedas más comunes"/>
        <s v="Se ha colocado el nombre de la entidad creada en las 6 ultimas posiciones de la descripción."/>
        <s v="Los fuentes están ubicados en el archivo fuente QSQLSRC"/>
        <s v="Existe descripción del cambio en el procedure"/>
        <s v="No existen referencias explicitas a Bibliotecas"/>
        <s v="Todos los Cursores declarados son usados"/>
        <s v="En las sentencias SELECT se agilizan las uniones de tablas (JOIN) y los filtros (WHERE) haciendo uso de campos índice."/>
        <s v="Las sentencias FETCH contienen la misma cantidad de variables que el número de campos seleccionados en el CURSOR."/>
        <s v="Los reportes emitidos con Querys muestran en la parte inferior el nombre del Query"/>
        <s v="Los Querys se encuentra en origen estándar (QUERYSPROD)"/>
        <s v="Los accesos a datos restringidos de un cliente (RIA o similares) son manejados con el TRSIS300"/>
        <s v="Para aplicaciones con usuarios de servicio se han considerado los GRANTS mínimos requeridos"/>
        <s v="Archivos registrados por Journal tienen el Parámetro OMTJRNE(*OPNCLO)"/>
        <s v="Para los programas RPG ILE se incluye una descripción del cambio"/>
        <s v="Se ha considerado la lectura apropiada no repetitiva de archivos para optimizar el acceso y performance del programa."/>
        <s v="OT se encuentra en Pruebas Internas"/>
        <s v="Se ha actualizado la documentación prevista en la evaluación de la orden de trabajo o proyecto"/>
        <s v="Se ha incluido el documento de casos de pruebas con los escenarios previstos"/>
        <s v="Se encuentra el documento AS400_Solicitud_de_Pase_OTXXXX.xls "/>
        <s v="Una persona distinta al programador ha realizado comparación de fuentes modificados"/>
        <s v="Los cambios de fuente se muestran relacionados con las especificaciones funcionales"/>
        <s v="Se ha evitado la introducción de hardcodes"/>
        <s v="Se ha hecho revisión buscando posible código fraudulento"/>
        <s v="El archivo registrado con el trigger tiene activo el Journal."/>
        <s v="Para el caso de uso de RPG nativo (RPG ILE) con el trigger, ¿Se ha incluido el programa RPG en el artefacto Solicitud de pase?"/>
        <s v="¿Se ha usado SQL para la ejecución de los triggers?; de ser el caso, validar que el Script se encuentre especificado en el PR."/>
        <s v="Incluye sección de objetos MS-SQL a pasar O componente(s) para el pase automático"/>
        <s v="Objetos considerados en pase son entregados por Harvest"/>
        <s v="Cuando se ha cambiado la estructura de un archivo se ha incluido el componente de reformateo"/>
        <s v="Se ha incluido las instrucciones para ejecución de los Scripts de actualización de datos requeridos"/>
        <s v="¿La cantidad de objetos indicados en PR corresponde a los subidos en el Harvest y viceversa?"/>
        <s v="¿Las rutas indicadas para los objetos corresponde a la ruta del Harvest?"/>
        <s v="¿Para el caso de SCRIPT, se ha publicado en la ruta correcta de acuerdo al estándar.?"/>
        <s v="SOLO PARA EL CASO DE PREMIUM: Se ha indicado en la columna Destino todas las BDs donde se debe compilar el Stored Procedure. Ejemplo: Prem_conta03 y Prem_conta_04 con el fin de mantener la homologación de BDs?"/>
        <s v="Nombres de tablas nuevas descriptivos y singulares (ej: SOLICITUD_TRASPASO_ENTRADA)"/>
        <s v="Nombres de campos nuevos con forma DATO_CALIFICADOR_SUJETO"/>
        <s v="Nombres de índices nuevos con información de campos componentes"/>
        <s v="Nombres de triggers nuevos con forma APL_INS/ELI/ACT_NOMBRETABLA_ANTES/DESPUES "/>
        <s v="Nombres de procedures nuevos con forma APL_ACCION[_PROCESO]_ENTIDAD_CALIFICADOR"/>
        <s v="Nombres de Jobs con formato JOB_APL_Descripción del Job"/>
        <s v="La nomenclatura de los script, sigue el estándar:_x000a_Script_OT9999_N.SQL?"/>
        <s v="Para nuevos archivos maestros permanentes se respeta la 3ra. Forma normal"/>
        <s v="Las tablas tienen índice primario (a excepción de las tablas logs)"/>
        <s v="Se ha evitado el uso del tipo Float"/>
        <s v="Campos fecha en formato DATE (si no requiere registrar la hora) o DATETIME(si requiere registrar la hora) y Periodo formato AAAAMM"/>
        <s v="Campos hora en formato TIME"/>
        <s v="Para datos de última actualización se están grabando los datos de auditoria (Fecha, usuario) con SYSTEM_USER y GETDATE()"/>
        <s v="Campos con valor monetario del tipo DECIMAL(15,2)"/>
        <s v="Se usa la sentencia EXECUTE solo en caso de acceso a información de una base de datos distinta o para ejecutar procesos sobre la misma BD"/>
        <s v="Declaración de variables con nombres que permitan la mantenibilidad"/>
        <s v="Nombres cortos para variables que recorren bucles (@i, @j)"/>
        <s v="Evitar el uso de variables tipo tabla"/>
        <s v="Sentencias SELECT se han escrito en forma estructurada y no de corrido"/>
        <s v="Uso de Hint WITH(NOLOCK) para evitar bloqueo de tablas"/>
        <s v="Las instrucciones SELECT con OR, &lt;&gt; , NOT, IN tienen condición adicional &quot;=&quot; que limita búsqueda"/>
        <s v="Condiciones con SUBSTRING en SELECT tienen condición adicional &quot;=&quot; que limita búsqueda"/>
        <s v="Se evita el uso de CURSOR, se prefiere la creación de tablas temporales con un campo IDENTITY que permita recorrer fila por fila la tabla temporal"/>
        <s v="Para Stored Procedures Nuevos se incluye cabecera con objetivo y parámetros del SP."/>
        <s v="Se ha incluido la descripción del cambio en la parte superior según formato previsto."/>
        <s v="Se han incluido comentarios que permitan entender algoritmos complejos, Bloques de código"/>
        <s v="¿Los SP, cuentan con sus permisos de acuerdo a los roles permitidos (para SP ejecutados por aplicaciones)?"/>
        <s v="Esta implementado el manejo de errores con TRY..CATCH"/>
        <s v="Los views no tienen complejidad escondida ni lógica en exceso"/>
        <s v="Para aplicaciones on-line se ha definido un rol en la Base de Datos"/>
        <s v="Para aplicaciones on-line los scripts de los procedures tienen GRANT a este rol"/>
        <s v="No existen autorizaciones para ejecución de procedures directamente a usuarios o grupos"/>
        <s v="Se han incluido todos los objetos considerados en la etapa de diseño"/>
        <s v="Existe un script por cada objetos del tipo STORED PROCEDURE, TABLE, VIEW nuevo o modificado"/>
        <s v="Los scripts de Tablas se han generado con sus índices, foreign keys, defaults y constraints"/>
        <s v="Los scripts han sido generados con Windows Text (Ansi)"/>
        <s v="Los scripts han sido incluidos en su subdirectorio correcto en Harvest"/>
        <s v="Se han incluido el documento de casos de pruebas con los escenarios previstos"/>
        <s v="¿Se ha colocado la cabecera de creación o modificación de acuerdo al estándar?"/>
        <s v="¿Se ha colocado la sentencia USE Base_Datos?"/>
        <s v="¿Para las sentencias SELECT se han escrito en forma estructurada y no de corrido?"/>
        <s v="¿Se ha utilizado condicionales para los casos de ALTER TABLE para agregar nuevos campos (Para evitar que se obtenga por error de campo ya existente)?"/>
        <s v="¿Se ha utilizado condicionales para los casos de los INSERT  a tablas de parámetros (para evitar que salga error por violación de PK al momento de ejecutar) ?"/>
        <s v="¿Se ha colocado la Nomenclatura de acuerdo a: _x000a_Nombre del sinónimo  [ESQUEMA].[BD_ORIGEN]_[NOMBRE_OBJETO] _x000a_Nombre del script  [ESQUEMA].[BD_ORIGEN]_[NOMBRE_OBJETO].sql ?"/>
        <s v="¿El sinónimo hace referencia a un objeto en producción?_x000a_"/>
        <e v="#N/A"/>
        <s v="Incluye Nombre Instalador O sección de objetos a instalar O componente(s) para el pase automático "/>
        <s v="Se hace referencia a un Manual de Instalación o se incluye sección de Instrucciones de Instalación"/>
        <s v="La versión del Ejecutable indicada en el PR coincide con la versión del ejecutable subido al Harvest"/>
        <s v="Solo para Premium: En la sección Comentarios del PR, para los pasos de instalación, se debe indicar únicamente la de tipo manual."/>
        <s v="Para nuevas variables se ha seguido la nomenclatura estándar &lt;prefijo&gt;&lt;nombre&gt;"/>
        <s v="Para nuevos controles se ha modificado el nombre por defecto y usado &lt;prefijo&gt;&lt;nombre&gt;"/>
        <s v="Para nuevas constantes se ha usado el formato estándar"/>
        <s v="Se ha cumplido las convenciones para nombres de nuevos menús (Secuencia y nombre)"/>
        <s v="Para nuevas rutinas se han usado verbos y forma estándar (ej: MostrarTotal)"/>
        <s v="Cada una de las variables nuevas ha sido declarada en una línea diferente"/>
        <s v="Se ha usado el Option Base 0 para los nuevos arreglos"/>
        <s v="Para nuevos desarrollos la conexión a Base de Datos es mediante ADO, utilizando ODBC"/>
        <s v="No se ha usado el objeto UserConnection para nuevas llamadas a procedimientos en Base de Datos"/>
        <s v="Cada rutina nueva contiene un comentario sobre lo que hace la misma "/>
        <s v="La declaración de las variables nuevas de uso no trivial tiene un comentario descriptivo"/>
        <s v="Se ha incluido en la parte superior el comentario estándar sobre los cambios efectuados"/>
        <s v="Se ha evitado codificar al interior de los controles cualquier código diferente a una llamada a procedimiento"/>
        <s v="¿Toda lógica de negocio está programada en la Base de Datos bajo procedimientos o funciones?"/>
        <s v="Se ha usado indentación al interior de las rutinas para mejor legibilidad del código"/>
        <s v="Para el caso de ventanas nuevas siguen estás los estándares de la aplicación"/>
        <s v="Para grandes cambios o nuevas aplicaciones se ha realizado el checklist de seguridad"/>
        <s v="Para aplicaciones Cliente-Servidor la seguridad esta basado en el usuario Windows y Grupo"/>
        <s v="Cuando se cambian fuentes se ha entregado una nueva versión del ejecutable"/>
        <s v="Cuando se entrega una nueva versión del ejecutable se ha entregado cambios de fuentes"/>
        <s v="Se ha entregado un nuevo instalador cuando se entrega un nuevo ejecutable"/>
        <s v="¿Para el caso de reportes nuevos, éstos han sido realizado a través de un Crystal Report y no desde el código VB?. Salvo excepciones (P.E. Si se requiere tener control sobre la impresora)"/>
        <s v="¿El reporte en Crystal Report tiene su fuente de datos en un Stored Procedure?"/>
        <s v="Todo reporte Crystal Report debe estar en Harvest en las rutas Fuentes y Ejecutables."/>
        <s v="Se ha seguido el Patrón MVC (Modelo - Vista - Controlador) para aplicaciones nuevas"/>
        <s v="Se ha usado STRUTS (con JSTL o TILES) para la lógica de Presentación"/>
        <s v="Se ha usado STRUTS para la lógica de control"/>
        <s v="Para nuevas aplicaciones se ha usado SPRING para la lógica de negocio"/>
        <s v="Se ha usado el patrón DAO para la programación del acceso a datos usando JDBC"/>
        <s v="Todos los accesos a bases de datos son vía Stored Procedures"/>
        <s v="Incluye sección de objetos para websphere O EAR O componente(s) para el pase automático"/>
        <s v="Las instrucciones permiten realizar el pase a Testing y a Producción"/>
        <s v="¿La cantidad de objetos indicados en PR corresponde a los subidos en el Harvest?"/>
        <s v="Nombres de variables nemotécnico y con prefijos según tipo de dato"/>
        <s v="Nombres de constantes en Mayúsculas"/>
        <s v="Nombres de clases según estándar SUN (ej: NombreClase)"/>
        <s v="Nombres de métodos según estándar SUN, inicio con minúscula (ej: getBackground)"/>
        <s v="Nombre de paquete con forma estándar (ej: com.integra.apli.modulo1….)"/>
        <s v="Se declara cada variable en su propia línea"/>
        <s v="Se evita la coma para declaraciones o instrucciones múltiples"/>
        <s v="Los IF tienen la forma estándar"/>
        <s v="Las sentencias FOR, WHILE y SWITCH tienen la forma estándar"/>
        <s v="Se usa sentencia finally en statements que manejan conexión a BD"/>
        <s v="Se ha documentado en la parte superior el cambio según el formato estándar"/>
        <s v="Las nuevas clases, métodos y atributos se encuentran autodocumentadas según Javadoc"/>
        <s v="Se incluyen bloques de comentarios para lógica compleja o Bloques de instrucciones"/>
        <s v="Se usa el tipo Big Decimal para información de montos monetarios"/>
        <s v="Se usa includes para cabecera, pie, frame izquierdo"/>
        <s v="Se usa includes de Javascript para rutinas de validación fecha, e-mails y otros comunes"/>
        <s v="Se usa Style Sheet"/>
        <s v="En caso de nuevos desarrollos no existe codificación de reglas de negocio o de acceso a Base de datos"/>
        <s v="Se utiliza código de importación de JavaScript y Style Sheet que permita su versionamiento automático (ej: /style/integra.css?&lt;%=(new java.util.Date()).getTime()%&gt;)"/>
        <s v="Descripción de errores esperados en archivo properties"/>
        <s v="Manejo centralizado de errores en tiempo de ejecución con envío de mensajes al system.err"/>
        <s v="Mensaje de error en el system.err tiene formato estándar (Fecha, hora, usuario, sesión, error, etc.)"/>
        <s v="Se evita dejar impresión en el system.out o system.err para debug o seguimiento"/>
        <s v="Una vez ocurrido un error no recuperable, se deja de procesar los requests subsecuentes"/>
        <s v="Tiene un manejo único para mostrar la página de error ante errores en tiempo de ejecución"/>
        <s v="Validación de campos inputs y outputs en forms: tipo de datos, longitud, obligatoriedad, charset"/>
        <s v="Para accesos a aplicaciones internas, se valida acceso con rutina general usando LDAP"/>
        <s v="Se ha evitado el envío de parámetros como parte del request"/>
        <s v="Se ha usado filtro para usar charset seguro antes de mostrar la página (ej: &amp;lt en lugar de &lt;)"/>
        <s v="El tamaño de los URLs no exceden los 120 caracteres"/>
        <s v="Se ha evitado bypassear el uso de una clave cuando esta se requiera"/>
        <s v="Se ha evitado el acceso de directorio de servidores mediante URLs"/>
        <s v="Las transacción completa de login para aplicaciones fuera de la red se debe hacer usando SSL"/>
        <s v="Se ha evitado el uso en el URL o descarga de .exe, .bat, .dll, .ocx, .com"/>
        <s v="Para desarrollo de nuevas opciones se ha hecho el seteo de PRAGMA-NOCACHE"/>
        <s v="Los cambios de e-mail se hacen por opciones con autenticación previa y SSL"/>
        <s v="Los passwords son manejados con encriptación"/>
        <s v="La aplicación corre con los privilegios mínimos que requiere para su ejecución"/>
        <s v="Ha sido desarrollado en Websphere Studio Application Developer 5.1 o Superior"/>
        <s v="El Workspace es completo, no es necesario levantar otros archivos para armar ambiente desarrollo"/>
        <s v="Se ha privilegiado la ubicación de .jpg , .gif y similares en servidor de objetos estáticos"/>
        <s v="Se ha usado Servlet API 2.2 o superior"/>
        <s v="Cada objeto .class ha sido entregado con su fuente modificado en el directorio correspondiente"/>
        <s v="Cada fuente .java entregado ha sido entregado con su objeto .class en el directorio correspondiente"/>
        <s v="Coincide el número de versión Harvest de los fuentes .java y sus objetos .class asociados"/>
        <s v="Se ha hecho revisión de fuentes buscando posible código fraudulento"/>
        <s v="Se ha seguido el modelo de 3 capas de desarrollo de aplicaciones"/>
        <s v="Incluye sección de objetos para PC/Cliente O ZIP O componente(s) para el pase automático"/>
        <s v="Nombres de clases según estándar (ej: NombreClase)"/>
        <s v="Nombres de métodos según estándar (ej: GenerarReporte)"/>
        <s v="Nombre de paquete con forma estándar (ej: aplicación.proyecto.capa.funcionalidad)"/>
        <s v="Metodos, Propiedades, Eventos, Excepciones utilizar capitalización Pascal.(Ejm: RemoveAll(),MouseEventHandler(),BaseException())"/>
        <s v="Las nuevas clases, métodos y atributos se encuentran documentadas con comentarios XML autogenerados"/>
        <s v="Se usa el tipo decimal para información de montos monetarios"/>
        <s v="Se usa el clase DateTime para fechas"/>
        <s v="Legibilidad de código (Formateo, Identación, Salto de línea, espaciado, declaración de clases.)"/>
        <s v="Reglas de conversión de tipos.(No permitir conversiones implícitas de conversión ejem: Double a Int32)"/>
        <s v="Apertura explicita de conexiones cuando se ejecuta el método DataAdapterFill"/>
        <s v="Cierre explicito de conexiones (Close o Dispose)"/>
        <s v="Se incluye cabecera de propósito del formulario, campos y salidas."/>
        <s v="Validación de campos inputs y outputs en forms: tipo de datos, longitud, obligatoriedad"/>
        <s v="Ha sido desarrollado en Microsoft Visual Studio 2003 o superior"/>
        <s v="El Proyecto es completo, no es necesario levantar otros archivos para armar ambiente desarrollo"/>
        <s v="El instalador está preparado para conectarse directamente a los servidores de producción de BD"/>
        <s v="La aplicación instalada permite, mediante la modificación de algún archivo de configuración, conectarse a los ambientes de desarrollo y Testing.El archivo de configuración debe haber sido generado con Windows Text (Ansi)”"/>
        <s v="Se ha modificado la versión en el archivo AssemblyInfo.cs"/>
        <s v="Coincide la versión del archivo AssemblyInfo.cs con la versión del ejecutable."/>
        <s v="Se ha versionado los archivos de proyecto .csproj."/>
        <s v="Incluye Nombre Instalador O sección de objetos a instalar O componente(s) para el pase automático."/>
        <s v="Se hace referencia a un Manual de Instalación o se incluye sección de Instrucciones de Instalación."/>
        <s v="Para nuevas constantes se ha usado el formato estándar."/>
        <s v="Cada una de las variables nuevas ha sido declarada en una línea diferente."/>
        <s v="Se ha usado el Option Base 0 para los nuevos arreglos."/>
        <s v="Para nuevos desarrollos la conexión a Base de Datos es mediante ADO, utilizando ODBC."/>
        <s v="Cada rutina nueva contiene un comentario sobre lo que hace la misma."/>
        <s v="La declaración de las variables nuevas de uso no trivial tiene un comentario descriptivo."/>
        <s v="Se ha incluido en la parte superior el comentario estándar sobre los cambios efectuados."/>
        <s v="Se ha usado indentación al interior de las rutinas para mejor legibilidad del código."/>
        <s v="¿Las hojas y/o formularios tienen los colores y fuentes de la corporación SURA?"/>
        <s v="Se encuentran todos los objetos previstos en la última versión del documento de diseño."/>
        <s v="Los objetos se encuentran en el repositorio o ruta establecida."/>
        <s v="Para cambios en la estructura de archivo se han incluido todos los objetos que lo utilizan."/>
        <s v="Los nombres de las tablas siguen el estándar - Esquema&gt;.&lt;nombre TABLA&gt;.sql"/>
        <s v="Los nombres de los SP  siguen el estándar - SP_VVVVVV_FFFFFFFFFF_FFFFFFFF."/>
        <s v="Los nombres de las funciones siguen el estándar - FU_VVVVVV_FFFFFFFFFF_FFFFFFFF."/>
        <s v="Los nombres de los trigger siguen el estándar - TR_X_FFFFFFFFFF_FFFFFFFF."/>
        <s v="Los nombres de las vistas siguen el estándar - Esquema&gt;.&lt;nombre VISTA&gt;.sql"/>
        <s v="Los nombres de los archivos script siguen el estándar - SCRIPT_OTXXXX_NNN.sql."/>
        <s v="Para nuevos archivos maestros y permanentes se respeta la 3ra. Forma Normal."/>
        <s v="Para nuevos archivos maestros y permanentes deben considerar siempre la PRIMARY KEY."/>
        <s v="Para montos monetarios se usa el tipo NUMERIC especificando la cantidad de decimales."/>
        <s v="Los campos no deben contener valores nulos a menos que sea necesario."/>
        <s v="Cuando se requiere auditoria de cambios al archivo, se guarda fecha, hora y usuario de ingreso y de actualización."/>
        <s v="Se ha establecido vistas que permitan acotar las búsquedas más comunes."/>
        <s v="El nombre de la entidad debe hacer referencia a la información que guarda, puede estar separado por un guión bajo (_)."/>
        <s v="Existe descripción del cambio en el Stored  Procedures."/>
        <s v="Todos los Cursores declarados son usados."/>
        <s v="Cumple con el estándar de documentación de fuentes (Luego del BEGIN principal se ha incluido el comentario según formato al inicio del fuente y en las lineas modificadas)."/>
        <s v="Verificar que no exista sentencias SQL de pruebas."/>
        <s v="En el script generado cada sentencia termina con un punto y coma (;)."/>
        <s v="Para Stored Procedures y Funciones se realiza manejo de errores."/>
        <s v="Para Stored Procedures y Funciones que procesen grandes cantidades de información o que sean muy complejos se generan registros LOG que permitan hacer seguimiento al proceso."/>
        <s v="Para Stored Procedures y Funciones el script considera la sentencia CREATE OR REPLACE de la siguiente manera:_x000a_CREATE OR REPLACE TipoComponente Nombre_Esquema.Nombre_Componente"/>
        <s v="Para Stored Procedures y Funciones no se colocan GRANTS."/>
        <s v="Validar que el Script se encuentre especificado en el PR."/>
        <s v="Incluye sección de objetos Oracle a pasar O componente(s) para el pase automático"/>
        <s v="Nombres de Jobs con formato APL - Descripción del Job"/>
        <s v="Campos fecha en formato DATE (si se requiere registrar la fecha) o TIME (si requiere registrar la hora)"/>
        <s v="Nombres cortos para variables que recorren bucles"/>
        <s v="Condiciones con SUBSTR en SELECT tienen condición adicional &quot;=&quot; que limita búsqueda"/>
        <s v="Implementa manejo de excepciones"/>
        <s v="¿Se han calificado los objetos en su respectivo esquema?"/>
        <s v="¿Se ha colocado la Nomenclatura de acuerdo a: _x000a_Nombre del sinónimo  [ESQUEMA].[NOMBRE_OBJETO] _x000a_Nombre del script  [ESQUEMA].[NOMBRE_OBJETO].sql ?"/>
        <s v="Nombres de métodos según estándar recomendado (ej: generarReporte)"/>
        <s v="La condicional IF tienen la forma estándar"/>
        <s v="Las nuevas clases, métodos y atributos se encuentran documentadas con comentarios"/>
        <s v="Se usa el clase Date para fechas"/>
        <s v="Reglas de conversión de tipos.(No permitir funciones implícitas de conversión ejem: string a number)"/>
        <s v="La invocación a los servicios web se realiza mediante promesas u observables (Promises u Observables)"/>
        <s v="La aplicación fue creada con la versión 5 de angular"/>
        <s v="La aplicación fue creada con la última plantilla aprobada (No se creó mediante Angular CLI)"/>
        <s v="La aplicación está preparada para conectarse directamente a los servidores de producción de los servicios web"/>
        <s v="La comunicación a los servicios web se hace mediante peticiones POST"/>
        <s v="La información que viaje entre el navegador y el servidor esta en formato JSON"/>
        <s v="El compilado generado fue creado utilizando las propiedades de compilación –prod y --aot"/>
        <s v="No se ha dejado comandos console.log (usado para validaciones en el ambiente de desarrollo) para ambiente productivo"/>
        <s v="Se hizo referencia al manual de instalación de la ruta de Harvest"/>
        <s v="Se encuentra con los valores del entorno de producción"/>
        <s v="Tiene el mismo nombre del archivo de extensión .dtsx"/>
        <s v="Se encuentra en la misma de carpeta del archivo de extensión .dtsx"/>
        <s v="Se valido que solo contiene información con valores que varíen entre entornos de despliegue"/>
        <s v="Se validó que se encuentran todas las conexiones a base de datos del archivo .dtsx "/>
        <s v="Nombres de las tareas deben referenciar a la acción que realicen"/>
        <s v="Nombres de variables nemotécnico deben hacer referencia a los valores que contiene"/>
        <s v="Nombre de paquete cumple con la siguiente nomenclatura:_x000a_ETL_[APL]_[DESCRIPCIÓN].dtsx (eje: ETL_ACRE_Generar_Archivo.dtsx)"/>
        <s v="Se evitó el uso del componente  ¨Script task¨ "/>
        <s v="En caso de usar el componente ¨Script task¨ completar la pestaña de CHK Técnico-.NET"/>
        <s v="Se verificó la ruta del archivo log en el .dtsConfig"/>
        <s v="Se usó la autenticación de SQL Server para las conexiones a base de datos"/>
        <s v="Se evitó el uso del tipo de coneción del OLE DB Source"/>
        <s v="Las propiedades de conexión deben configurarse en el apartado expresiones de la misma."/>
        <s v="Se verificó que los nombres de las conexiones incluyan los nombres de las bases de datos a la que se conecta."/>
        <s v="Documentación"/>
        <s v="Homologación/Versionamiento"/>
        <s v="Estandarización "/>
        <m/>
        <s v="Estandarización"/>
        <s v="Técnico"/>
        <s v="Homologación/ Versionamiento"/>
        <s v="Funcionalidad"/>
      </sharedItems>
    </cacheField>
    <cacheField name="Fecha de Revisión" numFmtId="16">
      <sharedItems containsDate="1" containsMixedTypes="1" minDate="1899-12-30T00:00:00" maxDate="2020-12-10T00:00:00" count="7">
        <s v="21/06/201"/>
        <d v="1899-12-30T00:00:00"/>
        <d v="2020-12-09T00:00:00"/>
        <e v="#N/A"/>
        <s v="  "/>
        <d v="2019-02-27T00:00:00" u="1"/>
        <d v="2019-02-20T00:00:00" u="1"/>
      </sharedItems>
    </cacheField>
    <cacheField name="Descripción del defecto" numFmtId="0">
      <sharedItems containsMixedTypes="1" containsNumber="1" containsInteger="1" minValue="0" maxValue="0" count="3">
        <s v="aaaa"/>
        <n v="0"/>
        <e v="#N/A"/>
      </sharedItems>
    </cacheField>
    <cacheField name="Resultado" numFmtId="0">
      <sharedItems containsMixedTypes="1" containsNumber="1" containsInteger="1" minValue="0" maxValue="0" count="7">
        <s v="Si Cumple"/>
        <s v="No Conformidad"/>
        <s v="No Aplica"/>
        <s v="Valor Agregado"/>
        <s v="-"/>
        <n v="0"/>
        <e v="#N/A"/>
      </sharedItems>
    </cacheField>
    <cacheField name="Fas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90">
  <r>
    <x v="0"/>
    <x v="0"/>
    <x v="0"/>
    <x v="0"/>
    <x v="0"/>
    <x v="0"/>
    <s v="Técnico"/>
  </r>
  <r>
    <x v="1"/>
    <x v="0"/>
    <x v="0"/>
    <x v="0"/>
    <x v="0"/>
    <x v="1"/>
    <s v="Técnico"/>
  </r>
  <r>
    <x v="2"/>
    <x v="0"/>
    <x v="0"/>
    <x v="0"/>
    <x v="0"/>
    <x v="2"/>
    <s v="Técnico"/>
  </r>
  <r>
    <x v="3"/>
    <x v="0"/>
    <x v="0"/>
    <x v="0"/>
    <x v="0"/>
    <x v="3"/>
    <s v="Técnico"/>
  </r>
  <r>
    <x v="4"/>
    <x v="0"/>
    <x v="0"/>
    <x v="0"/>
    <x v="0"/>
    <x v="4"/>
    <s v="Técnico"/>
  </r>
  <r>
    <x v="5"/>
    <x v="0"/>
    <x v="0"/>
    <x v="1"/>
    <x v="1"/>
    <x v="5"/>
    <s v="Técnico"/>
  </r>
  <r>
    <x v="6"/>
    <x v="1"/>
    <x v="1"/>
    <x v="1"/>
    <x v="1"/>
    <x v="5"/>
    <s v="Técnico"/>
  </r>
  <r>
    <x v="7"/>
    <x v="1"/>
    <x v="2"/>
    <x v="1"/>
    <x v="1"/>
    <x v="5"/>
    <s v="Técnico"/>
  </r>
  <r>
    <x v="8"/>
    <x v="1"/>
    <x v="3"/>
    <x v="1"/>
    <x v="1"/>
    <x v="5"/>
    <s v="Técnico"/>
  </r>
  <r>
    <x v="9"/>
    <x v="1"/>
    <x v="4"/>
    <x v="1"/>
    <x v="1"/>
    <x v="5"/>
    <s v="Técnico"/>
  </r>
  <r>
    <x v="10"/>
    <x v="1"/>
    <x v="5"/>
    <x v="1"/>
    <x v="1"/>
    <x v="5"/>
    <s v="Técnico"/>
  </r>
  <r>
    <x v="11"/>
    <x v="1"/>
    <x v="6"/>
    <x v="1"/>
    <x v="1"/>
    <x v="5"/>
    <s v="Técnico"/>
  </r>
  <r>
    <x v="12"/>
    <x v="1"/>
    <x v="7"/>
    <x v="1"/>
    <x v="1"/>
    <x v="5"/>
    <s v="Técnico"/>
  </r>
  <r>
    <x v="13"/>
    <x v="0"/>
    <x v="0"/>
    <x v="1"/>
    <x v="1"/>
    <x v="5"/>
    <s v="Técnico"/>
  </r>
  <r>
    <x v="14"/>
    <x v="1"/>
    <x v="8"/>
    <x v="1"/>
    <x v="1"/>
    <x v="5"/>
    <s v="Técnico"/>
  </r>
  <r>
    <x v="15"/>
    <x v="1"/>
    <x v="9"/>
    <x v="1"/>
    <x v="1"/>
    <x v="5"/>
    <s v="Técnico"/>
  </r>
  <r>
    <x v="16"/>
    <x v="1"/>
    <x v="10"/>
    <x v="1"/>
    <x v="1"/>
    <x v="5"/>
    <s v="Técnico"/>
  </r>
  <r>
    <x v="17"/>
    <x v="2"/>
    <x v="11"/>
    <x v="1"/>
    <x v="1"/>
    <x v="5"/>
    <s v="Técnico"/>
  </r>
  <r>
    <x v="18"/>
    <x v="2"/>
    <x v="12"/>
    <x v="1"/>
    <x v="1"/>
    <x v="5"/>
    <s v="Técnico"/>
  </r>
  <r>
    <x v="19"/>
    <x v="2"/>
    <x v="13"/>
    <x v="1"/>
    <x v="1"/>
    <x v="5"/>
    <s v="Técnico"/>
  </r>
  <r>
    <x v="20"/>
    <x v="3"/>
    <x v="14"/>
    <x v="1"/>
    <x v="1"/>
    <x v="5"/>
    <s v="Técnico"/>
  </r>
  <r>
    <x v="21"/>
    <x v="1"/>
    <x v="15"/>
    <x v="1"/>
    <x v="1"/>
    <x v="5"/>
    <s v="Técnico"/>
  </r>
  <r>
    <x v="22"/>
    <x v="2"/>
    <x v="16"/>
    <x v="1"/>
    <x v="1"/>
    <x v="5"/>
    <s v="Técnico"/>
  </r>
  <r>
    <x v="23"/>
    <x v="2"/>
    <x v="17"/>
    <x v="1"/>
    <x v="1"/>
    <x v="5"/>
    <s v="Técnico"/>
  </r>
  <r>
    <x v="24"/>
    <x v="2"/>
    <x v="18"/>
    <x v="1"/>
    <x v="1"/>
    <x v="5"/>
    <s v="Técnico"/>
  </r>
  <r>
    <x v="25"/>
    <x v="2"/>
    <x v="19"/>
    <x v="1"/>
    <x v="1"/>
    <x v="5"/>
    <s v="Técnico"/>
  </r>
  <r>
    <x v="26"/>
    <x v="2"/>
    <x v="20"/>
    <x v="1"/>
    <x v="1"/>
    <x v="5"/>
    <s v="Técnico"/>
  </r>
  <r>
    <x v="27"/>
    <x v="0"/>
    <x v="0"/>
    <x v="1"/>
    <x v="1"/>
    <x v="5"/>
    <s v="Técnico"/>
  </r>
  <r>
    <x v="28"/>
    <x v="2"/>
    <x v="21"/>
    <x v="1"/>
    <x v="1"/>
    <x v="5"/>
    <s v="Técnico"/>
  </r>
  <r>
    <x v="29"/>
    <x v="2"/>
    <x v="22"/>
    <x v="1"/>
    <x v="1"/>
    <x v="5"/>
    <s v="Técnico"/>
  </r>
  <r>
    <x v="30"/>
    <x v="2"/>
    <x v="23"/>
    <x v="1"/>
    <x v="1"/>
    <x v="5"/>
    <s v="Técnico"/>
  </r>
  <r>
    <x v="31"/>
    <x v="2"/>
    <x v="24"/>
    <x v="1"/>
    <x v="1"/>
    <x v="5"/>
    <s v="Técnico"/>
  </r>
  <r>
    <x v="32"/>
    <x v="0"/>
    <x v="0"/>
    <x v="1"/>
    <x v="1"/>
    <x v="5"/>
    <s v="Técnico"/>
  </r>
  <r>
    <x v="33"/>
    <x v="2"/>
    <x v="25"/>
    <x v="1"/>
    <x v="1"/>
    <x v="5"/>
    <s v="Técnico"/>
  </r>
  <r>
    <x v="34"/>
    <x v="2"/>
    <x v="26"/>
    <x v="1"/>
    <x v="1"/>
    <x v="5"/>
    <s v="Técnico"/>
  </r>
  <r>
    <x v="35"/>
    <x v="2"/>
    <x v="27"/>
    <x v="1"/>
    <x v="1"/>
    <x v="5"/>
    <s v="Técnico"/>
  </r>
  <r>
    <x v="36"/>
    <x v="2"/>
    <x v="28"/>
    <x v="1"/>
    <x v="1"/>
    <x v="5"/>
    <s v="Técnico"/>
  </r>
  <r>
    <x v="37"/>
    <x v="0"/>
    <x v="0"/>
    <x v="1"/>
    <x v="1"/>
    <x v="5"/>
    <s v="Técnico"/>
  </r>
  <r>
    <x v="38"/>
    <x v="2"/>
    <x v="29"/>
    <x v="1"/>
    <x v="1"/>
    <x v="5"/>
    <s v="Técnico"/>
  </r>
  <r>
    <x v="39"/>
    <x v="2"/>
    <x v="30"/>
    <x v="1"/>
    <x v="1"/>
    <x v="5"/>
    <s v="Técnico"/>
  </r>
  <r>
    <x v="40"/>
    <x v="2"/>
    <x v="31"/>
    <x v="1"/>
    <x v="1"/>
    <x v="5"/>
    <s v="Técnico"/>
  </r>
  <r>
    <x v="41"/>
    <x v="2"/>
    <x v="32"/>
    <x v="1"/>
    <x v="1"/>
    <x v="5"/>
    <s v="Técnico"/>
  </r>
  <r>
    <x v="42"/>
    <x v="2"/>
    <x v="33"/>
    <x v="1"/>
    <x v="1"/>
    <x v="5"/>
    <s v="Técnico"/>
  </r>
  <r>
    <x v="43"/>
    <x v="2"/>
    <x v="34"/>
    <x v="1"/>
    <x v="1"/>
    <x v="5"/>
    <s v="Técnico"/>
  </r>
  <r>
    <x v="44"/>
    <x v="2"/>
    <x v="35"/>
    <x v="1"/>
    <x v="1"/>
    <x v="5"/>
    <s v="Técnico"/>
  </r>
  <r>
    <x v="45"/>
    <x v="2"/>
    <x v="36"/>
    <x v="1"/>
    <x v="1"/>
    <x v="5"/>
    <s v="Técnico"/>
  </r>
  <r>
    <x v="46"/>
    <x v="0"/>
    <x v="0"/>
    <x v="1"/>
    <x v="1"/>
    <x v="5"/>
    <s v="Técnico"/>
  </r>
  <r>
    <x v="47"/>
    <x v="2"/>
    <x v="37"/>
    <x v="1"/>
    <x v="1"/>
    <x v="5"/>
    <s v="Técnico"/>
  </r>
  <r>
    <x v="48"/>
    <x v="2"/>
    <x v="38"/>
    <x v="1"/>
    <x v="1"/>
    <x v="5"/>
    <s v="Técnico"/>
  </r>
  <r>
    <x v="49"/>
    <x v="0"/>
    <x v="0"/>
    <x v="1"/>
    <x v="1"/>
    <x v="5"/>
    <s v="Técnico"/>
  </r>
  <r>
    <x v="50"/>
    <x v="2"/>
    <x v="39"/>
    <x v="1"/>
    <x v="1"/>
    <x v="5"/>
    <s v="Técnico"/>
  </r>
  <r>
    <x v="51"/>
    <x v="2"/>
    <x v="40"/>
    <x v="1"/>
    <x v="1"/>
    <x v="5"/>
    <s v="Técnico"/>
  </r>
  <r>
    <x v="52"/>
    <x v="2"/>
    <x v="41"/>
    <x v="1"/>
    <x v="1"/>
    <x v="5"/>
    <s v="Técnico"/>
  </r>
  <r>
    <x v="53"/>
    <x v="2"/>
    <x v="42"/>
    <x v="1"/>
    <x v="1"/>
    <x v="5"/>
    <s v="Técnico"/>
  </r>
  <r>
    <x v="54"/>
    <x v="3"/>
    <x v="43"/>
    <x v="1"/>
    <x v="1"/>
    <x v="5"/>
    <s v="Técnico"/>
  </r>
  <r>
    <x v="55"/>
    <x v="2"/>
    <x v="44"/>
    <x v="1"/>
    <x v="1"/>
    <x v="5"/>
    <s v="Técnico"/>
  </r>
  <r>
    <x v="56"/>
    <x v="0"/>
    <x v="0"/>
    <x v="1"/>
    <x v="1"/>
    <x v="5"/>
    <s v="Técnico"/>
  </r>
  <r>
    <x v="57"/>
    <x v="2"/>
    <x v="45"/>
    <x v="1"/>
    <x v="1"/>
    <x v="5"/>
    <s v="Técnico"/>
  </r>
  <r>
    <x v="58"/>
    <x v="2"/>
    <x v="46"/>
    <x v="1"/>
    <x v="1"/>
    <x v="5"/>
    <s v="Técnico"/>
  </r>
  <r>
    <x v="59"/>
    <x v="2"/>
    <x v="47"/>
    <x v="1"/>
    <x v="1"/>
    <x v="5"/>
    <s v="Técnico"/>
  </r>
  <r>
    <x v="60"/>
    <x v="2"/>
    <x v="48"/>
    <x v="1"/>
    <x v="1"/>
    <x v="5"/>
    <s v="Técnico"/>
  </r>
  <r>
    <x v="61"/>
    <x v="2"/>
    <x v="49"/>
    <x v="1"/>
    <x v="1"/>
    <x v="5"/>
    <s v="Técnico"/>
  </r>
  <r>
    <x v="62"/>
    <x v="2"/>
    <x v="50"/>
    <x v="1"/>
    <x v="1"/>
    <x v="5"/>
    <s v="Técnico"/>
  </r>
  <r>
    <x v="63"/>
    <x v="2"/>
    <x v="51"/>
    <x v="1"/>
    <x v="1"/>
    <x v="5"/>
    <s v="Técnico"/>
  </r>
  <r>
    <x v="64"/>
    <x v="0"/>
    <x v="0"/>
    <x v="1"/>
    <x v="1"/>
    <x v="5"/>
    <s v="Técnico"/>
  </r>
  <r>
    <x v="65"/>
    <x v="2"/>
    <x v="52"/>
    <x v="1"/>
    <x v="1"/>
    <x v="5"/>
    <s v="Técnico"/>
  </r>
  <r>
    <x v="66"/>
    <x v="2"/>
    <x v="53"/>
    <x v="1"/>
    <x v="1"/>
    <x v="5"/>
    <s v="Técnico"/>
  </r>
  <r>
    <x v="67"/>
    <x v="2"/>
    <x v="54"/>
    <x v="1"/>
    <x v="1"/>
    <x v="5"/>
    <s v="Técnico"/>
  </r>
  <r>
    <x v="68"/>
    <x v="2"/>
    <x v="55"/>
    <x v="1"/>
    <x v="1"/>
    <x v="5"/>
    <s v="Técnico"/>
  </r>
  <r>
    <x v="69"/>
    <x v="2"/>
    <x v="56"/>
    <x v="1"/>
    <x v="1"/>
    <x v="5"/>
    <s v="Técnico"/>
  </r>
  <r>
    <x v="70"/>
    <x v="2"/>
    <x v="57"/>
    <x v="1"/>
    <x v="1"/>
    <x v="5"/>
    <s v="Técnico"/>
  </r>
  <r>
    <x v="71"/>
    <x v="2"/>
    <x v="58"/>
    <x v="1"/>
    <x v="1"/>
    <x v="5"/>
    <s v="Técnico"/>
  </r>
  <r>
    <x v="72"/>
    <x v="0"/>
    <x v="0"/>
    <x v="1"/>
    <x v="1"/>
    <x v="5"/>
    <s v="Técnico"/>
  </r>
  <r>
    <x v="73"/>
    <x v="2"/>
    <x v="59"/>
    <x v="1"/>
    <x v="1"/>
    <x v="5"/>
    <s v="Técnico"/>
  </r>
  <r>
    <x v="74"/>
    <x v="2"/>
    <x v="60"/>
    <x v="1"/>
    <x v="1"/>
    <x v="5"/>
    <s v="Técnico"/>
  </r>
  <r>
    <x v="75"/>
    <x v="2"/>
    <x v="61"/>
    <x v="1"/>
    <x v="1"/>
    <x v="5"/>
    <s v="Técnico"/>
  </r>
  <r>
    <x v="76"/>
    <x v="2"/>
    <x v="62"/>
    <x v="1"/>
    <x v="1"/>
    <x v="5"/>
    <s v="Técnico"/>
  </r>
  <r>
    <x v="77"/>
    <x v="3"/>
    <x v="63"/>
    <x v="1"/>
    <x v="1"/>
    <x v="5"/>
    <s v="Técnico"/>
  </r>
  <r>
    <x v="78"/>
    <x v="3"/>
    <x v="64"/>
    <x v="1"/>
    <x v="1"/>
    <x v="5"/>
    <s v="Técnico"/>
  </r>
  <r>
    <x v="79"/>
    <x v="0"/>
    <x v="0"/>
    <x v="1"/>
    <x v="1"/>
    <x v="5"/>
    <s v="Técnico"/>
  </r>
  <r>
    <x v="80"/>
    <x v="2"/>
    <x v="65"/>
    <x v="1"/>
    <x v="1"/>
    <x v="5"/>
    <s v="Técnico"/>
  </r>
  <r>
    <x v="81"/>
    <x v="2"/>
    <x v="66"/>
    <x v="1"/>
    <x v="1"/>
    <x v="5"/>
    <s v="Técnico"/>
  </r>
  <r>
    <x v="82"/>
    <x v="0"/>
    <x v="0"/>
    <x v="1"/>
    <x v="1"/>
    <x v="5"/>
    <s v="Técnico"/>
  </r>
  <r>
    <x v="83"/>
    <x v="2"/>
    <x v="67"/>
    <x v="1"/>
    <x v="1"/>
    <x v="5"/>
    <s v="Técnico"/>
  </r>
  <r>
    <x v="84"/>
    <x v="2"/>
    <x v="68"/>
    <x v="1"/>
    <x v="1"/>
    <x v="5"/>
    <s v="Técnico"/>
  </r>
  <r>
    <x v="85"/>
    <x v="0"/>
    <x v="0"/>
    <x v="1"/>
    <x v="1"/>
    <x v="5"/>
    <s v="Técnico"/>
  </r>
  <r>
    <x v="86"/>
    <x v="2"/>
    <x v="69"/>
    <x v="1"/>
    <x v="1"/>
    <x v="5"/>
    <s v="Técnico"/>
  </r>
  <r>
    <x v="87"/>
    <x v="2"/>
    <x v="70"/>
    <x v="1"/>
    <x v="1"/>
    <x v="5"/>
    <s v="Técnico"/>
  </r>
  <r>
    <x v="88"/>
    <x v="2"/>
    <x v="71"/>
    <x v="1"/>
    <x v="1"/>
    <x v="5"/>
    <s v="Técnico"/>
  </r>
  <r>
    <x v="89"/>
    <x v="0"/>
    <x v="0"/>
    <x v="1"/>
    <x v="1"/>
    <x v="5"/>
    <s v="Técnico"/>
  </r>
  <r>
    <x v="90"/>
    <x v="4"/>
    <x v="72"/>
    <x v="1"/>
    <x v="1"/>
    <x v="5"/>
    <s v="Técnico"/>
  </r>
  <r>
    <x v="91"/>
    <x v="1"/>
    <x v="73"/>
    <x v="1"/>
    <x v="1"/>
    <x v="5"/>
    <s v="Técnico"/>
  </r>
  <r>
    <x v="92"/>
    <x v="1"/>
    <x v="74"/>
    <x v="1"/>
    <x v="1"/>
    <x v="5"/>
    <s v="Técnico"/>
  </r>
  <r>
    <x v="93"/>
    <x v="1"/>
    <x v="75"/>
    <x v="1"/>
    <x v="1"/>
    <x v="5"/>
    <s v="Técnico"/>
  </r>
  <r>
    <x v="94"/>
    <x v="0"/>
    <x v="0"/>
    <x v="1"/>
    <x v="1"/>
    <x v="5"/>
    <s v="Técnico"/>
  </r>
  <r>
    <x v="95"/>
    <x v="4"/>
    <x v="76"/>
    <x v="1"/>
    <x v="1"/>
    <x v="5"/>
    <s v="Técnico"/>
  </r>
  <r>
    <x v="96"/>
    <x v="5"/>
    <x v="77"/>
    <x v="1"/>
    <x v="1"/>
    <x v="5"/>
    <s v="Técnico"/>
  </r>
  <r>
    <x v="97"/>
    <x v="2"/>
    <x v="78"/>
    <x v="1"/>
    <x v="1"/>
    <x v="5"/>
    <s v="Técnico"/>
  </r>
  <r>
    <x v="98"/>
    <x v="2"/>
    <x v="79"/>
    <x v="1"/>
    <x v="1"/>
    <x v="5"/>
    <s v="Técnico"/>
  </r>
  <r>
    <x v="99"/>
    <x v="0"/>
    <x v="0"/>
    <x v="1"/>
    <x v="1"/>
    <x v="5"/>
    <s v="Técnico"/>
  </r>
  <r>
    <x v="100"/>
    <x v="2"/>
    <x v="80"/>
    <x v="1"/>
    <x v="1"/>
    <x v="5"/>
    <s v="Técnico"/>
  </r>
  <r>
    <x v="101"/>
    <x v="2"/>
    <x v="81"/>
    <x v="1"/>
    <x v="1"/>
    <x v="5"/>
    <s v="Técnico"/>
  </r>
  <r>
    <x v="102"/>
    <x v="2"/>
    <x v="82"/>
    <x v="1"/>
    <x v="1"/>
    <x v="5"/>
    <s v="Técnico"/>
  </r>
  <r>
    <x v="103"/>
    <x v="0"/>
    <x v="0"/>
    <x v="1"/>
    <x v="1"/>
    <x v="5"/>
    <s v="Técnico"/>
  </r>
  <r>
    <x v="104"/>
    <x v="0"/>
    <x v="0"/>
    <x v="1"/>
    <x v="1"/>
    <x v="5"/>
    <s v="Técnico"/>
  </r>
  <r>
    <x v="105"/>
    <x v="1"/>
    <x v="83"/>
    <x v="2"/>
    <x v="1"/>
    <x v="0"/>
    <s v="Técnico"/>
  </r>
  <r>
    <x v="106"/>
    <x v="4"/>
    <x v="84"/>
    <x v="2"/>
    <x v="1"/>
    <x v="0"/>
    <s v="Técnico"/>
  </r>
  <r>
    <x v="107"/>
    <x v="1"/>
    <x v="85"/>
    <x v="2"/>
    <x v="1"/>
    <x v="2"/>
    <s v="Técnico"/>
  </r>
  <r>
    <x v="108"/>
    <x v="1"/>
    <x v="86"/>
    <x v="2"/>
    <x v="1"/>
    <x v="0"/>
    <s v="Técnico"/>
  </r>
  <r>
    <x v="109"/>
    <x v="4"/>
    <x v="87"/>
    <x v="2"/>
    <x v="1"/>
    <x v="0"/>
    <s v="Técnico"/>
  </r>
  <r>
    <x v="110"/>
    <x v="4"/>
    <x v="88"/>
    <x v="2"/>
    <x v="1"/>
    <x v="0"/>
    <s v="Técnico"/>
  </r>
  <r>
    <x v="111"/>
    <x v="4"/>
    <x v="89"/>
    <x v="2"/>
    <x v="1"/>
    <x v="0"/>
    <s v="Técnico"/>
  </r>
  <r>
    <x v="112"/>
    <x v="4"/>
    <x v="90"/>
    <x v="2"/>
    <x v="1"/>
    <x v="2"/>
    <s v="Técnico"/>
  </r>
  <r>
    <x v="113"/>
    <x v="0"/>
    <x v="0"/>
    <x v="1"/>
    <x v="1"/>
    <x v="5"/>
    <s v="Técnico"/>
  </r>
  <r>
    <x v="114"/>
    <x v="2"/>
    <x v="91"/>
    <x v="2"/>
    <x v="1"/>
    <x v="0"/>
    <s v="Técnico"/>
  </r>
  <r>
    <x v="115"/>
    <x v="2"/>
    <x v="92"/>
    <x v="2"/>
    <x v="1"/>
    <x v="0"/>
    <s v="Técnico"/>
  </r>
  <r>
    <x v="116"/>
    <x v="2"/>
    <x v="93"/>
    <x v="2"/>
    <x v="1"/>
    <x v="2"/>
    <s v="Técnico"/>
  </r>
  <r>
    <x v="117"/>
    <x v="2"/>
    <x v="94"/>
    <x v="2"/>
    <x v="1"/>
    <x v="2"/>
    <s v="Técnico"/>
  </r>
  <r>
    <x v="118"/>
    <x v="2"/>
    <x v="95"/>
    <x v="2"/>
    <x v="1"/>
    <x v="0"/>
    <s v="Técnico"/>
  </r>
  <r>
    <x v="119"/>
    <x v="2"/>
    <x v="96"/>
    <x v="2"/>
    <x v="1"/>
    <x v="2"/>
    <s v="Técnico"/>
  </r>
  <r>
    <x v="120"/>
    <x v="2"/>
    <x v="97"/>
    <x v="2"/>
    <x v="1"/>
    <x v="0"/>
    <s v="Técnico"/>
  </r>
  <r>
    <x v="121"/>
    <x v="0"/>
    <x v="0"/>
    <x v="1"/>
    <x v="1"/>
    <x v="5"/>
    <s v="Técnico"/>
  </r>
  <r>
    <x v="122"/>
    <x v="2"/>
    <x v="98"/>
    <x v="2"/>
    <x v="1"/>
    <x v="0"/>
    <s v="Técnico"/>
  </r>
  <r>
    <x v="123"/>
    <x v="2"/>
    <x v="99"/>
    <x v="2"/>
    <x v="1"/>
    <x v="0"/>
    <s v="Técnico"/>
  </r>
  <r>
    <x v="124"/>
    <x v="2"/>
    <x v="100"/>
    <x v="2"/>
    <x v="1"/>
    <x v="0"/>
    <s v="Técnico"/>
  </r>
  <r>
    <x v="125"/>
    <x v="2"/>
    <x v="101"/>
    <x v="2"/>
    <x v="1"/>
    <x v="0"/>
    <s v="Técnico"/>
  </r>
  <r>
    <x v="126"/>
    <x v="2"/>
    <x v="102"/>
    <x v="2"/>
    <x v="1"/>
    <x v="2"/>
    <s v="Técnico"/>
  </r>
  <r>
    <x v="127"/>
    <x v="2"/>
    <x v="103"/>
    <x v="2"/>
    <x v="1"/>
    <x v="0"/>
    <s v="Técnico"/>
  </r>
  <r>
    <x v="128"/>
    <x v="2"/>
    <x v="104"/>
    <x v="2"/>
    <x v="1"/>
    <x v="2"/>
    <s v="Técnico"/>
  </r>
  <r>
    <x v="129"/>
    <x v="0"/>
    <x v="0"/>
    <x v="1"/>
    <x v="1"/>
    <x v="5"/>
    <s v="Técnico"/>
  </r>
  <r>
    <x v="130"/>
    <x v="2"/>
    <x v="105"/>
    <x v="2"/>
    <x v="1"/>
    <x v="0"/>
    <s v="Técnico"/>
  </r>
  <r>
    <x v="131"/>
    <x v="2"/>
    <x v="106"/>
    <x v="2"/>
    <x v="1"/>
    <x v="0"/>
    <s v="Técnico"/>
  </r>
  <r>
    <x v="132"/>
    <x v="2"/>
    <x v="107"/>
    <x v="2"/>
    <x v="1"/>
    <x v="2"/>
    <s v="Técnico"/>
  </r>
  <r>
    <x v="133"/>
    <x v="2"/>
    <x v="108"/>
    <x v="2"/>
    <x v="1"/>
    <x v="2"/>
    <s v="Técnico"/>
  </r>
  <r>
    <x v="134"/>
    <x v="2"/>
    <x v="109"/>
    <x v="2"/>
    <x v="1"/>
    <x v="0"/>
    <s v="Técnico"/>
  </r>
  <r>
    <x v="135"/>
    <x v="2"/>
    <x v="110"/>
    <x v="2"/>
    <x v="1"/>
    <x v="2"/>
    <s v="Técnico"/>
  </r>
  <r>
    <x v="136"/>
    <x v="2"/>
    <x v="111"/>
    <x v="2"/>
    <x v="1"/>
    <x v="0"/>
    <s v="Técnico"/>
  </r>
  <r>
    <x v="137"/>
    <x v="2"/>
    <x v="112"/>
    <x v="2"/>
    <x v="1"/>
    <x v="2"/>
    <s v="Técnico"/>
  </r>
  <r>
    <x v="138"/>
    <x v="2"/>
    <x v="113"/>
    <x v="2"/>
    <x v="1"/>
    <x v="2"/>
    <s v="Técnico"/>
  </r>
  <r>
    <x v="139"/>
    <x v="2"/>
    <x v="114"/>
    <x v="2"/>
    <x v="1"/>
    <x v="0"/>
    <s v="Técnico"/>
  </r>
  <r>
    <x v="140"/>
    <x v="2"/>
    <x v="115"/>
    <x v="2"/>
    <x v="1"/>
    <x v="0"/>
    <s v="Técnico"/>
  </r>
  <r>
    <x v="141"/>
    <x v="2"/>
    <x v="116"/>
    <x v="2"/>
    <x v="1"/>
    <x v="2"/>
    <s v="Técnico"/>
  </r>
  <r>
    <x v="142"/>
    <x v="2"/>
    <x v="117"/>
    <x v="2"/>
    <x v="1"/>
    <x v="0"/>
    <s v="Técnico"/>
  </r>
  <r>
    <x v="143"/>
    <x v="3"/>
    <x v="118"/>
    <x v="2"/>
    <x v="1"/>
    <x v="2"/>
    <s v="Técnico"/>
  </r>
  <r>
    <x v="144"/>
    <x v="0"/>
    <x v="0"/>
    <x v="1"/>
    <x v="1"/>
    <x v="5"/>
    <s v="Técnico"/>
  </r>
  <r>
    <x v="145"/>
    <x v="2"/>
    <x v="119"/>
    <x v="2"/>
    <x v="1"/>
    <x v="2"/>
    <s v="Técnico"/>
  </r>
  <r>
    <x v="146"/>
    <x v="0"/>
    <x v="0"/>
    <x v="1"/>
    <x v="1"/>
    <x v="5"/>
    <s v="Técnico"/>
  </r>
  <r>
    <x v="147"/>
    <x v="2"/>
    <x v="120"/>
    <x v="2"/>
    <x v="1"/>
    <x v="2"/>
    <s v="Técnico"/>
  </r>
  <r>
    <x v="148"/>
    <x v="2"/>
    <x v="121"/>
    <x v="2"/>
    <x v="1"/>
    <x v="0"/>
    <s v="Técnico"/>
  </r>
  <r>
    <x v="149"/>
    <x v="2"/>
    <x v="122"/>
    <x v="2"/>
    <x v="1"/>
    <x v="0"/>
    <s v="Técnico"/>
  </r>
  <r>
    <x v="150"/>
    <x v="0"/>
    <x v="0"/>
    <x v="1"/>
    <x v="1"/>
    <x v="5"/>
    <s v="Técnico"/>
  </r>
  <r>
    <x v="151"/>
    <x v="1"/>
    <x v="123"/>
    <x v="2"/>
    <x v="1"/>
    <x v="0"/>
    <s v="Técnico"/>
  </r>
  <r>
    <x v="152"/>
    <x v="4"/>
    <x v="124"/>
    <x v="2"/>
    <x v="1"/>
    <x v="0"/>
    <s v="Técnico"/>
  </r>
  <r>
    <x v="153"/>
    <x v="2"/>
    <x v="125"/>
    <x v="2"/>
    <x v="1"/>
    <x v="0"/>
    <s v="Técnico"/>
  </r>
  <r>
    <x v="154"/>
    <x v="2"/>
    <x v="126"/>
    <x v="2"/>
    <x v="1"/>
    <x v="2"/>
    <s v="Técnico"/>
  </r>
  <r>
    <x v="155"/>
    <x v="4"/>
    <x v="127"/>
    <x v="2"/>
    <x v="1"/>
    <x v="0"/>
    <s v="Técnico"/>
  </r>
  <r>
    <x v="156"/>
    <x v="1"/>
    <x v="73"/>
    <x v="2"/>
    <x v="1"/>
    <x v="0"/>
    <s v="Técnico"/>
  </r>
  <r>
    <x v="157"/>
    <x v="1"/>
    <x v="128"/>
    <x v="2"/>
    <x v="1"/>
    <x v="0"/>
    <s v="Técnico"/>
  </r>
  <r>
    <x v="158"/>
    <x v="0"/>
    <x v="0"/>
    <x v="1"/>
    <x v="1"/>
    <x v="5"/>
    <s v="Técnico"/>
  </r>
  <r>
    <x v="159"/>
    <x v="4"/>
    <x v="76"/>
    <x v="2"/>
    <x v="1"/>
    <x v="2"/>
    <s v="Técnico"/>
  </r>
  <r>
    <x v="160"/>
    <x v="5"/>
    <x v="77"/>
    <x v="2"/>
    <x v="1"/>
    <x v="2"/>
    <s v="Técnico"/>
  </r>
  <r>
    <x v="161"/>
    <x v="2"/>
    <x v="78"/>
    <x v="2"/>
    <x v="1"/>
    <x v="0"/>
    <s v="Técnico"/>
  </r>
  <r>
    <x v="162"/>
    <x v="2"/>
    <x v="79"/>
    <x v="2"/>
    <x v="1"/>
    <x v="0"/>
    <s v="Técnico"/>
  </r>
  <r>
    <x v="163"/>
    <x v="0"/>
    <x v="0"/>
    <x v="1"/>
    <x v="1"/>
    <x v="5"/>
    <s v="Técnico"/>
  </r>
  <r>
    <x v="164"/>
    <x v="2"/>
    <x v="129"/>
    <x v="2"/>
    <x v="1"/>
    <x v="0"/>
    <s v="Técnico"/>
  </r>
  <r>
    <x v="165"/>
    <x v="2"/>
    <x v="130"/>
    <x v="2"/>
    <x v="1"/>
    <x v="0"/>
    <s v="Técnico"/>
  </r>
  <r>
    <x v="166"/>
    <x v="2"/>
    <x v="131"/>
    <x v="2"/>
    <x v="1"/>
    <x v="0"/>
    <s v="Técnico"/>
  </r>
  <r>
    <x v="167"/>
    <x v="2"/>
    <x v="132"/>
    <x v="2"/>
    <x v="1"/>
    <x v="2"/>
    <s v="Técnico"/>
  </r>
  <r>
    <x v="168"/>
    <x v="2"/>
    <x v="133"/>
    <x v="2"/>
    <x v="1"/>
    <x v="2"/>
    <s v="Técnico"/>
  </r>
  <r>
    <x v="169"/>
    <x v="0"/>
    <x v="0"/>
    <x v="1"/>
    <x v="1"/>
    <x v="5"/>
    <s v="Técnico"/>
  </r>
  <r>
    <x v="170"/>
    <x v="2"/>
    <x v="134"/>
    <x v="2"/>
    <x v="1"/>
    <x v="2"/>
    <s v="Técnico"/>
  </r>
  <r>
    <x v="171"/>
    <x v="2"/>
    <x v="135"/>
    <x v="2"/>
    <x v="1"/>
    <x v="2"/>
    <s v="Técnico"/>
  </r>
  <r>
    <x v="172"/>
    <x v="0"/>
    <x v="0"/>
    <x v="1"/>
    <x v="1"/>
    <x v="5"/>
    <s v="Técnico"/>
  </r>
  <r>
    <x v="173"/>
    <x v="0"/>
    <x v="0"/>
    <x v="1"/>
    <x v="1"/>
    <x v="5"/>
    <s v="Técnico"/>
  </r>
  <r>
    <x v="174"/>
    <x v="0"/>
    <x v="0"/>
    <x v="1"/>
    <x v="1"/>
    <x v="5"/>
    <s v="Técnico"/>
  </r>
  <r>
    <x v="175"/>
    <x v="6"/>
    <x v="136"/>
    <x v="3"/>
    <x v="2"/>
    <x v="6"/>
    <s v="Técnico"/>
  </r>
  <r>
    <x v="176"/>
    <x v="6"/>
    <x v="136"/>
    <x v="3"/>
    <x v="2"/>
    <x v="6"/>
    <s v="Técnico"/>
  </r>
  <r>
    <x v="177"/>
    <x v="6"/>
    <x v="136"/>
    <x v="3"/>
    <x v="2"/>
    <x v="6"/>
    <s v="Técnico"/>
  </r>
  <r>
    <x v="178"/>
    <x v="6"/>
    <x v="136"/>
    <x v="3"/>
    <x v="2"/>
    <x v="6"/>
    <s v="Técnico"/>
  </r>
  <r>
    <x v="179"/>
    <x v="6"/>
    <x v="136"/>
    <x v="3"/>
    <x v="2"/>
    <x v="6"/>
    <s v="Técnico"/>
  </r>
  <r>
    <x v="180"/>
    <x v="6"/>
    <x v="136"/>
    <x v="3"/>
    <x v="2"/>
    <x v="6"/>
    <s v="Técnico"/>
  </r>
  <r>
    <x v="181"/>
    <x v="6"/>
    <x v="136"/>
    <x v="3"/>
    <x v="2"/>
    <x v="6"/>
    <s v="Técnico"/>
  </r>
  <r>
    <x v="182"/>
    <x v="6"/>
    <x v="136"/>
    <x v="3"/>
    <x v="2"/>
    <x v="6"/>
    <s v="Técnico"/>
  </r>
  <r>
    <x v="183"/>
    <x v="6"/>
    <x v="136"/>
    <x v="3"/>
    <x v="2"/>
    <x v="6"/>
    <s v="Técnico"/>
  </r>
  <r>
    <x v="184"/>
    <x v="0"/>
    <x v="0"/>
    <x v="1"/>
    <x v="1"/>
    <x v="5"/>
    <s v="Técnico"/>
  </r>
  <r>
    <x v="185"/>
    <x v="1"/>
    <x v="137"/>
    <x v="1"/>
    <x v="1"/>
    <x v="5"/>
    <s v="Técnico"/>
  </r>
  <r>
    <x v="186"/>
    <x v="1"/>
    <x v="138"/>
    <x v="4"/>
    <x v="1"/>
    <x v="5"/>
    <s v="Técnico"/>
  </r>
  <r>
    <x v="187"/>
    <x v="7"/>
    <x v="87"/>
    <x v="4"/>
    <x v="1"/>
    <x v="5"/>
    <s v="Técnico"/>
  </r>
  <r>
    <x v="188"/>
    <x v="7"/>
    <x v="88"/>
    <x v="4"/>
    <x v="1"/>
    <x v="5"/>
    <s v="Técnico"/>
  </r>
  <r>
    <x v="189"/>
    <x v="7"/>
    <x v="139"/>
    <x v="4"/>
    <x v="1"/>
    <x v="5"/>
    <s v="Técnico"/>
  </r>
  <r>
    <x v="190"/>
    <x v="1"/>
    <x v="140"/>
    <x v="4"/>
    <x v="1"/>
    <x v="5"/>
    <s v="Técnico"/>
  </r>
  <r>
    <x v="191"/>
    <x v="0"/>
    <x v="0"/>
    <x v="1"/>
    <x v="1"/>
    <x v="5"/>
    <s v="Técnico"/>
  </r>
  <r>
    <x v="192"/>
    <x v="2"/>
    <x v="141"/>
    <x v="4"/>
    <x v="1"/>
    <x v="5"/>
    <s v="Técnico"/>
  </r>
  <r>
    <x v="193"/>
    <x v="2"/>
    <x v="142"/>
    <x v="4"/>
    <x v="1"/>
    <x v="5"/>
    <s v="Técnico"/>
  </r>
  <r>
    <x v="194"/>
    <x v="2"/>
    <x v="143"/>
    <x v="4"/>
    <x v="1"/>
    <x v="5"/>
    <s v="Técnico"/>
  </r>
  <r>
    <x v="195"/>
    <x v="2"/>
    <x v="144"/>
    <x v="4"/>
    <x v="1"/>
    <x v="5"/>
    <s v="Técnico"/>
  </r>
  <r>
    <x v="196"/>
    <x v="2"/>
    <x v="145"/>
    <x v="4"/>
    <x v="1"/>
    <x v="5"/>
    <s v="Técnico"/>
  </r>
  <r>
    <x v="197"/>
    <x v="0"/>
    <x v="0"/>
    <x v="1"/>
    <x v="1"/>
    <x v="5"/>
    <s v="Técnico"/>
  </r>
  <r>
    <x v="198"/>
    <x v="2"/>
    <x v="146"/>
    <x v="4"/>
    <x v="1"/>
    <x v="5"/>
    <s v="Técnico"/>
  </r>
  <r>
    <x v="199"/>
    <x v="2"/>
    <x v="147"/>
    <x v="4"/>
    <x v="1"/>
    <x v="5"/>
    <s v="Técnico"/>
  </r>
  <r>
    <x v="200"/>
    <x v="2"/>
    <x v="148"/>
    <x v="4"/>
    <x v="1"/>
    <x v="5"/>
    <s v="Técnico"/>
  </r>
  <r>
    <x v="201"/>
    <x v="2"/>
    <x v="149"/>
    <x v="4"/>
    <x v="1"/>
    <x v="5"/>
    <s v="Técnico"/>
  </r>
  <r>
    <x v="202"/>
    <x v="2"/>
    <x v="150"/>
    <x v="4"/>
    <x v="1"/>
    <x v="5"/>
    <s v="Técnico"/>
  </r>
  <r>
    <x v="203"/>
    <x v="2"/>
    <x v="151"/>
    <x v="4"/>
    <x v="1"/>
    <x v="5"/>
    <s v="Técnico"/>
  </r>
  <r>
    <x v="204"/>
    <x v="2"/>
    <x v="152"/>
    <x v="4"/>
    <x v="1"/>
    <x v="5"/>
    <s v="Técnico"/>
  </r>
  <r>
    <x v="205"/>
    <x v="2"/>
    <x v="153"/>
    <x v="4"/>
    <x v="1"/>
    <x v="5"/>
    <s v="Técnico"/>
  </r>
  <r>
    <x v="206"/>
    <x v="2"/>
    <x v="154"/>
    <x v="4"/>
    <x v="1"/>
    <x v="5"/>
    <s v="Técnico"/>
  </r>
  <r>
    <x v="207"/>
    <x v="2"/>
    <x v="155"/>
    <x v="4"/>
    <x v="1"/>
    <x v="5"/>
    <s v="Técnico"/>
  </r>
  <r>
    <x v="208"/>
    <x v="2"/>
    <x v="156"/>
    <x v="4"/>
    <x v="1"/>
    <x v="5"/>
    <s v="Técnico"/>
  </r>
  <r>
    <x v="209"/>
    <x v="0"/>
    <x v="0"/>
    <x v="1"/>
    <x v="1"/>
    <x v="5"/>
    <s v="Técnico"/>
  </r>
  <r>
    <x v="210"/>
    <x v="2"/>
    <x v="157"/>
    <x v="4"/>
    <x v="1"/>
    <x v="5"/>
    <s v="Técnico"/>
  </r>
  <r>
    <x v="211"/>
    <x v="2"/>
    <x v="158"/>
    <x v="4"/>
    <x v="1"/>
    <x v="5"/>
    <s v="Técnico"/>
  </r>
  <r>
    <x v="212"/>
    <x v="0"/>
    <x v="0"/>
    <x v="1"/>
    <x v="1"/>
    <x v="5"/>
    <s v="Técnico"/>
  </r>
  <r>
    <x v="213"/>
    <x v="7"/>
    <x v="159"/>
    <x v="4"/>
    <x v="1"/>
    <x v="5"/>
    <s v="Técnico"/>
  </r>
  <r>
    <x v="214"/>
    <x v="7"/>
    <x v="160"/>
    <x v="4"/>
    <x v="1"/>
    <x v="5"/>
    <s v="Técnico"/>
  </r>
  <r>
    <x v="215"/>
    <x v="7"/>
    <x v="161"/>
    <x v="4"/>
    <x v="1"/>
    <x v="5"/>
    <s v="Técnico"/>
  </r>
  <r>
    <x v="216"/>
    <x v="1"/>
    <x v="73"/>
    <x v="4"/>
    <x v="1"/>
    <x v="5"/>
    <s v="Técnico"/>
  </r>
  <r>
    <x v="217"/>
    <x v="1"/>
    <x v="74"/>
    <x v="4"/>
    <x v="1"/>
    <x v="5"/>
    <s v="Técnico"/>
  </r>
  <r>
    <x v="218"/>
    <x v="0"/>
    <x v="0"/>
    <x v="1"/>
    <x v="1"/>
    <x v="5"/>
    <s v="Técnico"/>
  </r>
  <r>
    <x v="219"/>
    <x v="7"/>
    <x v="76"/>
    <x v="4"/>
    <x v="1"/>
    <x v="5"/>
    <s v="Técnico"/>
  </r>
  <r>
    <x v="220"/>
    <x v="5"/>
    <x v="77"/>
    <x v="4"/>
    <x v="1"/>
    <x v="5"/>
    <s v="Técnico"/>
  </r>
  <r>
    <x v="221"/>
    <x v="2"/>
    <x v="78"/>
    <x v="4"/>
    <x v="1"/>
    <x v="5"/>
    <s v="Técnico"/>
  </r>
  <r>
    <x v="222"/>
    <x v="2"/>
    <x v="79"/>
    <x v="4"/>
    <x v="1"/>
    <x v="5"/>
    <s v="Técnico"/>
  </r>
  <r>
    <x v="223"/>
    <x v="0"/>
    <x v="0"/>
    <x v="1"/>
    <x v="1"/>
    <x v="5"/>
    <s v="Técnico"/>
  </r>
  <r>
    <x v="224"/>
    <x v="2"/>
    <x v="162"/>
    <x v="4"/>
    <x v="1"/>
    <x v="5"/>
    <s v="Técnico"/>
  </r>
  <r>
    <x v="225"/>
    <x v="2"/>
    <x v="163"/>
    <x v="4"/>
    <x v="1"/>
    <x v="5"/>
    <s v="Técnico"/>
  </r>
  <r>
    <x v="226"/>
    <x v="2"/>
    <x v="164"/>
    <x v="4"/>
    <x v="1"/>
    <x v="5"/>
    <s v="Técnico"/>
  </r>
  <r>
    <x v="227"/>
    <x v="0"/>
    <x v="0"/>
    <x v="1"/>
    <x v="1"/>
    <x v="5"/>
    <s v="Técnico"/>
  </r>
  <r>
    <x v="228"/>
    <x v="0"/>
    <x v="0"/>
    <x v="1"/>
    <x v="1"/>
    <x v="5"/>
    <s v="Técnico"/>
  </r>
  <r>
    <x v="229"/>
    <x v="6"/>
    <x v="136"/>
    <x v="3"/>
    <x v="2"/>
    <x v="6"/>
    <s v="Técnico"/>
  </r>
  <r>
    <x v="230"/>
    <x v="6"/>
    <x v="136"/>
    <x v="3"/>
    <x v="2"/>
    <x v="6"/>
    <s v="Técnico"/>
  </r>
  <r>
    <x v="231"/>
    <x v="6"/>
    <x v="136"/>
    <x v="3"/>
    <x v="2"/>
    <x v="6"/>
    <s v="Técnico"/>
  </r>
  <r>
    <x v="232"/>
    <x v="6"/>
    <x v="136"/>
    <x v="3"/>
    <x v="2"/>
    <x v="6"/>
    <s v="Técnico"/>
  </r>
  <r>
    <x v="233"/>
    <x v="6"/>
    <x v="136"/>
    <x v="3"/>
    <x v="2"/>
    <x v="6"/>
    <s v="Técnico"/>
  </r>
  <r>
    <x v="234"/>
    <x v="6"/>
    <x v="136"/>
    <x v="3"/>
    <x v="2"/>
    <x v="6"/>
    <s v="Técnico"/>
  </r>
  <r>
    <x v="235"/>
    <x v="6"/>
    <x v="136"/>
    <x v="3"/>
    <x v="2"/>
    <x v="6"/>
    <s v="Técnico"/>
  </r>
  <r>
    <x v="236"/>
    <x v="6"/>
    <x v="136"/>
    <x v="3"/>
    <x v="2"/>
    <x v="6"/>
    <s v="Técnico"/>
  </r>
  <r>
    <x v="237"/>
    <x v="6"/>
    <x v="136"/>
    <x v="3"/>
    <x v="2"/>
    <x v="6"/>
    <s v="Técnico"/>
  </r>
  <r>
    <x v="238"/>
    <x v="0"/>
    <x v="0"/>
    <x v="1"/>
    <x v="1"/>
    <x v="5"/>
    <s v="Técnico"/>
  </r>
  <r>
    <x v="239"/>
    <x v="2"/>
    <x v="165"/>
    <x v="1"/>
    <x v="1"/>
    <x v="5"/>
    <s v="Técnico"/>
  </r>
  <r>
    <x v="240"/>
    <x v="2"/>
    <x v="166"/>
    <x v="4"/>
    <x v="1"/>
    <x v="5"/>
    <s v="Técnico"/>
  </r>
  <r>
    <x v="241"/>
    <x v="2"/>
    <x v="167"/>
    <x v="4"/>
    <x v="1"/>
    <x v="5"/>
    <s v="Técnico"/>
  </r>
  <r>
    <x v="242"/>
    <x v="2"/>
    <x v="168"/>
    <x v="4"/>
    <x v="1"/>
    <x v="5"/>
    <s v="Técnico"/>
  </r>
  <r>
    <x v="243"/>
    <x v="2"/>
    <x v="169"/>
    <x v="4"/>
    <x v="1"/>
    <x v="5"/>
    <s v="Técnico"/>
  </r>
  <r>
    <x v="244"/>
    <x v="2"/>
    <x v="170"/>
    <x v="4"/>
    <x v="1"/>
    <x v="5"/>
    <s v="Técnico"/>
  </r>
  <r>
    <x v="245"/>
    <x v="0"/>
    <x v="0"/>
    <x v="1"/>
    <x v="1"/>
    <x v="5"/>
    <s v="Técnico"/>
  </r>
  <r>
    <x v="246"/>
    <x v="1"/>
    <x v="171"/>
    <x v="4"/>
    <x v="1"/>
    <x v="5"/>
    <s v="Técnico"/>
  </r>
  <r>
    <x v="247"/>
    <x v="1"/>
    <x v="172"/>
    <x v="4"/>
    <x v="1"/>
    <x v="5"/>
    <s v="Técnico"/>
  </r>
  <r>
    <x v="248"/>
    <x v="4"/>
    <x v="173"/>
    <x v="4"/>
    <x v="1"/>
    <x v="5"/>
    <s v="Técnico"/>
  </r>
  <r>
    <x v="249"/>
    <x v="4"/>
    <x v="88"/>
    <x v="4"/>
    <x v="1"/>
    <x v="5"/>
    <s v="Técnico"/>
  </r>
  <r>
    <x v="250"/>
    <x v="0"/>
    <x v="0"/>
    <x v="1"/>
    <x v="1"/>
    <x v="5"/>
    <s v="Técnico"/>
  </r>
  <r>
    <x v="251"/>
    <x v="8"/>
    <x v="174"/>
    <x v="4"/>
    <x v="1"/>
    <x v="5"/>
    <s v="Técnico"/>
  </r>
  <r>
    <x v="252"/>
    <x v="8"/>
    <x v="175"/>
    <x v="4"/>
    <x v="1"/>
    <x v="5"/>
    <s v="Técnico"/>
  </r>
  <r>
    <x v="253"/>
    <x v="8"/>
    <x v="176"/>
    <x v="4"/>
    <x v="1"/>
    <x v="5"/>
    <s v="Técnico"/>
  </r>
  <r>
    <x v="254"/>
    <x v="8"/>
    <x v="177"/>
    <x v="4"/>
    <x v="1"/>
    <x v="5"/>
    <s v="Técnico"/>
  </r>
  <r>
    <x v="255"/>
    <x v="8"/>
    <x v="178"/>
    <x v="4"/>
    <x v="1"/>
    <x v="5"/>
    <s v="Técnico"/>
  </r>
  <r>
    <x v="256"/>
    <x v="0"/>
    <x v="0"/>
    <x v="1"/>
    <x v="1"/>
    <x v="5"/>
    <s v="Técnico"/>
  </r>
  <r>
    <x v="257"/>
    <x v="8"/>
    <x v="179"/>
    <x v="4"/>
    <x v="1"/>
    <x v="5"/>
    <s v="Técnico"/>
  </r>
  <r>
    <x v="258"/>
    <x v="8"/>
    <x v="180"/>
    <x v="4"/>
    <x v="1"/>
    <x v="5"/>
    <s v="Técnico"/>
  </r>
  <r>
    <x v="259"/>
    <x v="8"/>
    <x v="181"/>
    <x v="4"/>
    <x v="1"/>
    <x v="5"/>
    <s v="Técnico"/>
  </r>
  <r>
    <x v="260"/>
    <x v="8"/>
    <x v="182"/>
    <x v="4"/>
    <x v="1"/>
    <x v="5"/>
    <s v="Técnico"/>
  </r>
  <r>
    <x v="261"/>
    <x v="8"/>
    <x v="183"/>
    <x v="4"/>
    <x v="1"/>
    <x v="5"/>
    <s v="Técnico"/>
  </r>
  <r>
    <x v="262"/>
    <x v="8"/>
    <x v="184"/>
    <x v="4"/>
    <x v="1"/>
    <x v="5"/>
    <s v="Técnico"/>
  </r>
  <r>
    <x v="263"/>
    <x v="8"/>
    <x v="185"/>
    <x v="4"/>
    <x v="1"/>
    <x v="5"/>
    <s v="Técnico"/>
  </r>
  <r>
    <x v="264"/>
    <x v="8"/>
    <x v="186"/>
    <x v="4"/>
    <x v="1"/>
    <x v="5"/>
    <s v="Técnico"/>
  </r>
  <r>
    <x v="265"/>
    <x v="8"/>
    <x v="187"/>
    <x v="4"/>
    <x v="1"/>
    <x v="5"/>
    <s v="Técnico"/>
  </r>
  <r>
    <x v="266"/>
    <x v="0"/>
    <x v="0"/>
    <x v="1"/>
    <x v="1"/>
    <x v="5"/>
    <s v="Técnico"/>
  </r>
  <r>
    <x v="267"/>
    <x v="8"/>
    <x v="188"/>
    <x v="4"/>
    <x v="1"/>
    <x v="5"/>
    <s v="Técnico"/>
  </r>
  <r>
    <x v="268"/>
    <x v="8"/>
    <x v="189"/>
    <x v="4"/>
    <x v="1"/>
    <x v="5"/>
    <s v="Técnico"/>
  </r>
  <r>
    <x v="269"/>
    <x v="8"/>
    <x v="190"/>
    <x v="4"/>
    <x v="1"/>
    <x v="5"/>
    <s v="Técnico"/>
  </r>
  <r>
    <x v="270"/>
    <x v="8"/>
    <x v="191"/>
    <x v="4"/>
    <x v="1"/>
    <x v="5"/>
    <s v="Técnico"/>
  </r>
  <r>
    <x v="271"/>
    <x v="8"/>
    <x v="192"/>
    <x v="4"/>
    <x v="1"/>
    <x v="5"/>
    <s v="Técnico"/>
  </r>
  <r>
    <x v="272"/>
    <x v="0"/>
    <x v="0"/>
    <x v="1"/>
    <x v="1"/>
    <x v="5"/>
    <s v="Técnico"/>
  </r>
  <r>
    <x v="273"/>
    <x v="2"/>
    <x v="193"/>
    <x v="4"/>
    <x v="1"/>
    <x v="5"/>
    <s v="Técnico"/>
  </r>
  <r>
    <x v="274"/>
    <x v="2"/>
    <x v="194"/>
    <x v="4"/>
    <x v="1"/>
    <x v="5"/>
    <s v="Técnico"/>
  </r>
  <r>
    <x v="275"/>
    <x v="2"/>
    <x v="195"/>
    <x v="4"/>
    <x v="1"/>
    <x v="5"/>
    <s v="Técnico"/>
  </r>
  <r>
    <x v="276"/>
    <x v="3"/>
    <x v="196"/>
    <x v="4"/>
    <x v="1"/>
    <x v="5"/>
    <s v="Técnico"/>
  </r>
  <r>
    <x v="277"/>
    <x v="3"/>
    <x v="197"/>
    <x v="4"/>
    <x v="1"/>
    <x v="5"/>
    <s v="Técnico"/>
  </r>
  <r>
    <x v="278"/>
    <x v="3"/>
    <x v="198"/>
    <x v="4"/>
    <x v="1"/>
    <x v="5"/>
    <s v="Técnico"/>
  </r>
  <r>
    <x v="279"/>
    <x v="0"/>
    <x v="0"/>
    <x v="1"/>
    <x v="1"/>
    <x v="5"/>
    <s v="Técnico"/>
  </r>
  <r>
    <x v="280"/>
    <x v="2"/>
    <x v="157"/>
    <x v="4"/>
    <x v="1"/>
    <x v="5"/>
    <s v="Técnico"/>
  </r>
  <r>
    <x v="281"/>
    <x v="2"/>
    <x v="199"/>
    <x v="4"/>
    <x v="1"/>
    <x v="5"/>
    <s v="Técnico"/>
  </r>
  <r>
    <x v="282"/>
    <x v="2"/>
    <x v="200"/>
    <x v="4"/>
    <x v="1"/>
    <x v="5"/>
    <s v="Técnico"/>
  </r>
  <r>
    <x v="283"/>
    <x v="2"/>
    <x v="201"/>
    <x v="4"/>
    <x v="1"/>
    <x v="5"/>
    <s v="Técnico"/>
  </r>
  <r>
    <x v="284"/>
    <x v="2"/>
    <x v="202"/>
    <x v="4"/>
    <x v="1"/>
    <x v="5"/>
    <s v="Técnico"/>
  </r>
  <r>
    <x v="285"/>
    <x v="2"/>
    <x v="203"/>
    <x v="4"/>
    <x v="1"/>
    <x v="5"/>
    <s v="Técnico"/>
  </r>
  <r>
    <x v="286"/>
    <x v="3"/>
    <x v="204"/>
    <x v="4"/>
    <x v="1"/>
    <x v="5"/>
    <s v="Técnico"/>
  </r>
  <r>
    <x v="287"/>
    <x v="2"/>
    <x v="205"/>
    <x v="4"/>
    <x v="1"/>
    <x v="5"/>
    <s v="Técnico"/>
  </r>
  <r>
    <x v="288"/>
    <x v="2"/>
    <x v="206"/>
    <x v="4"/>
    <x v="1"/>
    <x v="5"/>
    <s v="Técnico"/>
  </r>
  <r>
    <x v="289"/>
    <x v="2"/>
    <x v="207"/>
    <x v="4"/>
    <x v="1"/>
    <x v="5"/>
    <s v="Técnico"/>
  </r>
  <r>
    <x v="290"/>
    <x v="2"/>
    <x v="208"/>
    <x v="4"/>
    <x v="1"/>
    <x v="5"/>
    <s v="Técnico"/>
  </r>
  <r>
    <x v="291"/>
    <x v="2"/>
    <x v="209"/>
    <x v="4"/>
    <x v="1"/>
    <x v="5"/>
    <s v="Técnico"/>
  </r>
  <r>
    <x v="292"/>
    <x v="2"/>
    <x v="210"/>
    <x v="4"/>
    <x v="1"/>
    <x v="5"/>
    <s v="Técnico"/>
  </r>
  <r>
    <x v="293"/>
    <x v="2"/>
    <x v="211"/>
    <x v="4"/>
    <x v="1"/>
    <x v="5"/>
    <s v="Técnico"/>
  </r>
  <r>
    <x v="294"/>
    <x v="0"/>
    <x v="0"/>
    <x v="1"/>
    <x v="1"/>
    <x v="5"/>
    <s v="Técnico"/>
  </r>
  <r>
    <x v="295"/>
    <x v="2"/>
    <x v="212"/>
    <x v="4"/>
    <x v="1"/>
    <x v="5"/>
    <s v="Técnico"/>
  </r>
  <r>
    <x v="296"/>
    <x v="3"/>
    <x v="213"/>
    <x v="4"/>
    <x v="1"/>
    <x v="5"/>
    <s v="Técnico"/>
  </r>
  <r>
    <x v="297"/>
    <x v="3"/>
    <x v="214"/>
    <x v="4"/>
    <x v="1"/>
    <x v="5"/>
    <s v="Técnico"/>
  </r>
  <r>
    <x v="298"/>
    <x v="2"/>
    <x v="215"/>
    <x v="4"/>
    <x v="1"/>
    <x v="5"/>
    <s v="Técnico"/>
  </r>
  <r>
    <x v="299"/>
    <x v="0"/>
    <x v="0"/>
    <x v="1"/>
    <x v="1"/>
    <x v="5"/>
    <s v="Técnico"/>
  </r>
  <r>
    <x v="300"/>
    <x v="4"/>
    <x v="216"/>
    <x v="4"/>
    <x v="1"/>
    <x v="5"/>
    <s v="Técnico"/>
  </r>
  <r>
    <x v="301"/>
    <x v="4"/>
    <x v="217"/>
    <x v="4"/>
    <x v="1"/>
    <x v="5"/>
    <s v="Técnico"/>
  </r>
  <r>
    <x v="302"/>
    <x v="4"/>
    <x v="218"/>
    <x v="4"/>
    <x v="1"/>
    <x v="5"/>
    <s v="Técnico"/>
  </r>
  <r>
    <x v="303"/>
    <x v="1"/>
    <x v="73"/>
    <x v="4"/>
    <x v="1"/>
    <x v="5"/>
    <s v="Técnico"/>
  </r>
  <r>
    <x v="304"/>
    <x v="1"/>
    <x v="74"/>
    <x v="4"/>
    <x v="1"/>
    <x v="5"/>
    <s v="Técnico"/>
  </r>
  <r>
    <x v="305"/>
    <x v="0"/>
    <x v="0"/>
    <x v="1"/>
    <x v="1"/>
    <x v="5"/>
    <s v="Técnico"/>
  </r>
  <r>
    <x v="306"/>
    <x v="7"/>
    <x v="76"/>
    <x v="4"/>
    <x v="1"/>
    <x v="5"/>
    <s v="Técnico"/>
  </r>
  <r>
    <x v="307"/>
    <x v="5"/>
    <x v="77"/>
    <x v="4"/>
    <x v="1"/>
    <x v="5"/>
    <s v="Técnico"/>
  </r>
  <r>
    <x v="308"/>
    <x v="2"/>
    <x v="78"/>
    <x v="4"/>
    <x v="1"/>
    <x v="5"/>
    <s v="Técnico"/>
  </r>
  <r>
    <x v="309"/>
    <x v="2"/>
    <x v="219"/>
    <x v="4"/>
    <x v="1"/>
    <x v="5"/>
    <s v="Técnico"/>
  </r>
  <r>
    <x v="310"/>
    <x v="0"/>
    <x v="0"/>
    <x v="1"/>
    <x v="1"/>
    <x v="5"/>
    <s v="Técnico"/>
  </r>
  <r>
    <x v="311"/>
    <x v="0"/>
    <x v="0"/>
    <x v="1"/>
    <x v="1"/>
    <x v="5"/>
    <s v="Técnico"/>
  </r>
  <r>
    <x v="312"/>
    <x v="0"/>
    <x v="0"/>
    <x v="1"/>
    <x v="1"/>
    <x v="5"/>
    <s v="Técnico"/>
  </r>
  <r>
    <x v="313"/>
    <x v="0"/>
    <x v="0"/>
    <x v="1"/>
    <x v="1"/>
    <x v="5"/>
    <s v="Técnico"/>
  </r>
  <r>
    <x v="314"/>
    <x v="0"/>
    <x v="0"/>
    <x v="1"/>
    <x v="1"/>
    <x v="5"/>
    <s v="Técnico"/>
  </r>
  <r>
    <x v="315"/>
    <x v="0"/>
    <x v="0"/>
    <x v="1"/>
    <x v="1"/>
    <x v="5"/>
    <s v="Técnico"/>
  </r>
  <r>
    <x v="316"/>
    <x v="0"/>
    <x v="0"/>
    <x v="1"/>
    <x v="1"/>
    <x v="5"/>
    <s v="Técnico"/>
  </r>
  <r>
    <x v="317"/>
    <x v="0"/>
    <x v="0"/>
    <x v="1"/>
    <x v="1"/>
    <x v="5"/>
    <s v="Técnico"/>
  </r>
  <r>
    <x v="318"/>
    <x v="6"/>
    <x v="136"/>
    <x v="3"/>
    <x v="2"/>
    <x v="6"/>
    <s v="Técnico"/>
  </r>
  <r>
    <x v="319"/>
    <x v="6"/>
    <x v="136"/>
    <x v="3"/>
    <x v="2"/>
    <x v="6"/>
    <s v="Técnico"/>
  </r>
  <r>
    <x v="320"/>
    <x v="6"/>
    <x v="136"/>
    <x v="3"/>
    <x v="2"/>
    <x v="6"/>
    <s v="Técnico"/>
  </r>
  <r>
    <x v="321"/>
    <x v="6"/>
    <x v="136"/>
    <x v="3"/>
    <x v="2"/>
    <x v="6"/>
    <s v="Técnico"/>
  </r>
  <r>
    <x v="322"/>
    <x v="6"/>
    <x v="136"/>
    <x v="3"/>
    <x v="2"/>
    <x v="6"/>
    <s v="Técnico"/>
  </r>
  <r>
    <x v="323"/>
    <x v="6"/>
    <x v="136"/>
    <x v="3"/>
    <x v="2"/>
    <x v="6"/>
    <s v="Técnico"/>
  </r>
  <r>
    <x v="324"/>
    <x v="6"/>
    <x v="136"/>
    <x v="3"/>
    <x v="2"/>
    <x v="6"/>
    <s v="Técnico"/>
  </r>
  <r>
    <x v="325"/>
    <x v="6"/>
    <x v="136"/>
    <x v="3"/>
    <x v="2"/>
    <x v="6"/>
    <s v="Técnico"/>
  </r>
  <r>
    <x v="326"/>
    <x v="6"/>
    <x v="136"/>
    <x v="3"/>
    <x v="2"/>
    <x v="6"/>
    <s v="Técnico"/>
  </r>
  <r>
    <x v="327"/>
    <x v="0"/>
    <x v="0"/>
    <x v="1"/>
    <x v="1"/>
    <x v="5"/>
    <s v="Técnico"/>
  </r>
  <r>
    <x v="328"/>
    <x v="2"/>
    <x v="220"/>
    <x v="1"/>
    <x v="1"/>
    <x v="5"/>
    <s v="Técnico"/>
  </r>
  <r>
    <x v="329"/>
    <x v="2"/>
    <x v="170"/>
    <x v="4"/>
    <x v="1"/>
    <x v="5"/>
    <s v="Técnico"/>
  </r>
  <r>
    <x v="330"/>
    <x v="0"/>
    <x v="0"/>
    <x v="1"/>
    <x v="1"/>
    <x v="5"/>
    <s v="Técnico"/>
  </r>
  <r>
    <x v="331"/>
    <x v="1"/>
    <x v="221"/>
    <x v="4"/>
    <x v="1"/>
    <x v="5"/>
    <s v="Técnico"/>
  </r>
  <r>
    <x v="332"/>
    <x v="1"/>
    <x v="172"/>
    <x v="4"/>
    <x v="1"/>
    <x v="5"/>
    <s v="Técnico"/>
  </r>
  <r>
    <x v="333"/>
    <x v="4"/>
    <x v="173"/>
    <x v="4"/>
    <x v="1"/>
    <x v="5"/>
    <s v="Técnico"/>
  </r>
  <r>
    <x v="334"/>
    <x v="4"/>
    <x v="88"/>
    <x v="4"/>
    <x v="1"/>
    <x v="5"/>
    <s v="Técnico"/>
  </r>
  <r>
    <x v="335"/>
    <x v="0"/>
    <x v="0"/>
    <x v="1"/>
    <x v="1"/>
    <x v="5"/>
    <s v="Técnico"/>
  </r>
  <r>
    <x v="336"/>
    <x v="8"/>
    <x v="174"/>
    <x v="4"/>
    <x v="1"/>
    <x v="5"/>
    <s v="Técnico"/>
  </r>
  <r>
    <x v="337"/>
    <x v="8"/>
    <x v="175"/>
    <x v="4"/>
    <x v="1"/>
    <x v="5"/>
    <s v="Técnico"/>
  </r>
  <r>
    <x v="338"/>
    <x v="8"/>
    <x v="222"/>
    <x v="4"/>
    <x v="1"/>
    <x v="5"/>
    <s v="Técnico"/>
  </r>
  <r>
    <x v="339"/>
    <x v="8"/>
    <x v="223"/>
    <x v="4"/>
    <x v="1"/>
    <x v="5"/>
    <s v="Técnico"/>
  </r>
  <r>
    <x v="340"/>
    <x v="8"/>
    <x v="224"/>
    <x v="4"/>
    <x v="1"/>
    <x v="5"/>
    <s v="Técnico"/>
  </r>
  <r>
    <x v="341"/>
    <x v="8"/>
    <x v="225"/>
    <x v="4"/>
    <x v="1"/>
    <x v="5"/>
    <s v="Técnico"/>
  </r>
  <r>
    <x v="342"/>
    <x v="0"/>
    <x v="0"/>
    <x v="1"/>
    <x v="1"/>
    <x v="5"/>
    <s v="Técnico"/>
  </r>
  <r>
    <x v="343"/>
    <x v="8"/>
    <x v="179"/>
    <x v="4"/>
    <x v="1"/>
    <x v="5"/>
    <s v="Técnico"/>
  </r>
  <r>
    <x v="344"/>
    <x v="8"/>
    <x v="180"/>
    <x v="4"/>
    <x v="1"/>
    <x v="5"/>
    <s v="Técnico"/>
  </r>
  <r>
    <x v="345"/>
    <x v="8"/>
    <x v="181"/>
    <x v="4"/>
    <x v="1"/>
    <x v="5"/>
    <s v="Técnico"/>
  </r>
  <r>
    <x v="346"/>
    <x v="8"/>
    <x v="182"/>
    <x v="4"/>
    <x v="1"/>
    <x v="5"/>
    <s v="Técnico"/>
  </r>
  <r>
    <x v="347"/>
    <x v="8"/>
    <x v="183"/>
    <x v="4"/>
    <x v="1"/>
    <x v="5"/>
    <s v="Técnico"/>
  </r>
  <r>
    <x v="348"/>
    <x v="8"/>
    <x v="184"/>
    <x v="4"/>
    <x v="1"/>
    <x v="5"/>
    <s v="Técnico"/>
  </r>
  <r>
    <x v="349"/>
    <x v="8"/>
    <x v="226"/>
    <x v="4"/>
    <x v="1"/>
    <x v="5"/>
    <s v="Técnico"/>
  </r>
  <r>
    <x v="350"/>
    <x v="8"/>
    <x v="186"/>
    <x v="4"/>
    <x v="1"/>
    <x v="5"/>
    <s v="Técnico"/>
  </r>
  <r>
    <x v="351"/>
    <x v="8"/>
    <x v="227"/>
    <x v="4"/>
    <x v="1"/>
    <x v="5"/>
    <s v="Técnico"/>
  </r>
  <r>
    <x v="352"/>
    <x v="8"/>
    <x v="228"/>
    <x v="4"/>
    <x v="1"/>
    <x v="5"/>
    <s v="Técnico"/>
  </r>
  <r>
    <x v="353"/>
    <x v="8"/>
    <x v="229"/>
    <x v="4"/>
    <x v="1"/>
    <x v="5"/>
    <s v="Técnico"/>
  </r>
  <r>
    <x v="354"/>
    <x v="8"/>
    <x v="230"/>
    <x v="4"/>
    <x v="1"/>
    <x v="5"/>
    <s v="Técnico"/>
  </r>
  <r>
    <x v="355"/>
    <x v="8"/>
    <x v="231"/>
    <x v="4"/>
    <x v="1"/>
    <x v="5"/>
    <s v="Técnico"/>
  </r>
  <r>
    <x v="356"/>
    <x v="8"/>
    <x v="232"/>
    <x v="4"/>
    <x v="1"/>
    <x v="5"/>
    <s v="Técnico"/>
  </r>
  <r>
    <x v="357"/>
    <x v="0"/>
    <x v="0"/>
    <x v="1"/>
    <x v="1"/>
    <x v="5"/>
    <s v="Técnico"/>
  </r>
  <r>
    <x v="358"/>
    <x v="8"/>
    <x v="233"/>
    <x v="4"/>
    <x v="1"/>
    <x v="5"/>
    <s v="Técnico"/>
  </r>
  <r>
    <x v="359"/>
    <x v="8"/>
    <x v="191"/>
    <x v="4"/>
    <x v="1"/>
    <x v="5"/>
    <s v="Técnico"/>
  </r>
  <r>
    <x v="360"/>
    <x v="0"/>
    <x v="0"/>
    <x v="1"/>
    <x v="1"/>
    <x v="5"/>
    <s v="Técnico"/>
  </r>
  <r>
    <x v="361"/>
    <x v="2"/>
    <x v="157"/>
    <x v="4"/>
    <x v="1"/>
    <x v="5"/>
    <s v="Técnico"/>
  </r>
  <r>
    <x v="362"/>
    <x v="2"/>
    <x v="234"/>
    <x v="4"/>
    <x v="1"/>
    <x v="5"/>
    <s v="Técnico"/>
  </r>
  <r>
    <x v="363"/>
    <x v="2"/>
    <x v="200"/>
    <x v="4"/>
    <x v="1"/>
    <x v="5"/>
    <s v="Técnico"/>
  </r>
  <r>
    <x v="364"/>
    <x v="2"/>
    <x v="210"/>
    <x v="4"/>
    <x v="1"/>
    <x v="5"/>
    <s v="Técnico"/>
  </r>
  <r>
    <x v="365"/>
    <x v="2"/>
    <x v="211"/>
    <x v="4"/>
    <x v="1"/>
    <x v="5"/>
    <s v="Técnico"/>
  </r>
  <r>
    <x v="366"/>
    <x v="0"/>
    <x v="0"/>
    <x v="1"/>
    <x v="1"/>
    <x v="5"/>
    <s v="Técnico"/>
  </r>
  <r>
    <x v="367"/>
    <x v="2"/>
    <x v="235"/>
    <x v="4"/>
    <x v="1"/>
    <x v="5"/>
    <s v="Técnico"/>
  </r>
  <r>
    <x v="368"/>
    <x v="3"/>
    <x v="236"/>
    <x v="4"/>
    <x v="1"/>
    <x v="5"/>
    <s v="Técnico"/>
  </r>
  <r>
    <x v="369"/>
    <x v="3"/>
    <x v="237"/>
    <x v="4"/>
    <x v="1"/>
    <x v="5"/>
    <s v="Técnico"/>
  </r>
  <r>
    <x v="370"/>
    <x v="2"/>
    <x v="238"/>
    <x v="4"/>
    <x v="1"/>
    <x v="5"/>
    <s v="Técnico"/>
  </r>
  <r>
    <x v="371"/>
    <x v="0"/>
    <x v="0"/>
    <x v="1"/>
    <x v="1"/>
    <x v="5"/>
    <s v="Técnico"/>
  </r>
  <r>
    <x v="372"/>
    <x v="4"/>
    <x v="239"/>
    <x v="4"/>
    <x v="1"/>
    <x v="5"/>
    <s v="Técnico"/>
  </r>
  <r>
    <x v="373"/>
    <x v="4"/>
    <x v="240"/>
    <x v="4"/>
    <x v="1"/>
    <x v="5"/>
    <s v="Técnico"/>
  </r>
  <r>
    <x v="374"/>
    <x v="4"/>
    <x v="241"/>
    <x v="4"/>
    <x v="1"/>
    <x v="5"/>
    <s v="Técnico"/>
  </r>
  <r>
    <x v="375"/>
    <x v="1"/>
    <x v="73"/>
    <x v="4"/>
    <x v="1"/>
    <x v="5"/>
    <s v="Técnico"/>
  </r>
  <r>
    <x v="376"/>
    <x v="1"/>
    <x v="74"/>
    <x v="4"/>
    <x v="1"/>
    <x v="5"/>
    <s v="Técnico"/>
  </r>
  <r>
    <x v="377"/>
    <x v="0"/>
    <x v="0"/>
    <x v="1"/>
    <x v="1"/>
    <x v="5"/>
    <s v="Técnico"/>
  </r>
  <r>
    <x v="378"/>
    <x v="7"/>
    <x v="76"/>
    <x v="4"/>
    <x v="1"/>
    <x v="5"/>
    <s v="Técnico"/>
  </r>
  <r>
    <x v="379"/>
    <x v="5"/>
    <x v="77"/>
    <x v="4"/>
    <x v="1"/>
    <x v="5"/>
    <s v="Técnico"/>
  </r>
  <r>
    <x v="380"/>
    <x v="2"/>
    <x v="78"/>
    <x v="4"/>
    <x v="1"/>
    <x v="5"/>
    <s v="Técnico"/>
  </r>
  <r>
    <x v="381"/>
    <x v="2"/>
    <x v="219"/>
    <x v="4"/>
    <x v="1"/>
    <x v="5"/>
    <s v="Técnico"/>
  </r>
  <r>
    <x v="382"/>
    <x v="0"/>
    <x v="0"/>
    <x v="1"/>
    <x v="1"/>
    <x v="5"/>
    <s v="Técnico"/>
  </r>
  <r>
    <x v="383"/>
    <x v="0"/>
    <x v="0"/>
    <x v="1"/>
    <x v="1"/>
    <x v="5"/>
    <s v="Técnico"/>
  </r>
  <r>
    <x v="384"/>
    <x v="0"/>
    <x v="0"/>
    <x v="1"/>
    <x v="1"/>
    <x v="5"/>
    <s v="Técnico"/>
  </r>
  <r>
    <x v="385"/>
    <x v="0"/>
    <x v="0"/>
    <x v="1"/>
    <x v="1"/>
    <x v="5"/>
    <s v="Técnico"/>
  </r>
  <r>
    <x v="386"/>
    <x v="0"/>
    <x v="0"/>
    <x v="1"/>
    <x v="1"/>
    <x v="5"/>
    <s v="Técnico"/>
  </r>
  <r>
    <x v="387"/>
    <x v="0"/>
    <x v="0"/>
    <x v="1"/>
    <x v="1"/>
    <x v="5"/>
    <s v="Técnico"/>
  </r>
  <r>
    <x v="388"/>
    <x v="0"/>
    <x v="0"/>
    <x v="1"/>
    <x v="1"/>
    <x v="5"/>
    <s v="Técnico"/>
  </r>
  <r>
    <x v="389"/>
    <x v="0"/>
    <x v="0"/>
    <x v="1"/>
    <x v="1"/>
    <x v="5"/>
    <s v="Técnico"/>
  </r>
  <r>
    <x v="390"/>
    <x v="0"/>
    <x v="0"/>
    <x v="1"/>
    <x v="1"/>
    <x v="5"/>
    <s v="Técnico"/>
  </r>
  <r>
    <x v="391"/>
    <x v="6"/>
    <x v="136"/>
    <x v="3"/>
    <x v="2"/>
    <x v="6"/>
    <s v="Técnico"/>
  </r>
  <r>
    <x v="392"/>
    <x v="6"/>
    <x v="136"/>
    <x v="3"/>
    <x v="2"/>
    <x v="6"/>
    <s v="Técnico"/>
  </r>
  <r>
    <x v="393"/>
    <x v="6"/>
    <x v="136"/>
    <x v="3"/>
    <x v="2"/>
    <x v="6"/>
    <s v="Técnico"/>
  </r>
  <r>
    <x v="394"/>
    <x v="6"/>
    <x v="136"/>
    <x v="3"/>
    <x v="2"/>
    <x v="6"/>
    <s v="Técnico"/>
  </r>
  <r>
    <x v="395"/>
    <x v="6"/>
    <x v="136"/>
    <x v="3"/>
    <x v="2"/>
    <x v="6"/>
    <s v="Técnico"/>
  </r>
  <r>
    <x v="396"/>
    <x v="6"/>
    <x v="136"/>
    <x v="3"/>
    <x v="2"/>
    <x v="6"/>
    <s v="Técnico"/>
  </r>
  <r>
    <x v="397"/>
    <x v="6"/>
    <x v="136"/>
    <x v="3"/>
    <x v="2"/>
    <x v="6"/>
    <s v="Técnico"/>
  </r>
  <r>
    <x v="398"/>
    <x v="6"/>
    <x v="136"/>
    <x v="3"/>
    <x v="2"/>
    <x v="6"/>
    <s v="Técnico"/>
  </r>
  <r>
    <x v="399"/>
    <x v="6"/>
    <x v="136"/>
    <x v="3"/>
    <x v="2"/>
    <x v="6"/>
    <s v="Técnico"/>
  </r>
  <r>
    <x v="400"/>
    <x v="0"/>
    <x v="0"/>
    <x v="1"/>
    <x v="1"/>
    <x v="5"/>
    <s v="Técnico"/>
  </r>
  <r>
    <x v="401"/>
    <x v="1"/>
    <x v="242"/>
    <x v="1"/>
    <x v="1"/>
    <x v="5"/>
    <s v="Técnico"/>
  </r>
  <r>
    <x v="402"/>
    <x v="1"/>
    <x v="243"/>
    <x v="4"/>
    <x v="1"/>
    <x v="5"/>
    <s v="Técnico"/>
  </r>
  <r>
    <x v="403"/>
    <x v="7"/>
    <x v="87"/>
    <x v="4"/>
    <x v="1"/>
    <x v="5"/>
    <s v="Técnico"/>
  </r>
  <r>
    <x v="404"/>
    <x v="7"/>
    <x v="88"/>
    <x v="4"/>
    <x v="1"/>
    <x v="5"/>
    <s v="Técnico"/>
  </r>
  <r>
    <x v="405"/>
    <x v="0"/>
    <x v="0"/>
    <x v="1"/>
    <x v="1"/>
    <x v="5"/>
    <s v="Técnico"/>
  </r>
  <r>
    <x v="406"/>
    <x v="2"/>
    <x v="141"/>
    <x v="4"/>
    <x v="1"/>
    <x v="5"/>
    <s v="Técnico"/>
  </r>
  <r>
    <x v="407"/>
    <x v="2"/>
    <x v="142"/>
    <x v="4"/>
    <x v="1"/>
    <x v="5"/>
    <s v="Técnico"/>
  </r>
  <r>
    <x v="408"/>
    <x v="2"/>
    <x v="244"/>
    <x v="4"/>
    <x v="1"/>
    <x v="5"/>
    <s v="Técnico"/>
  </r>
  <r>
    <x v="409"/>
    <x v="2"/>
    <x v="145"/>
    <x v="4"/>
    <x v="1"/>
    <x v="5"/>
    <s v="Técnico"/>
  </r>
  <r>
    <x v="410"/>
    <x v="0"/>
    <x v="0"/>
    <x v="1"/>
    <x v="1"/>
    <x v="5"/>
    <s v="Técnico"/>
  </r>
  <r>
    <x v="411"/>
    <x v="2"/>
    <x v="245"/>
    <x v="4"/>
    <x v="1"/>
    <x v="5"/>
    <s v="Técnico"/>
  </r>
  <r>
    <x v="412"/>
    <x v="2"/>
    <x v="246"/>
    <x v="4"/>
    <x v="1"/>
    <x v="5"/>
    <s v="Técnico"/>
  </r>
  <r>
    <x v="413"/>
    <x v="2"/>
    <x v="247"/>
    <x v="4"/>
    <x v="1"/>
    <x v="5"/>
    <s v="Técnico"/>
  </r>
  <r>
    <x v="414"/>
    <x v="2"/>
    <x v="248"/>
    <x v="4"/>
    <x v="1"/>
    <x v="5"/>
    <s v="Técnico"/>
  </r>
  <r>
    <x v="415"/>
    <x v="2"/>
    <x v="249"/>
    <x v="4"/>
    <x v="1"/>
    <x v="5"/>
    <s v="Técnico"/>
  </r>
  <r>
    <x v="416"/>
    <x v="2"/>
    <x v="250"/>
    <x v="4"/>
    <x v="1"/>
    <x v="5"/>
    <s v="Técnico"/>
  </r>
  <r>
    <x v="417"/>
    <x v="2"/>
    <x v="251"/>
    <x v="4"/>
    <x v="1"/>
    <x v="5"/>
    <s v="Técnico"/>
  </r>
  <r>
    <x v="418"/>
    <x v="2"/>
    <x v="252"/>
    <x v="4"/>
    <x v="1"/>
    <x v="5"/>
    <s v="Técnico"/>
  </r>
  <r>
    <x v="419"/>
    <x v="0"/>
    <x v="0"/>
    <x v="1"/>
    <x v="1"/>
    <x v="5"/>
    <s v="Técnico"/>
  </r>
  <r>
    <x v="420"/>
    <x v="1"/>
    <x v="73"/>
    <x v="4"/>
    <x v="1"/>
    <x v="5"/>
    <s v="Técnico"/>
  </r>
  <r>
    <x v="421"/>
    <x v="1"/>
    <x v="74"/>
    <x v="4"/>
    <x v="1"/>
    <x v="5"/>
    <s v="Técnico"/>
  </r>
  <r>
    <x v="422"/>
    <x v="0"/>
    <x v="0"/>
    <x v="1"/>
    <x v="1"/>
    <x v="5"/>
    <s v="Técnico"/>
  </r>
  <r>
    <x v="423"/>
    <x v="7"/>
    <x v="76"/>
    <x v="4"/>
    <x v="1"/>
    <x v="5"/>
    <s v="Técnico"/>
  </r>
  <r>
    <x v="424"/>
    <x v="5"/>
    <x v="77"/>
    <x v="4"/>
    <x v="1"/>
    <x v="5"/>
    <s v="Técnico"/>
  </r>
  <r>
    <x v="425"/>
    <x v="2"/>
    <x v="79"/>
    <x v="4"/>
    <x v="1"/>
    <x v="5"/>
    <s v="Técnico"/>
  </r>
  <r>
    <x v="426"/>
    <x v="0"/>
    <x v="0"/>
    <x v="1"/>
    <x v="1"/>
    <x v="5"/>
    <s v="Técnico"/>
  </r>
  <r>
    <x v="427"/>
    <x v="0"/>
    <x v="0"/>
    <x v="1"/>
    <x v="1"/>
    <x v="5"/>
    <s v="Técnico"/>
  </r>
  <r>
    <x v="428"/>
    <x v="0"/>
    <x v="0"/>
    <x v="1"/>
    <x v="1"/>
    <x v="5"/>
    <s v="Técnico"/>
  </r>
  <r>
    <x v="429"/>
    <x v="6"/>
    <x v="136"/>
    <x v="3"/>
    <x v="2"/>
    <x v="6"/>
    <s v="Técnico"/>
  </r>
  <r>
    <x v="430"/>
    <x v="6"/>
    <x v="136"/>
    <x v="3"/>
    <x v="2"/>
    <x v="6"/>
    <s v="Técnico"/>
  </r>
  <r>
    <x v="431"/>
    <x v="6"/>
    <x v="136"/>
    <x v="3"/>
    <x v="2"/>
    <x v="6"/>
    <s v="Técnico"/>
  </r>
  <r>
    <x v="432"/>
    <x v="6"/>
    <x v="136"/>
    <x v="3"/>
    <x v="2"/>
    <x v="6"/>
    <s v="Técnico"/>
  </r>
  <r>
    <x v="433"/>
    <x v="6"/>
    <x v="136"/>
    <x v="3"/>
    <x v="2"/>
    <x v="6"/>
    <s v="Técnico"/>
  </r>
  <r>
    <x v="434"/>
    <x v="6"/>
    <x v="136"/>
    <x v="3"/>
    <x v="2"/>
    <x v="6"/>
    <s v="Técnico"/>
  </r>
  <r>
    <x v="435"/>
    <x v="6"/>
    <x v="136"/>
    <x v="3"/>
    <x v="2"/>
    <x v="6"/>
    <s v="Técnico"/>
  </r>
  <r>
    <x v="436"/>
    <x v="6"/>
    <x v="136"/>
    <x v="3"/>
    <x v="2"/>
    <x v="6"/>
    <s v="Técnico"/>
  </r>
  <r>
    <x v="437"/>
    <x v="0"/>
    <x v="0"/>
    <x v="1"/>
    <x v="1"/>
    <x v="5"/>
    <s v="Técnico"/>
  </r>
  <r>
    <x v="438"/>
    <x v="9"/>
    <x v="253"/>
    <x v="1"/>
    <x v="1"/>
    <x v="5"/>
    <s v="Técnico"/>
  </r>
  <r>
    <x v="439"/>
    <x v="10"/>
    <x v="254"/>
    <x v="4"/>
    <x v="1"/>
    <x v="5"/>
    <s v="Técnico"/>
  </r>
  <r>
    <x v="440"/>
    <x v="11"/>
    <x v="255"/>
    <x v="4"/>
    <x v="1"/>
    <x v="5"/>
    <s v="Técnico"/>
  </r>
  <r>
    <x v="441"/>
    <x v="0"/>
    <x v="0"/>
    <x v="4"/>
    <x v="1"/>
    <x v="5"/>
    <s v="Técnico"/>
  </r>
  <r>
    <x v="442"/>
    <x v="0"/>
    <x v="0"/>
    <x v="1"/>
    <x v="1"/>
    <x v="5"/>
    <s v="Técnico"/>
  </r>
  <r>
    <x v="443"/>
    <x v="10"/>
    <x v="256"/>
    <x v="4"/>
    <x v="1"/>
    <x v="5"/>
    <s v="Técnico"/>
  </r>
  <r>
    <x v="444"/>
    <x v="10"/>
    <x v="257"/>
    <x v="1"/>
    <x v="1"/>
    <x v="5"/>
    <s v="Técnico"/>
  </r>
  <r>
    <x v="445"/>
    <x v="10"/>
    <x v="258"/>
    <x v="1"/>
    <x v="1"/>
    <x v="5"/>
    <s v="Técnico"/>
  </r>
  <r>
    <x v="446"/>
    <x v="10"/>
    <x v="259"/>
    <x v="4"/>
    <x v="1"/>
    <x v="5"/>
    <s v="Técnico"/>
  </r>
  <r>
    <x v="447"/>
    <x v="10"/>
    <x v="260"/>
    <x v="4"/>
    <x v="1"/>
    <x v="5"/>
    <s v="Técnico"/>
  </r>
  <r>
    <x v="448"/>
    <x v="10"/>
    <x v="261"/>
    <x v="4"/>
    <x v="1"/>
    <x v="5"/>
    <s v="Técnico"/>
  </r>
  <r>
    <x v="449"/>
    <x v="0"/>
    <x v="0"/>
    <x v="1"/>
    <x v="1"/>
    <x v="5"/>
    <s v="Técnico"/>
  </r>
  <r>
    <x v="450"/>
    <x v="10"/>
    <x v="262"/>
    <x v="4"/>
    <x v="1"/>
    <x v="5"/>
    <s v="Técnico"/>
  </r>
  <r>
    <x v="451"/>
    <x v="10"/>
    <x v="263"/>
    <x v="4"/>
    <x v="1"/>
    <x v="5"/>
    <s v="Técnico"/>
  </r>
  <r>
    <x v="452"/>
    <x v="10"/>
    <x v="264"/>
    <x v="4"/>
    <x v="1"/>
    <x v="5"/>
    <s v="Técnico"/>
  </r>
  <r>
    <x v="453"/>
    <x v="10"/>
    <x v="265"/>
    <x v="4"/>
    <x v="1"/>
    <x v="5"/>
    <s v="Técnico"/>
  </r>
  <r>
    <x v="454"/>
    <x v="10"/>
    <x v="266"/>
    <x v="4"/>
    <x v="1"/>
    <x v="5"/>
    <s v="Técnico"/>
  </r>
  <r>
    <x v="455"/>
    <x v="10"/>
    <x v="267"/>
    <x v="4"/>
    <x v="1"/>
    <x v="5"/>
    <s v="Técnico"/>
  </r>
  <r>
    <x v="456"/>
    <x v="10"/>
    <x v="268"/>
    <x v="4"/>
    <x v="1"/>
    <x v="5"/>
    <s v="Técnico"/>
  </r>
  <r>
    <x v="457"/>
    <x v="0"/>
    <x v="0"/>
    <x v="4"/>
    <x v="1"/>
    <x v="5"/>
    <s v="Técnico"/>
  </r>
  <r>
    <x v="458"/>
    <x v="0"/>
    <x v="0"/>
    <x v="1"/>
    <x v="1"/>
    <x v="5"/>
    <s v="Técnico"/>
  </r>
  <r>
    <x v="459"/>
    <x v="10"/>
    <x v="269"/>
    <x v="4"/>
    <x v="1"/>
    <x v="5"/>
    <s v="Técnico"/>
  </r>
  <r>
    <x v="460"/>
    <x v="10"/>
    <x v="270"/>
    <x v="1"/>
    <x v="1"/>
    <x v="5"/>
    <s v="Técnico"/>
  </r>
  <r>
    <x v="461"/>
    <x v="11"/>
    <x v="63"/>
    <x v="1"/>
    <x v="1"/>
    <x v="5"/>
    <s v="Técnico"/>
  </r>
  <r>
    <x v="462"/>
    <x v="11"/>
    <x v="64"/>
    <x v="1"/>
    <x v="1"/>
    <x v="5"/>
    <s v="Técnico"/>
  </r>
  <r>
    <x v="463"/>
    <x v="11"/>
    <x v="271"/>
    <x v="1"/>
    <x v="1"/>
    <x v="5"/>
    <s v="Técnico"/>
  </r>
  <r>
    <x v="464"/>
    <x v="11"/>
    <x v="272"/>
    <x v="1"/>
    <x v="1"/>
    <x v="5"/>
    <s v="Técnico"/>
  </r>
  <r>
    <x v="465"/>
    <x v="11"/>
    <x v="273"/>
    <x v="1"/>
    <x v="1"/>
    <x v="5"/>
    <s v="Técnico"/>
  </r>
  <r>
    <x v="466"/>
    <x v="11"/>
    <x v="274"/>
    <x v="1"/>
    <x v="1"/>
    <x v="5"/>
    <s v="Técnico"/>
  </r>
  <r>
    <x v="467"/>
    <x v="11"/>
    <x v="275"/>
    <x v="1"/>
    <x v="1"/>
    <x v="5"/>
    <s v="Técnico"/>
  </r>
  <r>
    <x v="468"/>
    <x v="11"/>
    <x v="276"/>
    <x v="1"/>
    <x v="1"/>
    <x v="5"/>
    <s v="Técnico"/>
  </r>
  <r>
    <x v="469"/>
    <x v="0"/>
    <x v="0"/>
    <x v="4"/>
    <x v="1"/>
    <x v="5"/>
    <s v="Técnico"/>
  </r>
  <r>
    <x v="470"/>
    <x v="0"/>
    <x v="0"/>
    <x v="1"/>
    <x v="1"/>
    <x v="5"/>
    <s v="Técnico"/>
  </r>
  <r>
    <x v="471"/>
    <x v="10"/>
    <x v="277"/>
    <x v="4"/>
    <x v="1"/>
    <x v="5"/>
    <s v="Técnico"/>
  </r>
  <r>
    <x v="472"/>
    <x v="0"/>
    <x v="0"/>
    <x v="4"/>
    <x v="1"/>
    <x v="5"/>
    <s v="Técnico"/>
  </r>
  <r>
    <x v="473"/>
    <x v="0"/>
    <x v="0"/>
    <x v="1"/>
    <x v="1"/>
    <x v="5"/>
    <s v="Técnico"/>
  </r>
  <r>
    <x v="474"/>
    <x v="10"/>
    <x v="278"/>
    <x v="1"/>
    <x v="1"/>
    <x v="5"/>
    <s v="Técnico"/>
  </r>
  <r>
    <x v="475"/>
    <x v="0"/>
    <x v="0"/>
    <x v="1"/>
    <x v="1"/>
    <x v="5"/>
    <s v="Técnico"/>
  </r>
  <r>
    <x v="476"/>
    <x v="0"/>
    <x v="0"/>
    <x v="1"/>
    <x v="1"/>
    <x v="5"/>
    <s v="Técnico"/>
  </r>
  <r>
    <x v="477"/>
    <x v="6"/>
    <x v="136"/>
    <x v="3"/>
    <x v="2"/>
    <x v="6"/>
    <s v="Técnico"/>
  </r>
  <r>
    <x v="478"/>
    <x v="6"/>
    <x v="136"/>
    <x v="3"/>
    <x v="2"/>
    <x v="6"/>
    <s v="Técnico"/>
  </r>
  <r>
    <x v="479"/>
    <x v="6"/>
    <x v="136"/>
    <x v="3"/>
    <x v="2"/>
    <x v="6"/>
    <s v="Técnico"/>
  </r>
  <r>
    <x v="480"/>
    <x v="6"/>
    <x v="136"/>
    <x v="3"/>
    <x v="2"/>
    <x v="6"/>
    <s v="Técnico"/>
  </r>
  <r>
    <x v="481"/>
    <x v="6"/>
    <x v="136"/>
    <x v="3"/>
    <x v="2"/>
    <x v="6"/>
    <s v="Técnico"/>
  </r>
  <r>
    <x v="482"/>
    <x v="6"/>
    <x v="136"/>
    <x v="3"/>
    <x v="2"/>
    <x v="6"/>
    <s v="Técnico"/>
  </r>
  <r>
    <x v="483"/>
    <x v="6"/>
    <x v="136"/>
    <x v="3"/>
    <x v="2"/>
    <x v="6"/>
    <s v="Técnico"/>
  </r>
  <r>
    <x v="484"/>
    <x v="6"/>
    <x v="136"/>
    <x v="3"/>
    <x v="2"/>
    <x v="6"/>
    <s v="Técnico"/>
  </r>
  <r>
    <x v="485"/>
    <x v="6"/>
    <x v="136"/>
    <x v="3"/>
    <x v="2"/>
    <x v="6"/>
    <s v="Técnico"/>
  </r>
  <r>
    <x v="486"/>
    <x v="0"/>
    <x v="0"/>
    <x v="1"/>
    <x v="1"/>
    <x v="5"/>
    <s v="Técnico"/>
  </r>
  <r>
    <x v="487"/>
    <x v="1"/>
    <x v="279"/>
    <x v="1"/>
    <x v="1"/>
    <x v="5"/>
    <s v="Técnico"/>
  </r>
  <r>
    <x v="488"/>
    <x v="4"/>
    <x v="84"/>
    <x v="4"/>
    <x v="1"/>
    <x v="5"/>
    <s v="Técnico"/>
  </r>
  <r>
    <x v="489"/>
    <x v="1"/>
    <x v="85"/>
    <x v="4"/>
    <x v="1"/>
    <x v="5"/>
    <s v="Técnico"/>
  </r>
  <r>
    <x v="490"/>
    <x v="1"/>
    <x v="86"/>
    <x v="4"/>
    <x v="1"/>
    <x v="5"/>
    <s v="Técnico"/>
  </r>
  <r>
    <x v="491"/>
    <x v="4"/>
    <x v="87"/>
    <x v="4"/>
    <x v="1"/>
    <x v="5"/>
    <s v="Técnico"/>
  </r>
  <r>
    <x v="492"/>
    <x v="4"/>
    <x v="88"/>
    <x v="4"/>
    <x v="1"/>
    <x v="5"/>
    <s v="Técnico"/>
  </r>
  <r>
    <x v="493"/>
    <x v="4"/>
    <x v="89"/>
    <x v="4"/>
    <x v="1"/>
    <x v="5"/>
    <s v="Técnico"/>
  </r>
  <r>
    <x v="494"/>
    <x v="0"/>
    <x v="0"/>
    <x v="1"/>
    <x v="1"/>
    <x v="5"/>
    <s v="Técnico"/>
  </r>
  <r>
    <x v="495"/>
    <x v="2"/>
    <x v="91"/>
    <x v="4"/>
    <x v="1"/>
    <x v="5"/>
    <s v="Técnico"/>
  </r>
  <r>
    <x v="496"/>
    <x v="2"/>
    <x v="92"/>
    <x v="4"/>
    <x v="1"/>
    <x v="5"/>
    <s v="Técnico"/>
  </r>
  <r>
    <x v="497"/>
    <x v="2"/>
    <x v="93"/>
    <x v="4"/>
    <x v="1"/>
    <x v="5"/>
    <s v="Técnico"/>
  </r>
  <r>
    <x v="498"/>
    <x v="2"/>
    <x v="94"/>
    <x v="4"/>
    <x v="1"/>
    <x v="5"/>
    <s v="Técnico"/>
  </r>
  <r>
    <x v="499"/>
    <x v="2"/>
    <x v="95"/>
    <x v="4"/>
    <x v="1"/>
    <x v="5"/>
    <s v="Técnico"/>
  </r>
  <r>
    <x v="500"/>
    <x v="2"/>
    <x v="280"/>
    <x v="4"/>
    <x v="1"/>
    <x v="5"/>
    <s v="Técnico"/>
  </r>
  <r>
    <x v="501"/>
    <x v="2"/>
    <x v="97"/>
    <x v="4"/>
    <x v="1"/>
    <x v="5"/>
    <s v="Técnico"/>
  </r>
  <r>
    <x v="502"/>
    <x v="0"/>
    <x v="0"/>
    <x v="1"/>
    <x v="1"/>
    <x v="5"/>
    <s v="Técnico"/>
  </r>
  <r>
    <x v="503"/>
    <x v="2"/>
    <x v="98"/>
    <x v="4"/>
    <x v="1"/>
    <x v="5"/>
    <s v="Técnico"/>
  </r>
  <r>
    <x v="504"/>
    <x v="2"/>
    <x v="99"/>
    <x v="4"/>
    <x v="1"/>
    <x v="5"/>
    <s v="Técnico"/>
  </r>
  <r>
    <x v="505"/>
    <x v="2"/>
    <x v="281"/>
    <x v="4"/>
    <x v="1"/>
    <x v="5"/>
    <s v="Técnico"/>
  </r>
  <r>
    <x v="506"/>
    <x v="2"/>
    <x v="104"/>
    <x v="4"/>
    <x v="1"/>
    <x v="5"/>
    <s v="Técnico"/>
  </r>
  <r>
    <x v="507"/>
    <x v="0"/>
    <x v="0"/>
    <x v="1"/>
    <x v="1"/>
    <x v="5"/>
    <s v="Técnico"/>
  </r>
  <r>
    <x v="508"/>
    <x v="2"/>
    <x v="105"/>
    <x v="4"/>
    <x v="1"/>
    <x v="5"/>
    <s v="Técnico"/>
  </r>
  <r>
    <x v="509"/>
    <x v="2"/>
    <x v="106"/>
    <x v="4"/>
    <x v="1"/>
    <x v="5"/>
    <s v="Técnico"/>
  </r>
  <r>
    <x v="510"/>
    <x v="2"/>
    <x v="282"/>
    <x v="4"/>
    <x v="1"/>
    <x v="5"/>
    <s v="Técnico"/>
  </r>
  <r>
    <x v="511"/>
    <x v="2"/>
    <x v="109"/>
    <x v="4"/>
    <x v="1"/>
    <x v="5"/>
    <s v="Técnico"/>
  </r>
  <r>
    <x v="512"/>
    <x v="2"/>
    <x v="111"/>
    <x v="4"/>
    <x v="1"/>
    <x v="5"/>
    <s v="Técnico"/>
  </r>
  <r>
    <x v="513"/>
    <x v="2"/>
    <x v="283"/>
    <x v="4"/>
    <x v="1"/>
    <x v="5"/>
    <s v="Técnico"/>
  </r>
  <r>
    <x v="514"/>
    <x v="2"/>
    <x v="114"/>
    <x v="4"/>
    <x v="1"/>
    <x v="5"/>
    <s v="Técnico"/>
  </r>
  <r>
    <x v="515"/>
    <x v="2"/>
    <x v="115"/>
    <x v="4"/>
    <x v="1"/>
    <x v="5"/>
    <s v="Técnico"/>
  </r>
  <r>
    <x v="516"/>
    <x v="2"/>
    <x v="116"/>
    <x v="4"/>
    <x v="1"/>
    <x v="5"/>
    <s v="Técnico"/>
  </r>
  <r>
    <x v="517"/>
    <x v="2"/>
    <x v="117"/>
    <x v="4"/>
    <x v="1"/>
    <x v="5"/>
    <s v="Técnico"/>
  </r>
  <r>
    <x v="518"/>
    <x v="3"/>
    <x v="284"/>
    <x v="4"/>
    <x v="1"/>
    <x v="5"/>
    <s v="Técnico"/>
  </r>
  <r>
    <x v="519"/>
    <x v="0"/>
    <x v="0"/>
    <x v="1"/>
    <x v="1"/>
    <x v="5"/>
    <s v="Técnico"/>
  </r>
  <r>
    <x v="520"/>
    <x v="2"/>
    <x v="119"/>
    <x v="4"/>
    <x v="1"/>
    <x v="5"/>
    <s v="Técnico"/>
  </r>
  <r>
    <x v="521"/>
    <x v="0"/>
    <x v="0"/>
    <x v="1"/>
    <x v="1"/>
    <x v="5"/>
    <s v="Técnico"/>
  </r>
  <r>
    <x v="522"/>
    <x v="2"/>
    <x v="120"/>
    <x v="4"/>
    <x v="1"/>
    <x v="5"/>
    <s v="Técnico"/>
  </r>
  <r>
    <x v="523"/>
    <x v="2"/>
    <x v="121"/>
    <x v="4"/>
    <x v="1"/>
    <x v="5"/>
    <s v="Técnico"/>
  </r>
  <r>
    <x v="524"/>
    <x v="2"/>
    <x v="122"/>
    <x v="4"/>
    <x v="1"/>
    <x v="5"/>
    <s v="Técnico"/>
  </r>
  <r>
    <x v="525"/>
    <x v="0"/>
    <x v="0"/>
    <x v="1"/>
    <x v="1"/>
    <x v="5"/>
    <s v="Técnico"/>
  </r>
  <r>
    <x v="526"/>
    <x v="1"/>
    <x v="123"/>
    <x v="4"/>
    <x v="1"/>
    <x v="5"/>
    <s v="Técnico"/>
  </r>
  <r>
    <x v="527"/>
    <x v="4"/>
    <x v="124"/>
    <x v="4"/>
    <x v="1"/>
    <x v="5"/>
    <s v="Técnico"/>
  </r>
  <r>
    <x v="528"/>
    <x v="2"/>
    <x v="125"/>
    <x v="4"/>
    <x v="1"/>
    <x v="5"/>
    <s v="Técnico"/>
  </r>
  <r>
    <x v="529"/>
    <x v="2"/>
    <x v="126"/>
    <x v="4"/>
    <x v="1"/>
    <x v="5"/>
    <s v="Técnico"/>
  </r>
  <r>
    <x v="530"/>
    <x v="4"/>
    <x v="127"/>
    <x v="4"/>
    <x v="1"/>
    <x v="5"/>
    <s v="Técnico"/>
  </r>
  <r>
    <x v="531"/>
    <x v="1"/>
    <x v="73"/>
    <x v="4"/>
    <x v="1"/>
    <x v="5"/>
    <s v="Técnico"/>
  </r>
  <r>
    <x v="532"/>
    <x v="1"/>
    <x v="128"/>
    <x v="4"/>
    <x v="1"/>
    <x v="5"/>
    <s v="Técnico"/>
  </r>
  <r>
    <x v="533"/>
    <x v="0"/>
    <x v="0"/>
    <x v="1"/>
    <x v="1"/>
    <x v="5"/>
    <s v="Técnico"/>
  </r>
  <r>
    <x v="534"/>
    <x v="4"/>
    <x v="76"/>
    <x v="4"/>
    <x v="1"/>
    <x v="5"/>
    <s v="Técnico"/>
  </r>
  <r>
    <x v="535"/>
    <x v="5"/>
    <x v="77"/>
    <x v="4"/>
    <x v="1"/>
    <x v="5"/>
    <s v="Técnico"/>
  </r>
  <r>
    <x v="536"/>
    <x v="2"/>
    <x v="78"/>
    <x v="4"/>
    <x v="1"/>
    <x v="5"/>
    <s v="Técnico"/>
  </r>
  <r>
    <x v="537"/>
    <x v="2"/>
    <x v="79"/>
    <x v="4"/>
    <x v="1"/>
    <x v="5"/>
    <s v="Técnico"/>
  </r>
  <r>
    <x v="538"/>
    <x v="0"/>
    <x v="0"/>
    <x v="1"/>
    <x v="1"/>
    <x v="5"/>
    <s v="Técnico"/>
  </r>
  <r>
    <x v="539"/>
    <x v="2"/>
    <x v="129"/>
    <x v="4"/>
    <x v="1"/>
    <x v="5"/>
    <s v="Técnico"/>
  </r>
  <r>
    <x v="540"/>
    <x v="2"/>
    <x v="285"/>
    <x v="4"/>
    <x v="1"/>
    <x v="5"/>
    <s v="Técnico"/>
  </r>
  <r>
    <x v="541"/>
    <x v="2"/>
    <x v="131"/>
    <x v="4"/>
    <x v="1"/>
    <x v="5"/>
    <s v="Técnico"/>
  </r>
  <r>
    <x v="542"/>
    <x v="2"/>
    <x v="132"/>
    <x v="4"/>
    <x v="1"/>
    <x v="5"/>
    <s v="Técnico"/>
  </r>
  <r>
    <x v="543"/>
    <x v="2"/>
    <x v="133"/>
    <x v="4"/>
    <x v="1"/>
    <x v="5"/>
    <s v="Técnico"/>
  </r>
  <r>
    <x v="544"/>
    <x v="0"/>
    <x v="0"/>
    <x v="1"/>
    <x v="1"/>
    <x v="5"/>
    <s v="Técnico"/>
  </r>
  <r>
    <x v="545"/>
    <x v="2"/>
    <x v="286"/>
    <x v="4"/>
    <x v="1"/>
    <x v="5"/>
    <s v="Técnico"/>
  </r>
  <r>
    <x v="546"/>
    <x v="2"/>
    <x v="135"/>
    <x v="4"/>
    <x v="1"/>
    <x v="5"/>
    <s v="Técnico"/>
  </r>
  <r>
    <x v="547"/>
    <x v="0"/>
    <x v="0"/>
    <x v="1"/>
    <x v="1"/>
    <x v="5"/>
    <s v="Técnico"/>
  </r>
  <r>
    <x v="548"/>
    <x v="0"/>
    <x v="0"/>
    <x v="1"/>
    <x v="1"/>
    <x v="5"/>
    <s v="Técnico"/>
  </r>
  <r>
    <x v="549"/>
    <x v="0"/>
    <x v="0"/>
    <x v="1"/>
    <x v="1"/>
    <x v="5"/>
    <s v="Técnico"/>
  </r>
  <r>
    <x v="550"/>
    <x v="0"/>
    <x v="0"/>
    <x v="1"/>
    <x v="1"/>
    <x v="5"/>
    <s v="Técnico"/>
  </r>
  <r>
    <x v="551"/>
    <x v="1"/>
    <x v="172"/>
    <x v="1"/>
    <x v="1"/>
    <x v="5"/>
    <s v="Técnico"/>
  </r>
  <r>
    <x v="552"/>
    <x v="4"/>
    <x v="173"/>
    <x v="4"/>
    <x v="1"/>
    <x v="5"/>
    <s v="Técnico"/>
  </r>
  <r>
    <x v="553"/>
    <x v="4"/>
    <x v="88"/>
    <x v="4"/>
    <x v="1"/>
    <x v="5"/>
    <s v="Técnico"/>
  </r>
  <r>
    <x v="554"/>
    <x v="0"/>
    <x v="0"/>
    <x v="1"/>
    <x v="1"/>
    <x v="5"/>
    <s v="Técnico"/>
  </r>
  <r>
    <x v="555"/>
    <x v="8"/>
    <x v="175"/>
    <x v="4"/>
    <x v="1"/>
    <x v="5"/>
    <s v="Técnico"/>
  </r>
  <r>
    <x v="556"/>
    <x v="8"/>
    <x v="222"/>
    <x v="4"/>
    <x v="1"/>
    <x v="5"/>
    <s v="Técnico"/>
  </r>
  <r>
    <x v="557"/>
    <x v="8"/>
    <x v="287"/>
    <x v="4"/>
    <x v="1"/>
    <x v="5"/>
    <s v="Técnico"/>
  </r>
  <r>
    <x v="558"/>
    <x v="0"/>
    <x v="0"/>
    <x v="1"/>
    <x v="1"/>
    <x v="5"/>
    <s v="Técnico"/>
  </r>
  <r>
    <x v="559"/>
    <x v="8"/>
    <x v="179"/>
    <x v="4"/>
    <x v="1"/>
    <x v="5"/>
    <s v="Técnico"/>
  </r>
  <r>
    <x v="560"/>
    <x v="8"/>
    <x v="180"/>
    <x v="4"/>
    <x v="1"/>
    <x v="5"/>
    <s v="Técnico"/>
  </r>
  <r>
    <x v="561"/>
    <x v="8"/>
    <x v="288"/>
    <x v="4"/>
    <x v="1"/>
    <x v="5"/>
    <s v="Técnico"/>
  </r>
  <r>
    <x v="562"/>
    <x v="8"/>
    <x v="182"/>
    <x v="4"/>
    <x v="1"/>
    <x v="5"/>
    <s v="Técnico"/>
  </r>
  <r>
    <x v="563"/>
    <x v="8"/>
    <x v="184"/>
    <x v="4"/>
    <x v="1"/>
    <x v="5"/>
    <s v="Técnico"/>
  </r>
  <r>
    <x v="564"/>
    <x v="8"/>
    <x v="289"/>
    <x v="4"/>
    <x v="1"/>
    <x v="5"/>
    <s v="Técnico"/>
  </r>
  <r>
    <x v="565"/>
    <x v="8"/>
    <x v="186"/>
    <x v="4"/>
    <x v="1"/>
    <x v="5"/>
    <s v="Técnico"/>
  </r>
  <r>
    <x v="566"/>
    <x v="8"/>
    <x v="227"/>
    <x v="4"/>
    <x v="1"/>
    <x v="5"/>
    <s v="Técnico"/>
  </r>
  <r>
    <x v="567"/>
    <x v="8"/>
    <x v="290"/>
    <x v="4"/>
    <x v="1"/>
    <x v="5"/>
    <s v="Técnico"/>
  </r>
  <r>
    <x v="568"/>
    <x v="8"/>
    <x v="229"/>
    <x v="4"/>
    <x v="1"/>
    <x v="5"/>
    <s v="Técnico"/>
  </r>
  <r>
    <x v="569"/>
    <x v="8"/>
    <x v="291"/>
    <x v="4"/>
    <x v="1"/>
    <x v="5"/>
    <s v="Técnico"/>
  </r>
  <r>
    <x v="570"/>
    <x v="8"/>
    <x v="292"/>
    <x v="4"/>
    <x v="1"/>
    <x v="5"/>
    <s v="Técnico"/>
  </r>
  <r>
    <x v="571"/>
    <x v="0"/>
    <x v="0"/>
    <x v="1"/>
    <x v="1"/>
    <x v="5"/>
    <s v="Técnico"/>
  </r>
  <r>
    <x v="572"/>
    <x v="2"/>
    <x v="189"/>
    <x v="4"/>
    <x v="1"/>
    <x v="5"/>
    <s v="Técnico"/>
  </r>
  <r>
    <x v="573"/>
    <x v="2"/>
    <x v="190"/>
    <x v="4"/>
    <x v="1"/>
    <x v="5"/>
    <s v="Técnico"/>
  </r>
  <r>
    <x v="574"/>
    <x v="2"/>
    <x v="191"/>
    <x v="4"/>
    <x v="1"/>
    <x v="5"/>
    <s v="Técnico"/>
  </r>
  <r>
    <x v="575"/>
    <x v="0"/>
    <x v="0"/>
    <x v="1"/>
    <x v="1"/>
    <x v="5"/>
    <s v="Técnico"/>
  </r>
  <r>
    <x v="576"/>
    <x v="2"/>
    <x v="157"/>
    <x v="4"/>
    <x v="1"/>
    <x v="5"/>
    <s v="Técnico"/>
  </r>
  <r>
    <x v="577"/>
    <x v="2"/>
    <x v="199"/>
    <x v="4"/>
    <x v="1"/>
    <x v="5"/>
    <s v="Técnico"/>
  </r>
  <r>
    <x v="578"/>
    <x v="2"/>
    <x v="203"/>
    <x v="4"/>
    <x v="1"/>
    <x v="5"/>
    <s v="Técnico"/>
  </r>
  <r>
    <x v="579"/>
    <x v="3"/>
    <x v="204"/>
    <x v="4"/>
    <x v="1"/>
    <x v="5"/>
    <s v="Técnico"/>
  </r>
  <r>
    <x v="580"/>
    <x v="2"/>
    <x v="205"/>
    <x v="4"/>
    <x v="1"/>
    <x v="5"/>
    <s v="Técnico"/>
  </r>
  <r>
    <x v="581"/>
    <x v="2"/>
    <x v="207"/>
    <x v="4"/>
    <x v="1"/>
    <x v="5"/>
    <s v="Técnico"/>
  </r>
  <r>
    <x v="582"/>
    <x v="2"/>
    <x v="210"/>
    <x v="4"/>
    <x v="1"/>
    <x v="5"/>
    <s v="Técnico"/>
  </r>
  <r>
    <x v="583"/>
    <x v="2"/>
    <x v="211"/>
    <x v="4"/>
    <x v="1"/>
    <x v="5"/>
    <s v="Técnico"/>
  </r>
  <r>
    <x v="584"/>
    <x v="0"/>
    <x v="0"/>
    <x v="1"/>
    <x v="1"/>
    <x v="5"/>
    <s v="Técnico"/>
  </r>
  <r>
    <x v="585"/>
    <x v="2"/>
    <x v="293"/>
    <x v="4"/>
    <x v="1"/>
    <x v="5"/>
    <s v="Técnico"/>
  </r>
  <r>
    <x v="586"/>
    <x v="2"/>
    <x v="294"/>
    <x v="4"/>
    <x v="1"/>
    <x v="5"/>
    <s v="Técnico"/>
  </r>
  <r>
    <x v="587"/>
    <x v="2"/>
    <x v="295"/>
    <x v="4"/>
    <x v="1"/>
    <x v="5"/>
    <s v="Técnico"/>
  </r>
  <r>
    <x v="588"/>
    <x v="2"/>
    <x v="296"/>
    <x v="4"/>
    <x v="1"/>
    <x v="5"/>
    <s v="Técnico"/>
  </r>
  <r>
    <x v="589"/>
    <x v="2"/>
    <x v="297"/>
    <x v="4"/>
    <x v="1"/>
    <x v="5"/>
    <s v="Técnico"/>
  </r>
  <r>
    <x v="590"/>
    <x v="2"/>
    <x v="298"/>
    <x v="4"/>
    <x v="1"/>
    <x v="5"/>
    <s v="Técnico"/>
  </r>
  <r>
    <x v="591"/>
    <x v="2"/>
    <x v="299"/>
    <x v="4"/>
    <x v="1"/>
    <x v="5"/>
    <s v="Técnico"/>
  </r>
  <r>
    <x v="592"/>
    <x v="0"/>
    <x v="0"/>
    <x v="1"/>
    <x v="1"/>
    <x v="5"/>
    <s v="Técnico"/>
  </r>
  <r>
    <x v="593"/>
    <x v="1"/>
    <x v="73"/>
    <x v="4"/>
    <x v="1"/>
    <x v="5"/>
    <s v="Técnico"/>
  </r>
  <r>
    <x v="594"/>
    <x v="1"/>
    <x v="74"/>
    <x v="4"/>
    <x v="1"/>
    <x v="5"/>
    <s v="Técnico"/>
  </r>
  <r>
    <x v="595"/>
    <x v="0"/>
    <x v="0"/>
    <x v="1"/>
    <x v="1"/>
    <x v="5"/>
    <s v="Técnico"/>
  </r>
  <r>
    <x v="596"/>
    <x v="7"/>
    <x v="76"/>
    <x v="4"/>
    <x v="1"/>
    <x v="5"/>
    <s v="Técnico"/>
  </r>
  <r>
    <x v="597"/>
    <x v="5"/>
    <x v="77"/>
    <x v="4"/>
    <x v="1"/>
    <x v="5"/>
    <s v="Técnico"/>
  </r>
  <r>
    <x v="598"/>
    <x v="2"/>
    <x v="78"/>
    <x v="4"/>
    <x v="1"/>
    <x v="5"/>
    <s v="Técnico"/>
  </r>
  <r>
    <x v="599"/>
    <x v="2"/>
    <x v="219"/>
    <x v="4"/>
    <x v="1"/>
    <x v="5"/>
    <s v="Técnico"/>
  </r>
  <r>
    <x v="600"/>
    <x v="0"/>
    <x v="0"/>
    <x v="1"/>
    <x v="1"/>
    <x v="5"/>
    <s v="Técnico"/>
  </r>
  <r>
    <x v="601"/>
    <x v="1"/>
    <x v="300"/>
    <x v="1"/>
    <x v="1"/>
    <x v="5"/>
    <s v="Técnico"/>
  </r>
  <r>
    <x v="602"/>
    <x v="1"/>
    <x v="172"/>
    <x v="4"/>
    <x v="1"/>
    <x v="5"/>
    <s v="Técnico"/>
  </r>
  <r>
    <x v="603"/>
    <x v="7"/>
    <x v="173"/>
    <x v="4"/>
    <x v="1"/>
    <x v="5"/>
    <s v="Técnico"/>
  </r>
  <r>
    <x v="604"/>
    <x v="7"/>
    <x v="88"/>
    <x v="4"/>
    <x v="1"/>
    <x v="5"/>
    <s v="Técnico"/>
  </r>
  <r>
    <x v="605"/>
    <x v="0"/>
    <x v="0"/>
    <x v="1"/>
    <x v="1"/>
    <x v="5"/>
    <s v="Técnico"/>
  </r>
  <r>
    <x v="606"/>
    <x v="12"/>
    <x v="301"/>
    <x v="4"/>
    <x v="1"/>
    <x v="5"/>
    <s v="Técnico"/>
  </r>
  <r>
    <x v="607"/>
    <x v="12"/>
    <x v="302"/>
    <x v="4"/>
    <x v="1"/>
    <x v="5"/>
    <s v="Técnico"/>
  </r>
  <r>
    <x v="608"/>
    <x v="12"/>
    <x v="303"/>
    <x v="4"/>
    <x v="1"/>
    <x v="5"/>
    <s v="Técnico"/>
  </r>
  <r>
    <x v="609"/>
    <x v="12"/>
    <x v="304"/>
    <x v="4"/>
    <x v="1"/>
    <x v="5"/>
    <s v="Técnico"/>
  </r>
  <r>
    <x v="610"/>
    <x v="12"/>
    <x v="305"/>
    <x v="4"/>
    <x v="1"/>
    <x v="5"/>
    <s v="Técnico"/>
  </r>
  <r>
    <x v="611"/>
    <x v="0"/>
    <x v="0"/>
    <x v="1"/>
    <x v="1"/>
    <x v="5"/>
    <s v="Técnico"/>
  </r>
  <r>
    <x v="612"/>
    <x v="8"/>
    <x v="222"/>
    <x v="4"/>
    <x v="1"/>
    <x v="5"/>
    <s v="Técnico"/>
  </r>
  <r>
    <x v="613"/>
    <x v="0"/>
    <x v="306"/>
    <x v="4"/>
    <x v="1"/>
    <x v="5"/>
    <s v="Técnico"/>
  </r>
  <r>
    <x v="614"/>
    <x v="8"/>
    <x v="307"/>
    <x v="4"/>
    <x v="1"/>
    <x v="5"/>
    <s v="Técnico"/>
  </r>
  <r>
    <x v="615"/>
    <x v="8"/>
    <x v="308"/>
    <x v="4"/>
    <x v="1"/>
    <x v="5"/>
    <s v="Técnico"/>
  </r>
  <r>
    <x v="616"/>
    <x v="0"/>
    <x v="0"/>
    <x v="1"/>
    <x v="1"/>
    <x v="5"/>
    <s v="Técnico"/>
  </r>
  <r>
    <x v="617"/>
    <x v="8"/>
    <x v="309"/>
    <x v="4"/>
    <x v="1"/>
    <x v="5"/>
    <s v="Técnico"/>
  </r>
  <r>
    <x v="618"/>
    <x v="8"/>
    <x v="310"/>
    <x v="4"/>
    <x v="1"/>
    <x v="5"/>
    <s v="Técnico"/>
  </r>
  <r>
    <x v="619"/>
    <x v="8"/>
    <x v="311"/>
    <x v="4"/>
    <x v="1"/>
    <x v="5"/>
    <s v="Técnico"/>
  </r>
  <r>
    <x v="620"/>
    <x v="0"/>
    <x v="0"/>
    <x v="1"/>
    <x v="1"/>
    <x v="5"/>
    <s v="Técnico"/>
  </r>
  <r>
    <x v="621"/>
    <x v="8"/>
    <x v="312"/>
    <x v="4"/>
    <x v="1"/>
    <x v="5"/>
    <s v="Técnico"/>
  </r>
  <r>
    <x v="622"/>
    <x v="8"/>
    <x v="313"/>
    <x v="4"/>
    <x v="1"/>
    <x v="5"/>
    <s v="Técnico"/>
  </r>
  <r>
    <x v="623"/>
    <x v="8"/>
    <x v="314"/>
    <x v="4"/>
    <x v="1"/>
    <x v="5"/>
    <s v="Técnico"/>
  </r>
  <r>
    <x v="624"/>
    <x v="8"/>
    <x v="315"/>
    <x v="4"/>
    <x v="1"/>
    <x v="5"/>
    <s v="Técnico"/>
  </r>
  <r>
    <x v="625"/>
    <x v="0"/>
    <x v="0"/>
    <x v="1"/>
    <x v="1"/>
    <x v="5"/>
    <s v="Técnico"/>
  </r>
  <r>
    <x v="626"/>
    <x v="1"/>
    <x v="73"/>
    <x v="4"/>
    <x v="1"/>
    <x v="5"/>
    <s v="Técnico"/>
  </r>
  <r>
    <x v="627"/>
    <x v="1"/>
    <x v="74"/>
    <x v="4"/>
    <x v="1"/>
    <x v="5"/>
    <s v="Técnico"/>
  </r>
  <r>
    <x v="628"/>
    <x v="0"/>
    <x v="0"/>
    <x v="1"/>
    <x v="1"/>
    <x v="5"/>
    <s v="Técnico"/>
  </r>
  <r>
    <x v="629"/>
    <x v="7"/>
    <x v="76"/>
    <x v="4"/>
    <x v="1"/>
    <x v="5"/>
    <s v="Técnico"/>
  </r>
  <r>
    <x v="630"/>
    <x v="5"/>
    <x v="77"/>
    <x v="4"/>
    <x v="1"/>
    <x v="5"/>
    <s v="Técnico"/>
  </r>
  <r>
    <x v="631"/>
    <x v="2"/>
    <x v="78"/>
    <x v="4"/>
    <x v="1"/>
    <x v="5"/>
    <s v="Técnico"/>
  </r>
  <r>
    <x v="632"/>
    <x v="2"/>
    <x v="219"/>
    <x v="4"/>
    <x v="1"/>
    <x v="5"/>
    <s v="Técnico"/>
  </r>
  <r>
    <x v="633"/>
    <x v="0"/>
    <x v="0"/>
    <x v="4"/>
    <x v="1"/>
    <x v="5"/>
    <s v="Técnico"/>
  </r>
  <r>
    <x v="634"/>
    <x v="0"/>
    <x v="0"/>
    <x v="4"/>
    <x v="1"/>
    <x v="5"/>
    <s v="Técnico"/>
  </r>
  <r>
    <x v="635"/>
    <x v="0"/>
    <x v="0"/>
    <x v="1"/>
    <x v="1"/>
    <x v="5"/>
    <s v="Técnico"/>
  </r>
  <r>
    <x v="636"/>
    <x v="13"/>
    <x v="316"/>
    <x v="1"/>
    <x v="1"/>
    <x v="5"/>
    <s v="Técnico"/>
  </r>
  <r>
    <x v="637"/>
    <x v="14"/>
    <x v="316"/>
    <x v="4"/>
    <x v="1"/>
    <x v="5"/>
    <s v="Técnico"/>
  </r>
  <r>
    <x v="638"/>
    <x v="15"/>
    <x v="317"/>
    <x v="4"/>
    <x v="1"/>
    <x v="5"/>
    <s v="Técnico"/>
  </r>
  <r>
    <x v="639"/>
    <x v="16"/>
    <x v="317"/>
    <x v="4"/>
    <x v="1"/>
    <x v="5"/>
    <s v="Técnico"/>
  </r>
  <r>
    <x v="640"/>
    <x v="0"/>
    <x v="0"/>
    <x v="1"/>
    <x v="1"/>
    <x v="5"/>
    <s v="Técnico"/>
  </r>
  <r>
    <x v="641"/>
    <x v="17"/>
    <x v="318"/>
    <x v="4"/>
    <x v="1"/>
    <x v="5"/>
    <s v="Técnico"/>
  </r>
  <r>
    <x v="642"/>
    <x v="18"/>
    <x v="318"/>
    <x v="4"/>
    <x v="1"/>
    <x v="5"/>
    <s v="Técnico"/>
  </r>
  <r>
    <x v="643"/>
    <x v="19"/>
    <x v="318"/>
    <x v="4"/>
    <x v="1"/>
    <x v="5"/>
    <s v="Técnico"/>
  </r>
  <r>
    <x v="644"/>
    <x v="20"/>
    <x v="318"/>
    <x v="4"/>
    <x v="1"/>
    <x v="5"/>
    <s v="Técnico"/>
  </r>
  <r>
    <x v="645"/>
    <x v="21"/>
    <x v="318"/>
    <x v="4"/>
    <x v="1"/>
    <x v="5"/>
    <s v="Técnico"/>
  </r>
  <r>
    <x v="646"/>
    <x v="0"/>
    <x v="0"/>
    <x v="1"/>
    <x v="1"/>
    <x v="5"/>
    <s v="Técnico"/>
  </r>
  <r>
    <x v="647"/>
    <x v="22"/>
    <x v="318"/>
    <x v="4"/>
    <x v="1"/>
    <x v="5"/>
    <s v="Técnico"/>
  </r>
  <r>
    <x v="648"/>
    <x v="23"/>
    <x v="318"/>
    <x v="4"/>
    <x v="1"/>
    <x v="5"/>
    <s v="Técnico"/>
  </r>
  <r>
    <x v="649"/>
    <x v="24"/>
    <x v="318"/>
    <x v="4"/>
    <x v="1"/>
    <x v="5"/>
    <s v="Técnico"/>
  </r>
  <r>
    <x v="650"/>
    <x v="25"/>
    <x v="318"/>
    <x v="4"/>
    <x v="1"/>
    <x v="5"/>
    <s v="Técnico"/>
  </r>
  <r>
    <x v="651"/>
    <x v="26"/>
    <x v="318"/>
    <x v="1"/>
    <x v="1"/>
    <x v="5"/>
    <s v="Técnico"/>
  </r>
  <r>
    <x v="652"/>
    <x v="27"/>
    <x v="318"/>
    <x v="4"/>
    <x v="1"/>
    <x v="5"/>
    <s v="Técnico"/>
  </r>
  <r>
    <x v="653"/>
    <x v="28"/>
    <x v="318"/>
    <x v="4"/>
    <x v="1"/>
    <x v="5"/>
    <s v="Técnico"/>
  </r>
  <r>
    <x v="654"/>
    <x v="29"/>
    <x v="318"/>
    <x v="4"/>
    <x v="1"/>
    <x v="5"/>
    <s v="Técnico"/>
  </r>
  <r>
    <x v="655"/>
    <x v="0"/>
    <x v="0"/>
    <x v="1"/>
    <x v="1"/>
    <x v="5"/>
    <s v="Técnico"/>
  </r>
  <r>
    <x v="656"/>
    <x v="30"/>
    <x v="318"/>
    <x v="4"/>
    <x v="1"/>
    <x v="5"/>
    <s v="Técnico"/>
  </r>
  <r>
    <x v="657"/>
    <x v="31"/>
    <x v="318"/>
    <x v="4"/>
    <x v="1"/>
    <x v="5"/>
    <s v="Técnico"/>
  </r>
  <r>
    <x v="658"/>
    <x v="32"/>
    <x v="318"/>
    <x v="4"/>
    <x v="1"/>
    <x v="5"/>
    <s v="Técnico"/>
  </r>
  <r>
    <x v="659"/>
    <x v="33"/>
    <x v="318"/>
    <x v="4"/>
    <x v="1"/>
    <x v="5"/>
    <s v="Técnico"/>
  </r>
  <r>
    <x v="660"/>
    <x v="34"/>
    <x v="319"/>
    <x v="1"/>
    <x v="1"/>
    <x v="5"/>
    <s v="Técnico"/>
  </r>
  <r>
    <x v="661"/>
    <x v="0"/>
    <x v="0"/>
    <x v="4"/>
    <x v="1"/>
    <x v="5"/>
    <s v="Técnico"/>
  </r>
  <r>
    <x v="662"/>
    <x v="35"/>
    <x v="320"/>
    <x v="4"/>
    <x v="1"/>
    <x v="5"/>
    <s v="Técnico"/>
  </r>
  <r>
    <x v="663"/>
    <x v="36"/>
    <x v="320"/>
    <x v="1"/>
    <x v="1"/>
    <x v="5"/>
    <s v="Técnico"/>
  </r>
  <r>
    <x v="664"/>
    <x v="37"/>
    <x v="321"/>
    <x v="4"/>
    <x v="1"/>
    <x v="5"/>
    <s v="Técnico"/>
  </r>
  <r>
    <x v="665"/>
    <x v="38"/>
    <x v="321"/>
    <x v="4"/>
    <x v="1"/>
    <x v="5"/>
    <s v="Técnico"/>
  </r>
  <r>
    <x v="666"/>
    <x v="0"/>
    <x v="0"/>
    <x v="4"/>
    <x v="1"/>
    <x v="5"/>
    <s v="Técnico"/>
  </r>
  <r>
    <x v="667"/>
    <x v="39"/>
    <x v="320"/>
    <x v="4"/>
    <x v="1"/>
    <x v="5"/>
    <s v="Técnico"/>
  </r>
  <r>
    <x v="668"/>
    <x v="40"/>
    <x v="320"/>
    <x v="1"/>
    <x v="1"/>
    <x v="5"/>
    <s v="Técnico"/>
  </r>
  <r>
    <x v="669"/>
    <x v="41"/>
    <x v="320"/>
    <x v="1"/>
    <x v="1"/>
    <x v="5"/>
    <s v="Técnico"/>
  </r>
  <r>
    <x v="670"/>
    <x v="42"/>
    <x v="320"/>
    <x v="1"/>
    <x v="1"/>
    <x v="5"/>
    <s v="Técnico"/>
  </r>
  <r>
    <x v="671"/>
    <x v="43"/>
    <x v="320"/>
    <x v="1"/>
    <x v="1"/>
    <x v="5"/>
    <s v="Técnico"/>
  </r>
  <r>
    <x v="672"/>
    <x v="44"/>
    <x v="320"/>
    <x v="1"/>
    <x v="1"/>
    <x v="5"/>
    <s v="Técnico"/>
  </r>
  <r>
    <x v="673"/>
    <x v="0"/>
    <x v="0"/>
    <x v="1"/>
    <x v="1"/>
    <x v="5"/>
    <s v="Técnico"/>
  </r>
  <r>
    <x v="674"/>
    <x v="45"/>
    <x v="320"/>
    <x v="1"/>
    <x v="1"/>
    <x v="5"/>
    <s v="Técnico"/>
  </r>
  <r>
    <x v="675"/>
    <x v="46"/>
    <x v="320"/>
    <x v="1"/>
    <x v="1"/>
    <x v="5"/>
    <s v="Técnico"/>
  </r>
  <r>
    <x v="676"/>
    <x v="47"/>
    <x v="320"/>
    <x v="1"/>
    <x v="1"/>
    <x v="5"/>
    <s v="Técnico"/>
  </r>
  <r>
    <x v="677"/>
    <x v="48"/>
    <x v="321"/>
    <x v="1"/>
    <x v="1"/>
    <x v="5"/>
    <s v="Técnico"/>
  </r>
  <r>
    <x v="678"/>
    <x v="49"/>
    <x v="321"/>
    <x v="1"/>
    <x v="1"/>
    <x v="5"/>
    <s v="Técnico"/>
  </r>
  <r>
    <x v="679"/>
    <x v="0"/>
    <x v="0"/>
    <x v="1"/>
    <x v="1"/>
    <x v="5"/>
    <s v="Técnico"/>
  </r>
  <r>
    <x v="680"/>
    <x v="50"/>
    <x v="317"/>
    <x v="1"/>
    <x v="1"/>
    <x v="5"/>
    <s v="Técnico"/>
  </r>
  <r>
    <x v="681"/>
    <x v="51"/>
    <x v="317"/>
    <x v="1"/>
    <x v="1"/>
    <x v="5"/>
    <s v="Técnico"/>
  </r>
  <r>
    <x v="682"/>
    <x v="52"/>
    <x v="317"/>
    <x v="1"/>
    <x v="1"/>
    <x v="5"/>
    <s v="Técnico"/>
  </r>
  <r>
    <x v="683"/>
    <x v="53"/>
    <x v="316"/>
    <x v="1"/>
    <x v="1"/>
    <x v="5"/>
    <s v="Técnico"/>
  </r>
  <r>
    <x v="684"/>
    <x v="54"/>
    <x v="316"/>
    <x v="1"/>
    <x v="1"/>
    <x v="5"/>
    <s v="Técnico"/>
  </r>
  <r>
    <x v="685"/>
    <x v="0"/>
    <x v="0"/>
    <x v="1"/>
    <x v="1"/>
    <x v="5"/>
    <s v="Técnico"/>
  </r>
  <r>
    <x v="686"/>
    <x v="55"/>
    <x v="322"/>
    <x v="1"/>
    <x v="1"/>
    <x v="5"/>
    <s v="Técnico"/>
  </r>
  <r>
    <x v="687"/>
    <x v="56"/>
    <x v="323"/>
    <x v="1"/>
    <x v="1"/>
    <x v="5"/>
    <s v="Técnico"/>
  </r>
  <r>
    <x v="688"/>
    <x v="57"/>
    <x v="320"/>
    <x v="1"/>
    <x v="1"/>
    <x v="5"/>
    <s v="Técnico"/>
  </r>
  <r>
    <x v="689"/>
    <x v="58"/>
    <x v="320"/>
    <x v="1"/>
    <x v="1"/>
    <x v="5"/>
    <s v="Técnic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dataOnRows="1" applyNumberFormats="0" applyBorderFormats="0" applyFontFormats="0" applyPatternFormats="0" applyAlignmentFormats="0" applyWidthHeightFormats="1" dataCaption="Data" updatedVersion="6" minRefreshableVersion="3" asteriskTotals="1" showMemberPropertyTips="0" useAutoFormatting="1" rowGrandTotals="0" colGrandTotals="0" itemPrintTitles="1" createdVersion="3" indent="0" compact="0" compactData="0" gridDropZones="1">
  <location ref="A700:F703" firstHeaderRow="2" firstDataRow="2" firstDataCol="5" rowPageCount="1" colPageCount="1"/>
  <pivotFields count="7">
    <pivotField axis="axisRow" dataField="1" compact="0" numFmtId="2" outline="0" subtotalTop="0" showAll="0" includeNewItemsInFilter="1" sortType="ascending" rankBy="0" defaultSubtotal="0">
      <items count="690">
        <item x="0"/>
        <item sd="0"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s>
    </pivotField>
    <pivotField axis="axisRow" compact="0" outline="0" subtotalTop="0" showAll="0" includeNewItemsInFilter="1" defaultSubtotal="0">
      <items count="59">
        <item x="0"/>
        <item sd="0" x="1"/>
        <item x="2"/>
        <item x="8"/>
        <item x="5"/>
        <item x="7"/>
        <item x="4"/>
        <item x="3"/>
        <item x="6"/>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s>
    </pivotField>
    <pivotField axis="axisRow" compact="0" outline="0" subtotalTop="0" showAll="0" includeNewItemsInFilter="1" defaultSubtotal="0">
      <items count="324">
        <item x="0"/>
        <item x="73"/>
        <item x="74"/>
        <item x="76"/>
        <item x="77"/>
        <item x="78"/>
        <item x="216"/>
        <item x="217"/>
        <item x="218"/>
        <item x="219"/>
        <item x="54"/>
        <item x="87"/>
        <item x="88"/>
        <item x="158"/>
        <item x="137"/>
        <item x="138"/>
        <item x="141"/>
        <item x="142"/>
        <item x="143"/>
        <item x="145"/>
        <item x="146"/>
        <item x="147"/>
        <item x="148"/>
        <item x="150"/>
        <item x="151"/>
        <item x="152"/>
        <item x="155"/>
        <item x="159"/>
        <item x="160"/>
        <item x="161"/>
        <item x="165"/>
        <item x="166"/>
        <item x="167"/>
        <item x="168"/>
        <item x="169"/>
        <item x="170"/>
        <item x="171"/>
        <item x="172"/>
        <item x="174"/>
        <item x="175"/>
        <item x="176"/>
        <item x="178"/>
        <item x="179"/>
        <item x="180"/>
        <item x="181"/>
        <item x="182"/>
        <item x="183"/>
        <item x="184"/>
        <item x="185"/>
        <item x="186"/>
        <item x="187"/>
        <item x="188"/>
        <item x="189"/>
        <item x="190"/>
        <item x="193"/>
        <item x="195"/>
        <item x="196"/>
        <item x="197"/>
        <item x="198"/>
        <item x="157"/>
        <item x="199"/>
        <item x="200"/>
        <item x="201"/>
        <item x="202"/>
        <item x="203"/>
        <item x="204"/>
        <item x="205"/>
        <item x="206"/>
        <item x="207"/>
        <item x="208"/>
        <item x="209"/>
        <item x="210"/>
        <item x="211"/>
        <item x="212"/>
        <item x="213"/>
        <item x="214"/>
        <item x="215"/>
        <item x="3"/>
        <item x="4"/>
        <item x="5"/>
        <item x="8"/>
        <item x="9"/>
        <item x="10"/>
        <item x="11"/>
        <item x="12"/>
        <item x="13"/>
        <item x="14"/>
        <item x="17"/>
        <item x="21"/>
        <item x="22"/>
        <item x="23"/>
        <item x="24"/>
        <item x="27"/>
        <item x="28"/>
        <item x="29"/>
        <item x="31"/>
        <item x="32"/>
        <item x="33"/>
        <item x="34"/>
        <item x="16"/>
        <item x="18"/>
        <item x="19"/>
        <item x="37"/>
        <item x="39"/>
        <item x="41"/>
        <item x="42"/>
        <item x="45"/>
        <item x="46"/>
        <item x="52"/>
        <item x="53"/>
        <item x="55"/>
        <item x="56"/>
        <item x="57"/>
        <item x="60"/>
        <item x="61"/>
        <item x="65"/>
        <item x="67"/>
        <item x="68"/>
        <item x="69"/>
        <item x="72"/>
        <item x="173"/>
        <item x="191"/>
        <item x="139"/>
        <item x="149"/>
        <item x="153"/>
        <item x="156"/>
        <item x="15"/>
        <item x="71"/>
        <item x="70"/>
        <item x="136"/>
        <item x="2"/>
        <item x="25"/>
        <item x="30"/>
        <item x="40"/>
        <item x="47"/>
        <item x="48"/>
        <item x="58"/>
        <item x="62"/>
        <item x="75"/>
        <item x="79"/>
        <item x="83"/>
        <item x="84"/>
        <item x="85"/>
        <item x="86"/>
        <item x="90"/>
        <item x="91"/>
        <item x="92"/>
        <item x="93"/>
        <item x="94"/>
        <item x="95"/>
        <item x="280"/>
        <item x="97"/>
        <item x="98"/>
        <item x="99"/>
        <item x="100"/>
        <item x="101"/>
        <item x="102"/>
        <item x="103"/>
        <item x="104"/>
        <item x="105"/>
        <item x="106"/>
        <item x="107"/>
        <item x="108"/>
        <item x="109"/>
        <item x="110"/>
        <item x="111"/>
        <item x="112"/>
        <item x="113"/>
        <item x="114"/>
        <item x="115"/>
        <item x="116"/>
        <item x="117"/>
        <item x="119"/>
        <item x="120"/>
        <item x="121"/>
        <item x="122"/>
        <item x="123"/>
        <item x="124"/>
        <item x="125"/>
        <item x="126"/>
        <item x="127"/>
        <item x="128"/>
        <item x="132"/>
        <item x="134"/>
        <item x="192"/>
        <item x="1"/>
        <item x="6"/>
        <item x="7"/>
        <item x="154"/>
        <item x="20"/>
        <item x="35"/>
        <item x="38"/>
        <item x="49"/>
        <item x="50"/>
        <item x="51"/>
        <item x="64"/>
        <item x="80"/>
        <item x="81"/>
        <item x="118"/>
        <item x="140"/>
        <item x="162"/>
        <item x="163"/>
        <item x="164"/>
        <item x="220"/>
        <item x="221"/>
        <item x="222"/>
        <item x="223"/>
        <item x="224"/>
        <item x="226"/>
        <item x="227"/>
        <item x="228"/>
        <item x="232"/>
        <item x="233"/>
        <item x="234"/>
        <item x="235"/>
        <item x="236"/>
        <item x="237"/>
        <item x="239"/>
        <item x="240"/>
        <item x="241"/>
        <item x="242"/>
        <item x="243"/>
        <item x="244"/>
        <item x="245"/>
        <item x="246"/>
        <item x="247"/>
        <item x="248"/>
        <item x="249"/>
        <item x="250"/>
        <item x="251"/>
        <item x="252"/>
        <item x="82"/>
        <item x="36"/>
        <item x="43"/>
        <item x="44"/>
        <item x="59"/>
        <item x="63"/>
        <item x="66"/>
        <item x="89"/>
        <item x="129"/>
        <item x="130"/>
        <item x="131"/>
        <item x="133"/>
        <item x="135"/>
        <item x="144"/>
        <item x="177"/>
        <item x="194"/>
        <item x="225"/>
        <item x="229"/>
        <item x="230"/>
        <item x="231"/>
        <item x="238"/>
        <item x="253"/>
        <item x="254"/>
        <item x="255"/>
        <item x="256"/>
        <item x="257"/>
        <item x="258"/>
        <item x="259"/>
        <item x="260"/>
        <item x="261"/>
        <item x="262"/>
        <item x="263"/>
        <item x="264"/>
        <item x="265"/>
        <item x="266"/>
        <item x="267"/>
        <item x="268"/>
        <item x="269"/>
        <item x="270"/>
        <item x="271"/>
        <item x="272"/>
        <item x="273"/>
        <item x="274"/>
        <item x="275"/>
        <item x="276"/>
        <item x="277"/>
        <item x="278"/>
        <item x="279"/>
        <item x="281"/>
        <item x="282"/>
        <item x="283"/>
        <item x="284"/>
        <item x="285"/>
        <item x="286"/>
        <item x="9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26"/>
        <item x="316"/>
        <item x="317"/>
        <item x="318"/>
        <item x="319"/>
        <item x="320"/>
        <item x="321"/>
        <item x="322"/>
        <item x="323"/>
      </items>
    </pivotField>
    <pivotField axis="axisRow" compact="0" numFmtId="16" outline="0" subtotalTop="0" showAll="0" includeNewItemsInFilter="1" defaultSubtotal="0">
      <items count="7">
        <item x="1"/>
        <item x="0"/>
        <item x="3"/>
        <item x="4"/>
        <item m="1" x="6"/>
        <item m="1" x="5"/>
        <item x="2"/>
      </items>
    </pivotField>
    <pivotField axis="axisRow" compact="0" outline="0" subtotalTop="0" showAll="0" includeNewItemsInFilter="1" defaultSubtotal="0">
      <items count="3">
        <item x="1"/>
        <item x="0"/>
        <item x="2"/>
      </items>
    </pivotField>
    <pivotField axis="axisPage" compact="0" outline="0" subtotalTop="0" multipleItemSelectionAllowed="1" showAll="0" includeNewItemsInFilter="1" defaultSubtotal="0">
      <items count="7">
        <item h="1" x="5"/>
        <item x="1"/>
        <item h="1" x="0"/>
        <item h="1" x="2"/>
        <item h="1" x="3"/>
        <item x="4"/>
        <item h="1" x="6"/>
      </items>
    </pivotField>
    <pivotField compact="0" outline="0" subtotalTop="0" showAll="0" includeNewItemsInFilter="1" defaultSubtotal="0"/>
  </pivotFields>
  <rowFields count="5">
    <field x="0"/>
    <field x="2"/>
    <field x="3"/>
    <field x="4"/>
    <field x="1"/>
  </rowFields>
  <rowItems count="2">
    <i>
      <x v="1"/>
    </i>
    <i>
      <x v="4"/>
      <x/>
      <x v="1"/>
      <x v="1"/>
      <x/>
    </i>
  </rowItems>
  <colItems count="1">
    <i/>
  </colItems>
  <pageFields count="1">
    <pageField fld="5" hier="0"/>
  </pageFields>
  <dataFields count="1">
    <dataField name="Sum of Item" fld="0"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72"/>
  <sheetViews>
    <sheetView showGridLines="0" workbookViewId="0">
      <selection activeCell="I5" sqref="I5"/>
    </sheetView>
  </sheetViews>
  <sheetFormatPr baseColWidth="10" defaultColWidth="11.42578125" defaultRowHeight="12.75"/>
  <cols>
    <col min="1" max="1" width="2.28515625" customWidth="1"/>
    <col min="5" max="5" width="24.28515625" customWidth="1"/>
    <col min="6" max="6" width="32.85546875" customWidth="1"/>
    <col min="7" max="7" width="12" customWidth="1"/>
    <col min="8" max="8" width="25.5703125" customWidth="1"/>
  </cols>
  <sheetData>
    <row r="1" spans="1:9">
      <c r="A1" s="278"/>
      <c r="B1" s="278"/>
      <c r="C1" s="278"/>
      <c r="D1" s="278"/>
      <c r="E1" s="278"/>
      <c r="F1" s="278"/>
      <c r="G1" s="278"/>
      <c r="H1" s="278"/>
      <c r="I1" s="278"/>
    </row>
    <row r="2" spans="1:9" ht="38.25" customHeight="1">
      <c r="A2" s="280"/>
      <c r="B2" s="606"/>
      <c r="C2" s="606"/>
      <c r="D2" s="607" t="s">
        <v>573</v>
      </c>
      <c r="E2" s="608"/>
      <c r="F2" s="608"/>
      <c r="G2" s="609"/>
      <c r="H2" s="281"/>
      <c r="I2" s="278"/>
    </row>
    <row r="3" spans="1:9">
      <c r="A3" s="280"/>
      <c r="B3" s="610" t="s">
        <v>718</v>
      </c>
      <c r="C3" s="611"/>
      <c r="D3" s="611"/>
      <c r="E3" s="611"/>
      <c r="F3" s="611"/>
      <c r="G3" s="612"/>
      <c r="H3" s="299" t="s">
        <v>739</v>
      </c>
      <c r="I3" s="279"/>
    </row>
    <row r="4" spans="1:9">
      <c r="A4" s="282"/>
      <c r="B4" s="287"/>
      <c r="C4" s="283"/>
      <c r="D4" s="283"/>
      <c r="E4" s="283"/>
      <c r="F4" s="283"/>
      <c r="G4" s="283"/>
      <c r="H4" s="284"/>
      <c r="I4" s="285"/>
    </row>
    <row r="5" spans="1:9" ht="15.75">
      <c r="A5" s="282"/>
      <c r="B5" s="614" t="s">
        <v>560</v>
      </c>
      <c r="C5" s="615"/>
      <c r="D5" s="615"/>
      <c r="E5" s="615"/>
      <c r="F5" s="615"/>
      <c r="G5" s="615"/>
      <c r="H5" s="616"/>
      <c r="I5" s="285"/>
    </row>
    <row r="6" spans="1:9">
      <c r="A6" s="282"/>
      <c r="B6" s="287"/>
      <c r="C6" s="283"/>
      <c r="D6" s="288"/>
      <c r="E6" s="288"/>
      <c r="F6" s="288"/>
      <c r="G6" s="288"/>
      <c r="H6" s="283"/>
      <c r="I6" s="285"/>
    </row>
    <row r="7" spans="1:9" ht="24">
      <c r="A7" s="282"/>
      <c r="B7" s="300" t="s">
        <v>84</v>
      </c>
      <c r="C7" s="300" t="s">
        <v>78</v>
      </c>
      <c r="D7" s="300" t="s">
        <v>561</v>
      </c>
      <c r="E7" s="300" t="s">
        <v>562</v>
      </c>
      <c r="F7" s="300" t="s">
        <v>249</v>
      </c>
      <c r="G7" s="300" t="s">
        <v>356</v>
      </c>
      <c r="H7" s="300" t="s">
        <v>563</v>
      </c>
      <c r="I7" s="285"/>
    </row>
    <row r="8" spans="1:9">
      <c r="A8" s="282"/>
      <c r="B8" s="301">
        <v>1</v>
      </c>
      <c r="C8" s="302">
        <v>0.1</v>
      </c>
      <c r="D8" s="298">
        <v>2007</v>
      </c>
      <c r="E8" s="304" t="s">
        <v>564</v>
      </c>
      <c r="F8" s="305" t="s">
        <v>565</v>
      </c>
      <c r="G8" s="301" t="s">
        <v>566</v>
      </c>
      <c r="H8" s="301" t="s">
        <v>567</v>
      </c>
      <c r="I8" s="285"/>
    </row>
    <row r="9" spans="1:9">
      <c r="A9" s="282"/>
      <c r="B9" s="301">
        <v>2</v>
      </c>
      <c r="C9" s="302">
        <v>1</v>
      </c>
      <c r="D9" s="298">
        <v>2007</v>
      </c>
      <c r="E9" s="304" t="s">
        <v>564</v>
      </c>
      <c r="F9" s="305" t="s">
        <v>565</v>
      </c>
      <c r="G9" s="301" t="s">
        <v>568</v>
      </c>
      <c r="H9" s="301" t="s">
        <v>567</v>
      </c>
      <c r="I9" s="285"/>
    </row>
    <row r="10" spans="1:9" ht="24">
      <c r="A10" s="282"/>
      <c r="B10" s="301">
        <v>3</v>
      </c>
      <c r="C10" s="302">
        <v>1.1000000000000001</v>
      </c>
      <c r="D10" s="303">
        <v>41628</v>
      </c>
      <c r="E10" s="304" t="s">
        <v>569</v>
      </c>
      <c r="F10" s="305" t="s">
        <v>570</v>
      </c>
      <c r="G10" s="301" t="s">
        <v>566</v>
      </c>
      <c r="H10" s="301" t="s">
        <v>571</v>
      </c>
      <c r="I10" s="285"/>
    </row>
    <row r="11" spans="1:9" ht="24">
      <c r="A11" s="282"/>
      <c r="B11" s="301">
        <v>4</v>
      </c>
      <c r="C11" s="302">
        <v>2</v>
      </c>
      <c r="D11" s="303">
        <v>41638</v>
      </c>
      <c r="E11" s="304" t="s">
        <v>569</v>
      </c>
      <c r="F11" s="305" t="s">
        <v>570</v>
      </c>
      <c r="G11" s="301" t="s">
        <v>568</v>
      </c>
      <c r="H11" s="301" t="s">
        <v>571</v>
      </c>
      <c r="I11" s="285"/>
    </row>
    <row r="12" spans="1:9" ht="60">
      <c r="A12" s="286"/>
      <c r="B12" s="301">
        <v>5</v>
      </c>
      <c r="C12" s="302">
        <v>2.1</v>
      </c>
      <c r="D12" s="303">
        <v>41662</v>
      </c>
      <c r="E12" s="304" t="s">
        <v>569</v>
      </c>
      <c r="F12" s="305" t="s">
        <v>574</v>
      </c>
      <c r="G12" s="301" t="s">
        <v>566</v>
      </c>
      <c r="H12" s="301" t="s">
        <v>571</v>
      </c>
      <c r="I12" s="285"/>
    </row>
    <row r="13" spans="1:9" ht="48">
      <c r="A13" s="283"/>
      <c r="B13" s="301">
        <v>6</v>
      </c>
      <c r="C13" s="302">
        <v>3</v>
      </c>
      <c r="D13" s="303">
        <v>41666</v>
      </c>
      <c r="E13" s="304" t="s">
        <v>572</v>
      </c>
      <c r="F13" s="305" t="s">
        <v>581</v>
      </c>
      <c r="G13" s="301" t="s">
        <v>568</v>
      </c>
      <c r="H13" s="301" t="s">
        <v>571</v>
      </c>
      <c r="I13" s="278"/>
    </row>
    <row r="14" spans="1:9" ht="24">
      <c r="A14" s="297"/>
      <c r="B14" s="301">
        <v>7</v>
      </c>
      <c r="C14" s="302">
        <v>3.1</v>
      </c>
      <c r="D14" s="303">
        <v>41731</v>
      </c>
      <c r="E14" s="304" t="s">
        <v>725</v>
      </c>
      <c r="F14" s="305" t="s">
        <v>717</v>
      </c>
      <c r="G14" s="301" t="s">
        <v>566</v>
      </c>
      <c r="H14" s="301" t="s">
        <v>571</v>
      </c>
      <c r="I14" s="278"/>
    </row>
    <row r="15" spans="1:9" ht="24">
      <c r="A15" s="283"/>
      <c r="B15" s="301">
        <v>8</v>
      </c>
      <c r="C15" s="302">
        <v>4</v>
      </c>
      <c r="D15" s="303">
        <v>41732</v>
      </c>
      <c r="E15" s="304" t="s">
        <v>725</v>
      </c>
      <c r="F15" s="305" t="s">
        <v>717</v>
      </c>
      <c r="G15" s="301" t="s">
        <v>568</v>
      </c>
      <c r="H15" s="301" t="s">
        <v>571</v>
      </c>
      <c r="I15" s="278"/>
    </row>
    <row r="16" spans="1:9">
      <c r="A16" s="297"/>
      <c r="B16" s="301"/>
      <c r="C16" s="302"/>
      <c r="D16" s="303"/>
      <c r="E16" s="304"/>
      <c r="F16" s="305"/>
      <c r="G16" s="301"/>
      <c r="H16" s="301"/>
      <c r="I16" s="278"/>
    </row>
    <row r="17" spans="1:9">
      <c r="A17" s="283"/>
      <c r="B17" s="301"/>
      <c r="C17" s="302"/>
      <c r="D17" s="303"/>
      <c r="E17" s="304"/>
      <c r="F17" s="305"/>
      <c r="G17" s="301"/>
      <c r="H17" s="301"/>
      <c r="I17" s="276"/>
    </row>
    <row r="18" spans="1:9">
      <c r="A18" s="283"/>
      <c r="B18" s="603"/>
      <c r="C18" s="603"/>
      <c r="D18" s="603"/>
      <c r="E18" s="603"/>
      <c r="F18" s="603"/>
      <c r="G18" s="603"/>
      <c r="H18" s="603"/>
      <c r="I18" s="276"/>
    </row>
    <row r="19" spans="1:9">
      <c r="A19" s="283"/>
      <c r="B19" s="277"/>
      <c r="C19" s="277"/>
      <c r="D19" s="277"/>
      <c r="E19" s="277"/>
      <c r="F19" s="277"/>
      <c r="G19" s="277"/>
      <c r="H19" s="277"/>
      <c r="I19" s="276"/>
    </row>
    <row r="20" spans="1:9">
      <c r="A20" s="283"/>
      <c r="B20" s="289"/>
      <c r="C20" s="604"/>
      <c r="D20" s="604"/>
      <c r="E20" s="604"/>
      <c r="F20" s="604"/>
      <c r="G20" s="604"/>
      <c r="H20" s="604"/>
      <c r="I20" s="276"/>
    </row>
    <row r="21" spans="1:9">
      <c r="A21" s="283"/>
      <c r="B21" s="290"/>
      <c r="C21" s="277"/>
      <c r="D21" s="277"/>
      <c r="E21" s="277"/>
      <c r="F21" s="277"/>
      <c r="G21" s="277"/>
      <c r="H21" s="277"/>
      <c r="I21" s="276"/>
    </row>
    <row r="22" spans="1:9">
      <c r="A22" s="283"/>
      <c r="B22" s="291"/>
      <c r="C22" s="605"/>
      <c r="D22" s="604"/>
      <c r="E22" s="604"/>
      <c r="F22" s="604"/>
      <c r="G22" s="604"/>
      <c r="H22" s="604"/>
      <c r="I22" s="276"/>
    </row>
    <row r="23" spans="1:9">
      <c r="A23" s="283"/>
      <c r="B23" s="292"/>
      <c r="C23" s="277"/>
      <c r="D23" s="277"/>
      <c r="E23" s="277"/>
      <c r="F23" s="277"/>
      <c r="G23" s="277"/>
      <c r="H23" s="277"/>
      <c r="I23" s="276"/>
    </row>
    <row r="24" spans="1:9">
      <c r="A24" s="283"/>
      <c r="B24" s="289"/>
      <c r="C24" s="604"/>
      <c r="D24" s="604"/>
      <c r="E24" s="604"/>
      <c r="F24" s="604"/>
      <c r="G24" s="604"/>
      <c r="H24" s="604"/>
      <c r="I24" s="276"/>
    </row>
    <row r="25" spans="1:9">
      <c r="A25" s="283"/>
      <c r="B25" s="290"/>
      <c r="C25" s="277"/>
      <c r="D25" s="277"/>
      <c r="E25" s="277"/>
      <c r="F25" s="277"/>
      <c r="G25" s="277"/>
      <c r="H25" s="277"/>
      <c r="I25" s="276"/>
    </row>
    <row r="26" spans="1:9">
      <c r="A26" s="283"/>
      <c r="B26" s="291"/>
      <c r="C26" s="605"/>
      <c r="D26" s="604"/>
      <c r="E26" s="604"/>
      <c r="F26" s="604"/>
      <c r="G26" s="604"/>
      <c r="H26" s="604"/>
      <c r="I26" s="276"/>
    </row>
    <row r="27" spans="1:9">
      <c r="A27" s="283"/>
      <c r="B27" s="290"/>
      <c r="C27" s="277"/>
      <c r="D27" s="277"/>
      <c r="E27" s="277"/>
      <c r="F27" s="277"/>
      <c r="G27" s="277"/>
      <c r="H27" s="277"/>
      <c r="I27" s="276"/>
    </row>
    <row r="28" spans="1:9">
      <c r="A28" s="283"/>
      <c r="B28" s="290"/>
      <c r="C28" s="277"/>
      <c r="D28" s="277"/>
      <c r="E28" s="277"/>
      <c r="F28" s="277"/>
      <c r="G28" s="277"/>
      <c r="H28" s="277"/>
      <c r="I28" s="276"/>
    </row>
    <row r="29" spans="1:9">
      <c r="A29" s="283"/>
      <c r="B29" s="289"/>
      <c r="C29" s="604"/>
      <c r="D29" s="604"/>
      <c r="E29" s="604"/>
      <c r="F29" s="604"/>
      <c r="G29" s="604"/>
      <c r="H29" s="604"/>
      <c r="I29" s="276"/>
    </row>
    <row r="30" spans="1:9">
      <c r="A30" s="283"/>
      <c r="B30" s="277"/>
      <c r="C30" s="277"/>
      <c r="D30" s="277"/>
      <c r="E30" s="277"/>
      <c r="F30" s="277"/>
      <c r="G30" s="277"/>
      <c r="H30" s="277"/>
      <c r="I30" s="276"/>
    </row>
    <row r="31" spans="1:9">
      <c r="A31" s="283"/>
      <c r="B31" s="291"/>
      <c r="C31" s="605"/>
      <c r="D31" s="604"/>
      <c r="E31" s="604"/>
      <c r="F31" s="604"/>
      <c r="G31" s="604"/>
      <c r="H31" s="604"/>
      <c r="I31" s="276"/>
    </row>
    <row r="32" spans="1:9">
      <c r="A32" s="283"/>
      <c r="B32" s="291"/>
      <c r="C32" s="605"/>
      <c r="D32" s="604"/>
      <c r="E32" s="604"/>
      <c r="F32" s="604"/>
      <c r="G32" s="604"/>
      <c r="H32" s="604"/>
    </row>
    <row r="33" spans="1:8">
      <c r="A33" s="283"/>
      <c r="B33" s="291"/>
      <c r="C33" s="619"/>
      <c r="D33" s="620"/>
      <c r="E33" s="620"/>
      <c r="F33" s="620"/>
      <c r="G33" s="620"/>
      <c r="H33" s="620"/>
    </row>
    <row r="34" spans="1:8">
      <c r="A34" s="283"/>
      <c r="B34" s="293"/>
      <c r="C34" s="617"/>
      <c r="D34" s="617"/>
      <c r="E34" s="294"/>
      <c r="F34" s="294"/>
      <c r="G34" s="294"/>
      <c r="H34" s="295"/>
    </row>
    <row r="35" spans="1:8">
      <c r="A35" s="283"/>
      <c r="B35" s="293"/>
      <c r="C35" s="617"/>
      <c r="D35" s="617"/>
      <c r="E35" s="294"/>
      <c r="F35" s="294"/>
      <c r="G35" s="294"/>
      <c r="H35" s="295"/>
    </row>
    <row r="36" spans="1:8">
      <c r="A36" s="283"/>
      <c r="B36" s="293"/>
      <c r="C36" s="617"/>
      <c r="D36" s="617"/>
      <c r="E36" s="294"/>
      <c r="F36" s="294"/>
      <c r="G36" s="294"/>
      <c r="H36" s="295"/>
    </row>
    <row r="37" spans="1:8">
      <c r="A37" s="283"/>
      <c r="B37" s="293"/>
      <c r="C37" s="617"/>
      <c r="D37" s="617"/>
      <c r="E37" s="294"/>
      <c r="F37" s="294"/>
      <c r="G37" s="294"/>
      <c r="H37" s="295"/>
    </row>
    <row r="38" spans="1:8">
      <c r="A38" s="283"/>
      <c r="B38" s="293"/>
      <c r="C38" s="617"/>
      <c r="D38" s="617"/>
      <c r="E38" s="294"/>
      <c r="F38" s="294"/>
      <c r="G38" s="294"/>
      <c r="H38" s="295"/>
    </row>
    <row r="39" spans="1:8">
      <c r="A39" s="283"/>
      <c r="B39" s="293"/>
      <c r="C39" s="617"/>
      <c r="D39" s="617"/>
      <c r="E39" s="294"/>
      <c r="F39" s="294"/>
      <c r="G39" s="294"/>
      <c r="H39" s="295"/>
    </row>
    <row r="40" spans="1:8">
      <c r="A40" s="283"/>
      <c r="B40" s="293"/>
      <c r="C40" s="617"/>
      <c r="D40" s="617"/>
      <c r="E40" s="294"/>
      <c r="F40" s="294"/>
      <c r="G40" s="294"/>
      <c r="H40" s="296"/>
    </row>
    <row r="41" spans="1:8">
      <c r="A41" s="283"/>
      <c r="B41" s="293"/>
      <c r="C41" s="617"/>
      <c r="D41" s="617"/>
      <c r="E41" s="294"/>
      <c r="F41" s="294"/>
      <c r="G41" s="294"/>
      <c r="H41" s="296"/>
    </row>
    <row r="42" spans="1:8">
      <c r="A42" s="283"/>
      <c r="B42" s="293"/>
      <c r="C42" s="617"/>
      <c r="D42" s="617"/>
      <c r="E42" s="294"/>
      <c r="F42" s="294"/>
      <c r="G42" s="294"/>
      <c r="H42" s="296"/>
    </row>
    <row r="43" spans="1:8">
      <c r="A43" s="283"/>
      <c r="B43" s="293"/>
      <c r="C43" s="617"/>
      <c r="D43" s="617"/>
      <c r="E43" s="294"/>
      <c r="F43" s="294"/>
      <c r="G43" s="294"/>
      <c r="H43" s="296"/>
    </row>
    <row r="44" spans="1:8">
      <c r="A44" s="283"/>
      <c r="B44" s="293"/>
      <c r="C44" s="618"/>
      <c r="D44" s="618"/>
      <c r="E44" s="618"/>
      <c r="F44" s="618"/>
      <c r="G44" s="618"/>
      <c r="H44" s="618"/>
    </row>
    <row r="45" spans="1:8">
      <c r="A45" s="283"/>
      <c r="B45" s="283"/>
      <c r="C45" s="286"/>
      <c r="D45" s="283"/>
      <c r="E45" s="283"/>
      <c r="F45" s="283"/>
      <c r="G45" s="283"/>
      <c r="H45" s="283"/>
    </row>
    <row r="46" spans="1:8">
      <c r="A46" s="297"/>
      <c r="B46" s="283"/>
      <c r="C46" s="283"/>
      <c r="D46" s="283"/>
      <c r="E46" s="283"/>
      <c r="F46" s="283"/>
      <c r="G46" s="283"/>
      <c r="H46" s="283"/>
    </row>
    <row r="47" spans="1:8">
      <c r="A47" s="283"/>
      <c r="B47" s="283"/>
      <c r="C47" s="283"/>
      <c r="D47" s="283"/>
      <c r="E47" s="283"/>
      <c r="F47" s="283"/>
      <c r="G47" s="283"/>
      <c r="H47" s="283"/>
    </row>
    <row r="48" spans="1:8">
      <c r="A48" s="291"/>
      <c r="B48" s="283"/>
      <c r="C48" s="283"/>
      <c r="D48" s="283"/>
      <c r="E48" s="283"/>
      <c r="F48" s="283"/>
      <c r="G48" s="283"/>
      <c r="H48" s="283"/>
    </row>
    <row r="49" spans="1:8">
      <c r="A49" s="291"/>
      <c r="B49" s="283"/>
      <c r="C49" s="283"/>
      <c r="D49" s="283"/>
      <c r="E49" s="283"/>
      <c r="F49" s="283"/>
      <c r="G49" s="283"/>
      <c r="H49" s="283"/>
    </row>
    <row r="50" spans="1:8">
      <c r="A50" s="291"/>
      <c r="B50" s="283"/>
      <c r="C50" s="283"/>
      <c r="D50" s="283"/>
      <c r="E50" s="283"/>
      <c r="F50" s="283"/>
      <c r="G50" s="283"/>
      <c r="H50" s="283"/>
    </row>
    <row r="51" spans="1:8">
      <c r="A51" s="283"/>
      <c r="B51" s="617"/>
      <c r="C51" s="617"/>
      <c r="D51" s="283"/>
      <c r="E51" s="283"/>
      <c r="F51" s="283"/>
      <c r="G51" s="283"/>
      <c r="H51" s="283"/>
    </row>
    <row r="52" spans="1:8">
      <c r="A52" s="283"/>
      <c r="B52" s="617"/>
      <c r="C52" s="617"/>
      <c r="D52" s="283"/>
      <c r="E52" s="283"/>
      <c r="F52" s="283"/>
      <c r="G52" s="283"/>
      <c r="H52" s="283"/>
    </row>
    <row r="53" spans="1:8">
      <c r="A53" s="283"/>
      <c r="B53" s="617"/>
      <c r="C53" s="617"/>
      <c r="D53" s="283"/>
      <c r="E53" s="283"/>
      <c r="F53" s="283"/>
      <c r="G53" s="283"/>
      <c r="H53" s="283"/>
    </row>
    <row r="54" spans="1:8">
      <c r="A54" s="283"/>
      <c r="B54" s="617"/>
      <c r="C54" s="617"/>
      <c r="D54" s="283"/>
      <c r="E54" s="283"/>
      <c r="F54" s="283"/>
      <c r="G54" s="283"/>
      <c r="H54" s="283"/>
    </row>
    <row r="55" spans="1:8">
      <c r="A55" s="283"/>
      <c r="B55" s="617"/>
      <c r="C55" s="617"/>
      <c r="D55" s="283"/>
      <c r="E55" s="283"/>
      <c r="F55" s="283"/>
      <c r="G55" s="283"/>
      <c r="H55" s="283"/>
    </row>
    <row r="56" spans="1:8">
      <c r="A56" s="283"/>
      <c r="B56" s="617"/>
      <c r="C56" s="617"/>
      <c r="D56" s="283"/>
      <c r="E56" s="283"/>
      <c r="F56" s="283"/>
      <c r="G56" s="283"/>
      <c r="H56" s="283"/>
    </row>
    <row r="57" spans="1:8">
      <c r="A57" s="283"/>
      <c r="B57" s="617"/>
      <c r="C57" s="617"/>
      <c r="D57" s="283"/>
      <c r="E57" s="283"/>
      <c r="F57" s="283"/>
      <c r="G57" s="283"/>
      <c r="H57" s="283"/>
    </row>
    <row r="58" spans="1:8">
      <c r="A58" s="283"/>
      <c r="B58" s="617"/>
      <c r="C58" s="617"/>
      <c r="D58" s="283"/>
      <c r="E58" s="283"/>
      <c r="F58" s="283"/>
      <c r="G58" s="283"/>
      <c r="H58" s="283"/>
    </row>
    <row r="59" spans="1:8">
      <c r="A59" s="283"/>
      <c r="B59" s="617"/>
      <c r="C59" s="617"/>
      <c r="D59" s="283"/>
      <c r="E59" s="283"/>
      <c r="F59" s="283"/>
      <c r="G59" s="283"/>
      <c r="H59" s="283"/>
    </row>
    <row r="60" spans="1:8">
      <c r="A60" s="283"/>
      <c r="B60" s="617"/>
      <c r="C60" s="617"/>
      <c r="D60" s="283"/>
      <c r="E60" s="283"/>
      <c r="F60" s="283"/>
      <c r="G60" s="283"/>
      <c r="H60" s="283"/>
    </row>
    <row r="61" spans="1:8">
      <c r="A61" s="283"/>
      <c r="B61" s="617"/>
      <c r="C61" s="617"/>
      <c r="D61" s="283"/>
      <c r="E61" s="283"/>
      <c r="F61" s="283"/>
      <c r="G61" s="283"/>
      <c r="H61" s="283"/>
    </row>
    <row r="62" spans="1:8">
      <c r="A62" s="283"/>
      <c r="B62" s="617"/>
      <c r="C62" s="617"/>
      <c r="D62" s="283"/>
      <c r="E62" s="283"/>
      <c r="F62" s="283"/>
      <c r="G62" s="283"/>
      <c r="H62" s="283"/>
    </row>
    <row r="63" spans="1:8">
      <c r="A63" s="291"/>
      <c r="B63" s="283"/>
      <c r="C63" s="294"/>
      <c r="D63" s="283"/>
      <c r="E63" s="283"/>
      <c r="F63" s="283"/>
      <c r="G63" s="283"/>
      <c r="H63" s="283"/>
    </row>
    <row r="64" spans="1:8">
      <c r="A64" s="291"/>
      <c r="B64" s="604"/>
      <c r="C64" s="604"/>
      <c r="D64" s="604"/>
      <c r="E64" s="604"/>
      <c r="F64" s="604"/>
      <c r="G64" s="604"/>
      <c r="H64" s="604"/>
    </row>
    <row r="65" spans="1:8">
      <c r="A65" s="291"/>
      <c r="B65" s="604"/>
      <c r="C65" s="604"/>
      <c r="D65" s="604"/>
      <c r="E65" s="604"/>
      <c r="F65" s="604"/>
      <c r="G65" s="604"/>
      <c r="H65" s="604"/>
    </row>
    <row r="66" spans="1:8">
      <c r="A66" s="283"/>
      <c r="B66" s="283"/>
      <c r="C66" s="283"/>
      <c r="D66" s="283"/>
      <c r="E66" s="283"/>
      <c r="F66" s="283"/>
      <c r="G66" s="283"/>
      <c r="H66" s="283"/>
    </row>
    <row r="67" spans="1:8">
      <c r="A67" s="297"/>
      <c r="B67" s="283"/>
      <c r="C67" s="283"/>
      <c r="D67" s="283"/>
      <c r="E67" s="283"/>
      <c r="F67" s="283"/>
      <c r="G67" s="283"/>
      <c r="H67" s="283"/>
    </row>
    <row r="68" spans="1:8">
      <c r="A68" s="283"/>
      <c r="B68" s="283"/>
      <c r="C68" s="283"/>
      <c r="D68" s="283"/>
      <c r="E68" s="283"/>
      <c r="F68" s="283"/>
      <c r="G68" s="283"/>
      <c r="H68" s="283"/>
    </row>
    <row r="69" spans="1:8">
      <c r="A69" s="291"/>
      <c r="B69" s="613"/>
      <c r="C69" s="613"/>
      <c r="D69" s="613"/>
      <c r="E69" s="613"/>
      <c r="F69" s="613"/>
      <c r="G69" s="613"/>
      <c r="H69" s="613"/>
    </row>
    <row r="70" spans="1:8">
      <c r="A70" s="291"/>
      <c r="B70" s="613"/>
      <c r="C70" s="613"/>
      <c r="D70" s="613"/>
      <c r="E70" s="613"/>
      <c r="F70" s="613"/>
      <c r="G70" s="613"/>
      <c r="H70" s="613"/>
    </row>
    <row r="71" spans="1:8">
      <c r="A71" s="291"/>
      <c r="B71" s="613"/>
      <c r="C71" s="613"/>
      <c r="D71" s="613"/>
      <c r="E71" s="613"/>
      <c r="F71" s="613"/>
      <c r="G71" s="613"/>
      <c r="H71" s="613"/>
    </row>
    <row r="72" spans="1:8">
      <c r="A72" s="291"/>
      <c r="B72" s="613"/>
      <c r="C72" s="613"/>
      <c r="D72" s="613"/>
      <c r="E72" s="613"/>
      <c r="F72" s="613"/>
      <c r="G72" s="613"/>
      <c r="H72" s="613"/>
    </row>
  </sheetData>
  <mergeCells count="42">
    <mergeCell ref="C40:D40"/>
    <mergeCell ref="C26:H26"/>
    <mergeCell ref="C35:D35"/>
    <mergeCell ref="C36:D36"/>
    <mergeCell ref="C37:D37"/>
    <mergeCell ref="C38:D38"/>
    <mergeCell ref="C39:D39"/>
    <mergeCell ref="C29:H29"/>
    <mergeCell ref="C31:H31"/>
    <mergeCell ref="C32:H32"/>
    <mergeCell ref="C33:H33"/>
    <mergeCell ref="C34:D34"/>
    <mergeCell ref="B69:H69"/>
    <mergeCell ref="B70:H70"/>
    <mergeCell ref="B71:H71"/>
    <mergeCell ref="C43:D43"/>
    <mergeCell ref="C44:H44"/>
    <mergeCell ref="B51:C51"/>
    <mergeCell ref="B52:C52"/>
    <mergeCell ref="B72:H72"/>
    <mergeCell ref="B5:H5"/>
    <mergeCell ref="B59:C59"/>
    <mergeCell ref="B60:C60"/>
    <mergeCell ref="B61:C61"/>
    <mergeCell ref="B62:C62"/>
    <mergeCell ref="B64:H64"/>
    <mergeCell ref="B65:H65"/>
    <mergeCell ref="B53:C53"/>
    <mergeCell ref="B54:C54"/>
    <mergeCell ref="B55:C55"/>
    <mergeCell ref="B56:C56"/>
    <mergeCell ref="B57:C57"/>
    <mergeCell ref="B58:C58"/>
    <mergeCell ref="C41:D41"/>
    <mergeCell ref="C42:D42"/>
    <mergeCell ref="B18:H18"/>
    <mergeCell ref="C20:H20"/>
    <mergeCell ref="C22:H22"/>
    <mergeCell ref="C24:H24"/>
    <mergeCell ref="B2:C2"/>
    <mergeCell ref="D2:G2"/>
    <mergeCell ref="B3:G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H266"/>
  <sheetViews>
    <sheetView showGridLines="0" zoomScale="90" zoomScaleNormal="90" workbookViewId="0">
      <selection activeCell="C33" sqref="C33:G33"/>
    </sheetView>
  </sheetViews>
  <sheetFormatPr baseColWidth="10" defaultColWidth="9.140625" defaultRowHeight="12.75"/>
  <cols>
    <col min="1" max="1" width="3" style="14" customWidth="1"/>
    <col min="2" max="2" width="29.28515625" style="14" customWidth="1"/>
    <col min="3" max="3" width="11.5703125" style="14" customWidth="1"/>
    <col min="4" max="4" width="12.42578125" style="14" customWidth="1"/>
    <col min="5" max="5" width="57.140625" style="14" customWidth="1"/>
    <col min="6" max="6" width="10.42578125" style="14" customWidth="1"/>
    <col min="7" max="7" width="14.7109375" style="14" customWidth="1"/>
    <col min="8" max="16384" width="9.140625" style="14"/>
  </cols>
  <sheetData>
    <row r="2" spans="1:8" ht="53.25" customHeight="1">
      <c r="A2" s="12"/>
      <c r="B2" s="13"/>
      <c r="C2" s="622" t="s">
        <v>573</v>
      </c>
      <c r="D2" s="622"/>
      <c r="E2" s="622"/>
      <c r="F2" s="622"/>
      <c r="G2" s="622"/>
    </row>
    <row r="3" spans="1:8" ht="23.25" customHeight="1">
      <c r="A3" s="12"/>
      <c r="B3" s="275"/>
      <c r="C3" s="274"/>
      <c r="D3" s="274"/>
      <c r="E3" s="274"/>
      <c r="F3" s="274"/>
      <c r="G3" s="274"/>
    </row>
    <row r="4" spans="1:8">
      <c r="A4" s="12"/>
      <c r="B4" s="99" t="s">
        <v>69</v>
      </c>
      <c r="C4" s="15"/>
      <c r="D4" s="15"/>
    </row>
    <row r="5" spans="1:8" ht="12.75" customHeight="1">
      <c r="A5" s="12"/>
      <c r="B5" s="627" t="s">
        <v>70</v>
      </c>
      <c r="C5" s="628"/>
      <c r="D5" s="628"/>
      <c r="E5" s="628"/>
      <c r="F5" s="628"/>
      <c r="G5" s="628"/>
    </row>
    <row r="6" spans="1:8">
      <c r="A6" s="12"/>
      <c r="B6" s="2"/>
      <c r="C6" s="2"/>
      <c r="D6" s="2"/>
      <c r="E6" s="2"/>
    </row>
    <row r="7" spans="1:8">
      <c r="A7" s="12"/>
      <c r="B7" s="99" t="s">
        <v>248</v>
      </c>
      <c r="C7" s="15"/>
      <c r="D7" s="15"/>
    </row>
    <row r="8" spans="1:8">
      <c r="A8" s="12"/>
      <c r="B8" s="16" t="s">
        <v>248</v>
      </c>
      <c r="C8" s="15"/>
      <c r="D8" s="629" t="s">
        <v>249</v>
      </c>
      <c r="E8" s="629"/>
      <c r="F8" s="629"/>
      <c r="G8" s="629"/>
    </row>
    <row r="9" spans="1:8">
      <c r="A9" s="12"/>
      <c r="C9" s="15"/>
      <c r="D9" s="17"/>
      <c r="E9" s="17"/>
    </row>
    <row r="10" spans="1:8" ht="12.75" customHeight="1">
      <c r="A10" s="12"/>
      <c r="B10" s="105" t="s">
        <v>349</v>
      </c>
      <c r="D10" s="630" t="s">
        <v>250</v>
      </c>
      <c r="E10" s="630"/>
      <c r="F10" s="630"/>
      <c r="G10" s="630"/>
    </row>
    <row r="11" spans="1:8">
      <c r="A11" s="12"/>
      <c r="B11" s="101"/>
    </row>
    <row r="12" spans="1:8" ht="12.75" customHeight="1">
      <c r="A12" s="12"/>
      <c r="B12" s="102" t="s">
        <v>349</v>
      </c>
      <c r="D12" s="630" t="s">
        <v>251</v>
      </c>
      <c r="E12" s="630"/>
      <c r="F12" s="630"/>
      <c r="G12" s="630"/>
    </row>
    <row r="13" spans="1:8">
      <c r="A13" s="12"/>
      <c r="B13" s="103"/>
    </row>
    <row r="14" spans="1:8" ht="12.75" customHeight="1">
      <c r="A14" s="18"/>
      <c r="B14" s="106" t="s">
        <v>349</v>
      </c>
      <c r="D14" s="630" t="s">
        <v>71</v>
      </c>
      <c r="E14" s="630"/>
      <c r="F14" s="630"/>
      <c r="G14" s="630"/>
    </row>
    <row r="15" spans="1:8">
      <c r="A15" s="18"/>
      <c r="B15" s="103"/>
    </row>
    <row r="16" spans="1:8" ht="12.75" customHeight="1">
      <c r="A16" s="18"/>
      <c r="B16" s="104" t="s">
        <v>349</v>
      </c>
      <c r="D16" s="630" t="s">
        <v>252</v>
      </c>
      <c r="E16" s="630"/>
      <c r="F16" s="630"/>
      <c r="G16" s="630"/>
      <c r="H16" s="19"/>
    </row>
    <row r="17" spans="1:8" s="22" customFormat="1">
      <c r="A17" s="20"/>
      <c r="B17" s="21"/>
      <c r="D17" s="23"/>
      <c r="E17" s="23"/>
      <c r="H17" s="24"/>
    </row>
    <row r="18" spans="1:8" s="25" customFormat="1">
      <c r="B18" s="633" t="s">
        <v>72</v>
      </c>
      <c r="C18" s="633"/>
      <c r="D18" s="633"/>
      <c r="E18" s="633"/>
      <c r="F18" s="633"/>
      <c r="G18" s="633"/>
    </row>
    <row r="19" spans="1:8" s="25" customFormat="1" ht="12.75" customHeight="1">
      <c r="B19" s="180" t="s">
        <v>73</v>
      </c>
      <c r="C19" s="634" t="s">
        <v>249</v>
      </c>
      <c r="D19" s="634"/>
      <c r="E19" s="634"/>
      <c r="F19" s="634"/>
      <c r="G19" s="634"/>
    </row>
    <row r="20" spans="1:8" s="25" customFormat="1" ht="12" customHeight="1">
      <c r="B20" s="107" t="s">
        <v>74</v>
      </c>
      <c r="C20" s="623" t="s">
        <v>75</v>
      </c>
      <c r="D20" s="623"/>
      <c r="E20" s="623"/>
      <c r="F20" s="623"/>
      <c r="G20" s="623"/>
    </row>
    <row r="21" spans="1:8" s="25" customFormat="1" ht="12" customHeight="1">
      <c r="B21" s="107" t="s">
        <v>298</v>
      </c>
      <c r="C21" s="623" t="s">
        <v>305</v>
      </c>
      <c r="D21" s="623"/>
      <c r="E21" s="623"/>
      <c r="F21" s="623"/>
      <c r="G21" s="623"/>
    </row>
    <row r="22" spans="1:8" s="25" customFormat="1" ht="12" customHeight="1">
      <c r="B22" s="107" t="s">
        <v>299</v>
      </c>
      <c r="C22" s="623" t="s">
        <v>306</v>
      </c>
      <c r="D22" s="623"/>
      <c r="E22" s="623"/>
      <c r="F22" s="623"/>
      <c r="G22" s="623"/>
    </row>
    <row r="23" spans="1:8" s="25" customFormat="1" ht="12" customHeight="1">
      <c r="B23" s="107" t="s">
        <v>300</v>
      </c>
      <c r="C23" s="623" t="s">
        <v>307</v>
      </c>
      <c r="D23" s="623"/>
      <c r="E23" s="623"/>
      <c r="F23" s="623"/>
      <c r="G23" s="623"/>
    </row>
    <row r="24" spans="1:8" s="25" customFormat="1" ht="12" customHeight="1">
      <c r="B24" s="107" t="s">
        <v>301</v>
      </c>
      <c r="C24" s="623" t="s">
        <v>308</v>
      </c>
      <c r="D24" s="623"/>
      <c r="E24" s="623"/>
      <c r="F24" s="623"/>
      <c r="G24" s="623"/>
    </row>
    <row r="25" spans="1:8" s="25" customFormat="1" ht="12" customHeight="1">
      <c r="B25" s="107" t="s">
        <v>302</v>
      </c>
      <c r="C25" s="623" t="s">
        <v>309</v>
      </c>
      <c r="D25" s="623"/>
      <c r="E25" s="623"/>
      <c r="F25" s="623"/>
      <c r="G25" s="623"/>
    </row>
    <row r="26" spans="1:8" s="25" customFormat="1" ht="12" customHeight="1">
      <c r="B26" s="107" t="s">
        <v>303</v>
      </c>
      <c r="C26" s="623" t="s">
        <v>310</v>
      </c>
      <c r="D26" s="623"/>
      <c r="E26" s="623"/>
      <c r="F26" s="623"/>
      <c r="G26" s="623"/>
    </row>
    <row r="27" spans="1:8" s="25" customFormat="1" ht="12" customHeight="1">
      <c r="B27" s="107" t="s">
        <v>304</v>
      </c>
      <c r="C27" s="631" t="s">
        <v>311</v>
      </c>
      <c r="D27" s="632"/>
      <c r="E27" s="632"/>
      <c r="F27" s="632"/>
      <c r="G27" s="632"/>
    </row>
    <row r="28" spans="1:8">
      <c r="A28" s="18"/>
      <c r="B28" s="12"/>
      <c r="C28" s="100"/>
      <c r="D28" s="100"/>
      <c r="E28" s="100"/>
      <c r="F28" s="29"/>
      <c r="G28" s="29"/>
      <c r="H28" s="29"/>
    </row>
    <row r="29" spans="1:8" s="26" customFormat="1">
      <c r="B29" s="633" t="s">
        <v>299</v>
      </c>
      <c r="C29" s="633"/>
      <c r="D29" s="633"/>
      <c r="E29" s="633"/>
      <c r="F29" s="633"/>
      <c r="G29" s="633"/>
    </row>
    <row r="30" spans="1:8" s="27" customFormat="1" ht="12.75" customHeight="1">
      <c r="B30" s="98" t="s">
        <v>73</v>
      </c>
      <c r="C30" s="634" t="s">
        <v>249</v>
      </c>
      <c r="D30" s="634"/>
      <c r="E30" s="634"/>
      <c r="F30" s="634"/>
      <c r="G30" s="634"/>
    </row>
    <row r="31" spans="1:8">
      <c r="A31" s="18"/>
      <c r="B31" s="624" t="s">
        <v>76</v>
      </c>
      <c r="C31" s="624"/>
      <c r="D31" s="624"/>
      <c r="E31" s="624"/>
      <c r="F31" s="624"/>
      <c r="G31" s="624"/>
    </row>
    <row r="32" spans="1:8" ht="12.75" customHeight="1">
      <c r="A32" s="18"/>
      <c r="B32" s="181" t="s">
        <v>79</v>
      </c>
      <c r="C32" s="623" t="s">
        <v>312</v>
      </c>
      <c r="D32" s="623"/>
      <c r="E32" s="623"/>
      <c r="F32" s="623"/>
      <c r="G32" s="623"/>
    </row>
    <row r="33" spans="1:7" ht="12.75" customHeight="1">
      <c r="A33" s="18"/>
      <c r="B33" s="28" t="s">
        <v>80</v>
      </c>
      <c r="C33" s="623" t="s">
        <v>313</v>
      </c>
      <c r="D33" s="623"/>
      <c r="E33" s="623"/>
      <c r="F33" s="623"/>
      <c r="G33" s="623"/>
    </row>
    <row r="34" spans="1:7" ht="12.75" customHeight="1">
      <c r="A34" s="18"/>
      <c r="B34" s="28" t="s">
        <v>81</v>
      </c>
      <c r="C34" s="623" t="s">
        <v>314</v>
      </c>
      <c r="D34" s="623"/>
      <c r="E34" s="623"/>
      <c r="F34" s="623"/>
      <c r="G34" s="623"/>
    </row>
    <row r="35" spans="1:7" ht="12.75" customHeight="1">
      <c r="A35" s="18"/>
      <c r="B35" s="28" t="s">
        <v>82</v>
      </c>
      <c r="C35" s="623" t="s">
        <v>315</v>
      </c>
      <c r="D35" s="623"/>
      <c r="E35" s="623"/>
      <c r="F35" s="623"/>
      <c r="G35" s="623"/>
    </row>
    <row r="36" spans="1:7" ht="12.75" customHeight="1">
      <c r="A36" s="18"/>
      <c r="B36" s="28" t="s">
        <v>83</v>
      </c>
      <c r="C36" s="623" t="s">
        <v>316</v>
      </c>
      <c r="D36" s="623"/>
      <c r="E36" s="623"/>
      <c r="F36" s="623"/>
      <c r="G36" s="623"/>
    </row>
    <row r="37" spans="1:7" ht="12.75" customHeight="1">
      <c r="A37" s="18"/>
      <c r="B37" s="261" t="s">
        <v>451</v>
      </c>
      <c r="C37" s="623" t="s">
        <v>478</v>
      </c>
      <c r="D37" s="623"/>
      <c r="E37" s="623"/>
      <c r="F37" s="623"/>
      <c r="G37" s="623"/>
    </row>
    <row r="38" spans="1:7" ht="12.75" customHeight="1">
      <c r="A38" s="18"/>
      <c r="B38" s="261" t="s">
        <v>477</v>
      </c>
      <c r="C38" s="635" t="s">
        <v>479</v>
      </c>
      <c r="D38" s="636"/>
      <c r="E38" s="636"/>
      <c r="F38" s="636"/>
      <c r="G38" s="637"/>
    </row>
    <row r="39" spans="1:7" ht="12.75" customHeight="1">
      <c r="A39" s="18"/>
      <c r="B39" s="28" t="s">
        <v>124</v>
      </c>
      <c r="C39" s="623" t="s">
        <v>317</v>
      </c>
      <c r="D39" s="623"/>
      <c r="E39" s="623"/>
      <c r="F39" s="623"/>
      <c r="G39" s="623"/>
    </row>
    <row r="40" spans="1:7" ht="12.75" customHeight="1">
      <c r="A40" s="18"/>
      <c r="B40" s="28" t="s">
        <v>127</v>
      </c>
      <c r="C40" s="623" t="s">
        <v>318</v>
      </c>
      <c r="D40" s="623"/>
      <c r="E40" s="623"/>
      <c r="F40" s="623"/>
      <c r="G40" s="623"/>
    </row>
    <row r="41" spans="1:7" ht="12.75" customHeight="1">
      <c r="A41" s="18"/>
      <c r="B41" s="28" t="s">
        <v>125</v>
      </c>
      <c r="C41" s="623" t="s">
        <v>320</v>
      </c>
      <c r="D41" s="623"/>
      <c r="E41" s="623"/>
      <c r="F41" s="623"/>
      <c r="G41" s="623"/>
    </row>
    <row r="42" spans="1:7" ht="12.75" customHeight="1">
      <c r="A42" s="18"/>
      <c r="B42" s="28" t="s">
        <v>126</v>
      </c>
      <c r="C42" s="623" t="s">
        <v>319</v>
      </c>
      <c r="D42" s="623"/>
      <c r="E42" s="623"/>
      <c r="F42" s="623"/>
      <c r="G42" s="623"/>
    </row>
    <row r="43" spans="1:7">
      <c r="A43" s="18"/>
      <c r="B43" s="624" t="s">
        <v>77</v>
      </c>
      <c r="C43" s="624"/>
      <c r="D43" s="624"/>
      <c r="E43" s="624"/>
      <c r="F43" s="624"/>
      <c r="G43" s="624"/>
    </row>
    <row r="44" spans="1:7" ht="12.75" customHeight="1">
      <c r="A44" s="18"/>
      <c r="B44" s="28" t="s">
        <v>247</v>
      </c>
      <c r="C44" s="623" t="s">
        <v>321</v>
      </c>
      <c r="D44" s="623"/>
      <c r="E44" s="623"/>
      <c r="F44" s="623"/>
      <c r="G44" s="623"/>
    </row>
    <row r="45" spans="1:7" ht="12.75" customHeight="1">
      <c r="A45" s="18"/>
      <c r="B45" s="28" t="s">
        <v>246</v>
      </c>
      <c r="C45" s="623" t="s">
        <v>322</v>
      </c>
      <c r="D45" s="623"/>
      <c r="E45" s="623"/>
      <c r="F45" s="623"/>
      <c r="G45" s="623"/>
    </row>
    <row r="46" spans="1:7" ht="12.75" customHeight="1">
      <c r="A46" s="18"/>
      <c r="B46" s="28" t="s">
        <v>57</v>
      </c>
      <c r="C46" s="623" t="s">
        <v>372</v>
      </c>
      <c r="D46" s="623"/>
      <c r="E46" s="623"/>
      <c r="F46" s="623"/>
      <c r="G46" s="623"/>
    </row>
    <row r="47" spans="1:7" ht="12.75" customHeight="1">
      <c r="A47" s="18"/>
      <c r="B47" s="28" t="s">
        <v>283</v>
      </c>
      <c r="C47" s="623" t="s">
        <v>323</v>
      </c>
      <c r="D47" s="623"/>
      <c r="E47" s="623"/>
      <c r="F47" s="623"/>
      <c r="G47" s="623"/>
    </row>
    <row r="48" spans="1:7" ht="12.75" customHeight="1">
      <c r="A48" s="18"/>
      <c r="B48" s="28" t="s">
        <v>253</v>
      </c>
      <c r="C48" s="623" t="s">
        <v>324</v>
      </c>
      <c r="D48" s="623"/>
      <c r="E48" s="623"/>
      <c r="F48" s="623"/>
      <c r="G48" s="623"/>
    </row>
    <row r="49" spans="1:8" ht="12.75" customHeight="1">
      <c r="A49" s="18"/>
      <c r="B49" s="28" t="s">
        <v>284</v>
      </c>
      <c r="C49" s="623" t="s">
        <v>325</v>
      </c>
      <c r="D49" s="623"/>
      <c r="E49" s="623"/>
      <c r="F49" s="623"/>
      <c r="G49" s="623"/>
    </row>
    <row r="50" spans="1:8" ht="12.75" customHeight="1">
      <c r="A50" s="18"/>
      <c r="B50" s="28" t="s">
        <v>132</v>
      </c>
      <c r="C50" s="623" t="s">
        <v>326</v>
      </c>
      <c r="D50" s="623"/>
      <c r="E50" s="623"/>
      <c r="F50" s="623"/>
      <c r="G50" s="623"/>
    </row>
    <row r="51" spans="1:8">
      <c r="A51" s="18"/>
      <c r="B51" s="75"/>
      <c r="C51" s="108"/>
      <c r="D51" s="75"/>
      <c r="E51" s="75"/>
      <c r="F51" s="29"/>
      <c r="G51" s="29"/>
      <c r="H51" s="29"/>
    </row>
    <row r="52" spans="1:8" s="26" customFormat="1">
      <c r="B52" s="633" t="s">
        <v>300</v>
      </c>
      <c r="C52" s="633"/>
      <c r="D52" s="633"/>
      <c r="E52" s="633"/>
      <c r="F52" s="633"/>
      <c r="G52" s="633"/>
    </row>
    <row r="53" spans="1:8" s="27" customFormat="1" ht="12.75" customHeight="1">
      <c r="B53" s="98" t="s">
        <v>73</v>
      </c>
      <c r="C53" s="634" t="s">
        <v>249</v>
      </c>
      <c r="D53" s="634"/>
      <c r="E53" s="634"/>
      <c r="F53" s="634"/>
      <c r="G53" s="634"/>
    </row>
    <row r="54" spans="1:8">
      <c r="A54" s="18"/>
      <c r="B54" s="624" t="s">
        <v>76</v>
      </c>
      <c r="C54" s="624"/>
      <c r="D54" s="624"/>
      <c r="E54" s="624"/>
      <c r="F54" s="624"/>
      <c r="G54" s="624"/>
    </row>
    <row r="55" spans="1:8" ht="12.75" customHeight="1">
      <c r="A55" s="18"/>
      <c r="B55" s="28" t="s">
        <v>79</v>
      </c>
      <c r="C55" s="623" t="s">
        <v>312</v>
      </c>
      <c r="D55" s="623"/>
      <c r="E55" s="623"/>
      <c r="F55" s="623"/>
      <c r="G55" s="623"/>
    </row>
    <row r="56" spans="1:8" ht="12.75" customHeight="1">
      <c r="A56" s="18"/>
      <c r="B56" s="28" t="s">
        <v>80</v>
      </c>
      <c r="C56" s="623" t="s">
        <v>313</v>
      </c>
      <c r="D56" s="623"/>
      <c r="E56" s="623"/>
      <c r="F56" s="623"/>
      <c r="G56" s="623"/>
    </row>
    <row r="57" spans="1:8" ht="12.75" customHeight="1">
      <c r="A57" s="18"/>
      <c r="B57" s="28" t="s">
        <v>81</v>
      </c>
      <c r="C57" s="623" t="s">
        <v>314</v>
      </c>
      <c r="D57" s="623"/>
      <c r="E57" s="623"/>
      <c r="F57" s="623"/>
      <c r="G57" s="623"/>
    </row>
    <row r="58" spans="1:8" ht="12.75" customHeight="1">
      <c r="A58" s="18"/>
      <c r="B58" s="28" t="s">
        <v>82</v>
      </c>
      <c r="C58" s="623" t="s">
        <v>315</v>
      </c>
      <c r="D58" s="623"/>
      <c r="E58" s="623"/>
      <c r="F58" s="623"/>
      <c r="G58" s="623"/>
    </row>
    <row r="59" spans="1:8" ht="12.75" customHeight="1">
      <c r="A59" s="18"/>
      <c r="B59" s="28" t="s">
        <v>83</v>
      </c>
      <c r="C59" s="623" t="s">
        <v>316</v>
      </c>
      <c r="D59" s="623"/>
      <c r="E59" s="623"/>
      <c r="F59" s="623"/>
      <c r="G59" s="623"/>
    </row>
    <row r="60" spans="1:8" ht="12.75" customHeight="1">
      <c r="A60" s="18"/>
      <c r="B60" s="261" t="s">
        <v>451</v>
      </c>
      <c r="C60" s="623" t="s">
        <v>478</v>
      </c>
      <c r="D60" s="623"/>
      <c r="E60" s="623"/>
      <c r="F60" s="623"/>
      <c r="G60" s="623"/>
    </row>
    <row r="61" spans="1:8" ht="12.75" customHeight="1">
      <c r="A61" s="18"/>
      <c r="B61" s="261" t="s">
        <v>477</v>
      </c>
      <c r="C61" s="635" t="s">
        <v>479</v>
      </c>
      <c r="D61" s="636"/>
      <c r="E61" s="636"/>
      <c r="F61" s="636"/>
      <c r="G61" s="637"/>
    </row>
    <row r="62" spans="1:8" ht="12.75" customHeight="1">
      <c r="A62" s="18"/>
      <c r="B62" s="28" t="s">
        <v>124</v>
      </c>
      <c r="C62" s="623" t="s">
        <v>317</v>
      </c>
      <c r="D62" s="623"/>
      <c r="E62" s="623"/>
      <c r="F62" s="623"/>
      <c r="G62" s="623"/>
    </row>
    <row r="63" spans="1:8" ht="12.75" customHeight="1">
      <c r="A63" s="18"/>
      <c r="B63" s="28" t="s">
        <v>127</v>
      </c>
      <c r="C63" s="623" t="s">
        <v>318</v>
      </c>
      <c r="D63" s="623"/>
      <c r="E63" s="623"/>
      <c r="F63" s="623"/>
      <c r="G63" s="623"/>
    </row>
    <row r="64" spans="1:8" ht="12.75" customHeight="1">
      <c r="A64" s="18"/>
      <c r="B64" s="28" t="s">
        <v>125</v>
      </c>
      <c r="C64" s="623" t="s">
        <v>320</v>
      </c>
      <c r="D64" s="623"/>
      <c r="E64" s="623"/>
      <c r="F64" s="623"/>
      <c r="G64" s="623"/>
    </row>
    <row r="65" spans="1:8" ht="12.75" customHeight="1">
      <c r="A65" s="18"/>
      <c r="B65" s="28" t="s">
        <v>126</v>
      </c>
      <c r="C65" s="623" t="s">
        <v>319</v>
      </c>
      <c r="D65" s="623"/>
      <c r="E65" s="623"/>
      <c r="F65" s="623"/>
      <c r="G65" s="623"/>
    </row>
    <row r="66" spans="1:8">
      <c r="A66" s="18"/>
      <c r="B66" s="624" t="s">
        <v>77</v>
      </c>
      <c r="C66" s="624"/>
      <c r="D66" s="624"/>
      <c r="E66" s="624"/>
      <c r="F66" s="624"/>
      <c r="G66" s="624"/>
    </row>
    <row r="67" spans="1:8" ht="12.75" customHeight="1">
      <c r="A67" s="18"/>
      <c r="B67" s="28" t="s">
        <v>247</v>
      </c>
      <c r="C67" s="623" t="s">
        <v>321</v>
      </c>
      <c r="D67" s="623"/>
      <c r="E67" s="623"/>
      <c r="F67" s="623"/>
      <c r="G67" s="623"/>
    </row>
    <row r="68" spans="1:8" ht="12.75" customHeight="1">
      <c r="A68" s="18"/>
      <c r="B68" s="28" t="s">
        <v>246</v>
      </c>
      <c r="C68" s="623" t="s">
        <v>322</v>
      </c>
      <c r="D68" s="623"/>
      <c r="E68" s="623"/>
      <c r="F68" s="623"/>
      <c r="G68" s="623"/>
    </row>
    <row r="69" spans="1:8" ht="12.75" customHeight="1">
      <c r="A69" s="18"/>
      <c r="B69" s="28" t="s">
        <v>57</v>
      </c>
      <c r="C69" s="623" t="s">
        <v>372</v>
      </c>
      <c r="D69" s="623"/>
      <c r="E69" s="623"/>
      <c r="F69" s="623"/>
      <c r="G69" s="623"/>
    </row>
    <row r="70" spans="1:8" ht="12.75" customHeight="1">
      <c r="A70" s="18"/>
      <c r="B70" s="28" t="s">
        <v>283</v>
      </c>
      <c r="C70" s="623" t="s">
        <v>323</v>
      </c>
      <c r="D70" s="623"/>
      <c r="E70" s="623"/>
      <c r="F70" s="623"/>
      <c r="G70" s="623"/>
    </row>
    <row r="71" spans="1:8" ht="12.75" customHeight="1">
      <c r="A71" s="18"/>
      <c r="B71" s="28" t="s">
        <v>253</v>
      </c>
      <c r="C71" s="623" t="s">
        <v>324</v>
      </c>
      <c r="D71" s="623"/>
      <c r="E71" s="623"/>
      <c r="F71" s="623"/>
      <c r="G71" s="623"/>
    </row>
    <row r="72" spans="1:8" ht="12.75" customHeight="1">
      <c r="A72" s="18"/>
      <c r="B72" s="28" t="s">
        <v>284</v>
      </c>
      <c r="C72" s="623" t="s">
        <v>325</v>
      </c>
      <c r="D72" s="623"/>
      <c r="E72" s="623"/>
      <c r="F72" s="623"/>
      <c r="G72" s="623"/>
    </row>
    <row r="73" spans="1:8" ht="12.75" customHeight="1">
      <c r="A73" s="18"/>
      <c r="B73" s="28" t="s">
        <v>132</v>
      </c>
      <c r="C73" s="623" t="s">
        <v>326</v>
      </c>
      <c r="D73" s="623"/>
      <c r="E73" s="623"/>
      <c r="F73" s="623"/>
      <c r="G73" s="623"/>
    </row>
    <row r="74" spans="1:8">
      <c r="A74" s="18"/>
      <c r="B74" s="75"/>
      <c r="C74" s="108"/>
      <c r="D74" s="75"/>
      <c r="E74" s="75"/>
      <c r="F74" s="29"/>
      <c r="G74" s="29"/>
      <c r="H74" s="29"/>
    </row>
    <row r="75" spans="1:8" s="26" customFormat="1">
      <c r="B75" s="633" t="s">
        <v>301</v>
      </c>
      <c r="C75" s="633"/>
      <c r="D75" s="633"/>
      <c r="E75" s="633"/>
      <c r="F75" s="633"/>
      <c r="G75" s="633"/>
    </row>
    <row r="76" spans="1:8" s="27" customFormat="1" ht="12.75" customHeight="1">
      <c r="B76" s="98" t="s">
        <v>73</v>
      </c>
      <c r="C76" s="634" t="s">
        <v>249</v>
      </c>
      <c r="D76" s="634"/>
      <c r="E76" s="634"/>
      <c r="F76" s="634"/>
      <c r="G76" s="634"/>
    </row>
    <row r="77" spans="1:8">
      <c r="A77" s="18"/>
      <c r="B77" s="624" t="s">
        <v>76</v>
      </c>
      <c r="C77" s="624"/>
      <c r="D77" s="624"/>
      <c r="E77" s="624"/>
      <c r="F77" s="624"/>
      <c r="G77" s="624"/>
    </row>
    <row r="78" spans="1:8" ht="12.75" customHeight="1">
      <c r="A78" s="18"/>
      <c r="B78" s="28" t="s">
        <v>79</v>
      </c>
      <c r="C78" s="623" t="s">
        <v>312</v>
      </c>
      <c r="D78" s="623"/>
      <c r="E78" s="623"/>
      <c r="F78" s="623"/>
      <c r="G78" s="623"/>
    </row>
    <row r="79" spans="1:8" ht="12.75" customHeight="1">
      <c r="A79" s="18"/>
      <c r="B79" s="28" t="s">
        <v>80</v>
      </c>
      <c r="C79" s="623" t="s">
        <v>313</v>
      </c>
      <c r="D79" s="623"/>
      <c r="E79" s="623"/>
      <c r="F79" s="623"/>
      <c r="G79" s="623"/>
    </row>
    <row r="80" spans="1:8" ht="12.75" customHeight="1">
      <c r="A80" s="18"/>
      <c r="B80" s="28" t="s">
        <v>81</v>
      </c>
      <c r="C80" s="623" t="s">
        <v>314</v>
      </c>
      <c r="D80" s="623"/>
      <c r="E80" s="623"/>
      <c r="F80" s="623"/>
      <c r="G80" s="623"/>
    </row>
    <row r="81" spans="1:7" ht="12.75" customHeight="1">
      <c r="A81" s="18"/>
      <c r="B81" s="28" t="s">
        <v>82</v>
      </c>
      <c r="C81" s="623" t="s">
        <v>315</v>
      </c>
      <c r="D81" s="623"/>
      <c r="E81" s="623"/>
      <c r="F81" s="623"/>
      <c r="G81" s="623"/>
    </row>
    <row r="82" spans="1:7" ht="12.75" customHeight="1">
      <c r="A82" s="18"/>
      <c r="B82" s="28" t="s">
        <v>83</v>
      </c>
      <c r="C82" s="623" t="s">
        <v>316</v>
      </c>
      <c r="D82" s="623"/>
      <c r="E82" s="623"/>
      <c r="F82" s="623"/>
      <c r="G82" s="623"/>
    </row>
    <row r="83" spans="1:7" ht="12.75" customHeight="1">
      <c r="A83" s="18"/>
      <c r="B83" s="261" t="s">
        <v>451</v>
      </c>
      <c r="C83" s="623" t="s">
        <v>478</v>
      </c>
      <c r="D83" s="623"/>
      <c r="E83" s="623"/>
      <c r="F83" s="623"/>
      <c r="G83" s="623"/>
    </row>
    <row r="84" spans="1:7" ht="12.75" customHeight="1">
      <c r="A84" s="18"/>
      <c r="B84" s="261" t="s">
        <v>477</v>
      </c>
      <c r="C84" s="635" t="s">
        <v>479</v>
      </c>
      <c r="D84" s="636"/>
      <c r="E84" s="636"/>
      <c r="F84" s="636"/>
      <c r="G84" s="637"/>
    </row>
    <row r="85" spans="1:7" ht="12.75" customHeight="1">
      <c r="A85" s="18"/>
      <c r="B85" s="28" t="s">
        <v>124</v>
      </c>
      <c r="C85" s="623" t="s">
        <v>317</v>
      </c>
      <c r="D85" s="623"/>
      <c r="E85" s="623"/>
      <c r="F85" s="623"/>
      <c r="G85" s="623"/>
    </row>
    <row r="86" spans="1:7" ht="12.75" customHeight="1">
      <c r="A86" s="18"/>
      <c r="B86" s="28" t="s">
        <v>127</v>
      </c>
      <c r="C86" s="623" t="s">
        <v>318</v>
      </c>
      <c r="D86" s="623"/>
      <c r="E86" s="623"/>
      <c r="F86" s="623"/>
      <c r="G86" s="623"/>
    </row>
    <row r="87" spans="1:7" ht="12.75" customHeight="1">
      <c r="A87" s="18"/>
      <c r="B87" s="28" t="s">
        <v>125</v>
      </c>
      <c r="C87" s="623" t="s">
        <v>320</v>
      </c>
      <c r="D87" s="623"/>
      <c r="E87" s="623"/>
      <c r="F87" s="623"/>
      <c r="G87" s="623"/>
    </row>
    <row r="88" spans="1:7" ht="12.75" customHeight="1">
      <c r="A88" s="18"/>
      <c r="B88" s="28" t="s">
        <v>126</v>
      </c>
      <c r="C88" s="623" t="s">
        <v>319</v>
      </c>
      <c r="D88" s="623"/>
      <c r="E88" s="623"/>
      <c r="F88" s="623"/>
      <c r="G88" s="623"/>
    </row>
    <row r="89" spans="1:7">
      <c r="A89" s="18"/>
      <c r="B89" s="624" t="s">
        <v>77</v>
      </c>
      <c r="C89" s="624"/>
      <c r="D89" s="624"/>
      <c r="E89" s="624"/>
      <c r="F89" s="624"/>
      <c r="G89" s="624"/>
    </row>
    <row r="90" spans="1:7" ht="12.75" customHeight="1">
      <c r="A90" s="18"/>
      <c r="B90" s="28" t="s">
        <v>247</v>
      </c>
      <c r="C90" s="623" t="s">
        <v>321</v>
      </c>
      <c r="D90" s="623"/>
      <c r="E90" s="623"/>
      <c r="F90" s="623"/>
      <c r="G90" s="623"/>
    </row>
    <row r="91" spans="1:7" ht="12.75" customHeight="1">
      <c r="A91" s="18"/>
      <c r="B91" s="28" t="s">
        <v>246</v>
      </c>
      <c r="C91" s="623" t="s">
        <v>322</v>
      </c>
      <c r="D91" s="623"/>
      <c r="E91" s="623"/>
      <c r="F91" s="623"/>
      <c r="G91" s="623"/>
    </row>
    <row r="92" spans="1:7" ht="12.75" customHeight="1">
      <c r="A92" s="18"/>
      <c r="B92" s="28" t="s">
        <v>57</v>
      </c>
      <c r="C92" s="623" t="s">
        <v>372</v>
      </c>
      <c r="D92" s="623"/>
      <c r="E92" s="623"/>
      <c r="F92" s="623"/>
      <c r="G92" s="623"/>
    </row>
    <row r="93" spans="1:7" ht="12.75" customHeight="1">
      <c r="A93" s="18"/>
      <c r="B93" s="28" t="s">
        <v>283</v>
      </c>
      <c r="C93" s="623" t="s">
        <v>323</v>
      </c>
      <c r="D93" s="623"/>
      <c r="E93" s="623"/>
      <c r="F93" s="623"/>
      <c r="G93" s="623"/>
    </row>
    <row r="94" spans="1:7" ht="12.75" customHeight="1">
      <c r="A94" s="18"/>
      <c r="B94" s="28" t="s">
        <v>253</v>
      </c>
      <c r="C94" s="623" t="s">
        <v>324</v>
      </c>
      <c r="D94" s="623"/>
      <c r="E94" s="623"/>
      <c r="F94" s="623"/>
      <c r="G94" s="623"/>
    </row>
    <row r="95" spans="1:7" ht="12.75" customHeight="1">
      <c r="A95" s="18"/>
      <c r="B95" s="28" t="s">
        <v>284</v>
      </c>
      <c r="C95" s="623" t="s">
        <v>325</v>
      </c>
      <c r="D95" s="623"/>
      <c r="E95" s="623"/>
      <c r="F95" s="623"/>
      <c r="G95" s="623"/>
    </row>
    <row r="96" spans="1:7" ht="12.75" customHeight="1">
      <c r="A96" s="18"/>
      <c r="B96" s="28" t="s">
        <v>132</v>
      </c>
      <c r="C96" s="623" t="s">
        <v>326</v>
      </c>
      <c r="D96" s="623"/>
      <c r="E96" s="623"/>
      <c r="F96" s="623"/>
      <c r="G96" s="623"/>
    </row>
    <row r="97" spans="1:8">
      <c r="A97" s="18"/>
      <c r="B97" s="75"/>
      <c r="C97" s="108"/>
      <c r="D97" s="75"/>
      <c r="E97" s="75"/>
      <c r="F97" s="29"/>
      <c r="G97" s="29"/>
      <c r="H97" s="29"/>
    </row>
    <row r="98" spans="1:8">
      <c r="A98" s="18"/>
      <c r="B98" s="633" t="s">
        <v>302</v>
      </c>
      <c r="C98" s="633"/>
      <c r="D98" s="633"/>
      <c r="E98" s="633"/>
      <c r="F98" s="633"/>
      <c r="G98" s="633"/>
      <c r="H98" s="29"/>
    </row>
    <row r="99" spans="1:8" ht="12.75" customHeight="1">
      <c r="A99" s="18"/>
      <c r="B99" s="98" t="s">
        <v>73</v>
      </c>
      <c r="C99" s="634" t="s">
        <v>249</v>
      </c>
      <c r="D99" s="634"/>
      <c r="E99" s="634"/>
      <c r="F99" s="634"/>
      <c r="G99" s="634"/>
      <c r="H99" s="29"/>
    </row>
    <row r="100" spans="1:8">
      <c r="A100" s="18"/>
      <c r="B100" s="624" t="s">
        <v>76</v>
      </c>
      <c r="C100" s="624"/>
      <c r="D100" s="624"/>
      <c r="E100" s="624"/>
      <c r="F100" s="624"/>
      <c r="G100" s="624"/>
      <c r="H100" s="29"/>
    </row>
    <row r="101" spans="1:8" ht="12.75" customHeight="1">
      <c r="A101" s="18"/>
      <c r="B101" s="28" t="s">
        <v>79</v>
      </c>
      <c r="C101" s="623" t="s">
        <v>312</v>
      </c>
      <c r="D101" s="623"/>
      <c r="E101" s="623"/>
      <c r="F101" s="623"/>
      <c r="G101" s="623"/>
      <c r="H101" s="29"/>
    </row>
    <row r="102" spans="1:8" ht="12.75" customHeight="1">
      <c r="A102" s="18"/>
      <c r="B102" s="28" t="s">
        <v>80</v>
      </c>
      <c r="C102" s="623" t="s">
        <v>313</v>
      </c>
      <c r="D102" s="623"/>
      <c r="E102" s="623"/>
      <c r="F102" s="623"/>
      <c r="G102" s="623"/>
      <c r="H102" s="29"/>
    </row>
    <row r="103" spans="1:8" ht="12.75" customHeight="1">
      <c r="A103" s="18"/>
      <c r="B103" s="28" t="s">
        <v>81</v>
      </c>
      <c r="C103" s="623" t="s">
        <v>314</v>
      </c>
      <c r="D103" s="623"/>
      <c r="E103" s="623"/>
      <c r="F103" s="623"/>
      <c r="G103" s="623"/>
      <c r="H103" s="29"/>
    </row>
    <row r="104" spans="1:8" ht="12.75" customHeight="1">
      <c r="A104" s="18"/>
      <c r="B104" s="28" t="s">
        <v>82</v>
      </c>
      <c r="C104" s="623" t="s">
        <v>315</v>
      </c>
      <c r="D104" s="623"/>
      <c r="E104" s="623"/>
      <c r="F104" s="623"/>
      <c r="G104" s="623"/>
      <c r="H104" s="29"/>
    </row>
    <row r="105" spans="1:8" ht="12.75" customHeight="1">
      <c r="A105" s="18"/>
      <c r="B105" s="28" t="s">
        <v>83</v>
      </c>
      <c r="C105" s="623" t="s">
        <v>316</v>
      </c>
      <c r="D105" s="623"/>
      <c r="E105" s="623"/>
      <c r="F105" s="623"/>
      <c r="G105" s="623"/>
      <c r="H105" s="29"/>
    </row>
    <row r="106" spans="1:8" ht="12.75" customHeight="1">
      <c r="A106" s="18"/>
      <c r="B106" s="261" t="s">
        <v>451</v>
      </c>
      <c r="C106" s="623" t="s">
        <v>478</v>
      </c>
      <c r="D106" s="623"/>
      <c r="E106" s="623"/>
      <c r="F106" s="623"/>
      <c r="G106" s="623"/>
      <c r="H106" s="29"/>
    </row>
    <row r="107" spans="1:8" ht="12.75" customHeight="1">
      <c r="A107" s="18"/>
      <c r="B107" s="261" t="s">
        <v>477</v>
      </c>
      <c r="C107" s="635" t="s">
        <v>479</v>
      </c>
      <c r="D107" s="636"/>
      <c r="E107" s="636"/>
      <c r="F107" s="636"/>
      <c r="G107" s="637"/>
    </row>
    <row r="108" spans="1:8" ht="12.75" customHeight="1">
      <c r="A108" s="18"/>
      <c r="B108" s="28" t="s">
        <v>124</v>
      </c>
      <c r="C108" s="623" t="s">
        <v>317</v>
      </c>
      <c r="D108" s="623"/>
      <c r="E108" s="623"/>
      <c r="F108" s="623"/>
      <c r="G108" s="623"/>
      <c r="H108" s="29"/>
    </row>
    <row r="109" spans="1:8" ht="12.75" customHeight="1">
      <c r="A109" s="18"/>
      <c r="B109" s="28" t="s">
        <v>127</v>
      </c>
      <c r="C109" s="623" t="s">
        <v>318</v>
      </c>
      <c r="D109" s="623"/>
      <c r="E109" s="623"/>
      <c r="F109" s="623"/>
      <c r="G109" s="623"/>
      <c r="H109" s="29"/>
    </row>
    <row r="110" spans="1:8" ht="12.75" customHeight="1">
      <c r="A110" s="18"/>
      <c r="B110" s="28" t="s">
        <v>125</v>
      </c>
      <c r="C110" s="623" t="s">
        <v>320</v>
      </c>
      <c r="D110" s="623"/>
      <c r="E110" s="623"/>
      <c r="F110" s="623"/>
      <c r="G110" s="623"/>
      <c r="H110" s="29"/>
    </row>
    <row r="111" spans="1:8" ht="12.75" customHeight="1">
      <c r="A111" s="18"/>
      <c r="B111" s="28" t="s">
        <v>126</v>
      </c>
      <c r="C111" s="623" t="s">
        <v>319</v>
      </c>
      <c r="D111" s="623"/>
      <c r="E111" s="623"/>
      <c r="F111" s="623"/>
      <c r="G111" s="623"/>
      <c r="H111" s="29"/>
    </row>
    <row r="112" spans="1:8">
      <c r="A112" s="18"/>
      <c r="B112" s="624" t="s">
        <v>77</v>
      </c>
      <c r="C112" s="624"/>
      <c r="D112" s="624"/>
      <c r="E112" s="624"/>
      <c r="F112" s="624"/>
      <c r="G112" s="624"/>
      <c r="H112" s="29"/>
    </row>
    <row r="113" spans="1:8" ht="12.75" customHeight="1">
      <c r="A113" s="18"/>
      <c r="B113" s="28" t="s">
        <v>247</v>
      </c>
      <c r="C113" s="623" t="s">
        <v>321</v>
      </c>
      <c r="D113" s="623"/>
      <c r="E113" s="623"/>
      <c r="F113" s="623"/>
      <c r="G113" s="623"/>
      <c r="H113" s="29"/>
    </row>
    <row r="114" spans="1:8" ht="12.75" customHeight="1">
      <c r="A114" s="18"/>
      <c r="B114" s="28" t="s">
        <v>246</v>
      </c>
      <c r="C114" s="623" t="s">
        <v>322</v>
      </c>
      <c r="D114" s="623"/>
      <c r="E114" s="623"/>
      <c r="F114" s="623"/>
      <c r="G114" s="623"/>
      <c r="H114" s="29"/>
    </row>
    <row r="115" spans="1:8" ht="12.75" customHeight="1">
      <c r="A115" s="18"/>
      <c r="B115" s="28" t="s">
        <v>57</v>
      </c>
      <c r="C115" s="623" t="s">
        <v>372</v>
      </c>
      <c r="D115" s="623"/>
      <c r="E115" s="623"/>
      <c r="F115" s="623"/>
      <c r="G115" s="623"/>
    </row>
    <row r="116" spans="1:8" ht="12.75" customHeight="1">
      <c r="A116" s="18"/>
      <c r="B116" s="28" t="s">
        <v>283</v>
      </c>
      <c r="C116" s="623" t="s">
        <v>323</v>
      </c>
      <c r="D116" s="623"/>
      <c r="E116" s="623"/>
      <c r="F116" s="623"/>
      <c r="G116" s="623"/>
      <c r="H116" s="29"/>
    </row>
    <row r="117" spans="1:8" ht="12.75" customHeight="1">
      <c r="A117" s="18"/>
      <c r="B117" s="28" t="s">
        <v>253</v>
      </c>
      <c r="C117" s="623" t="s">
        <v>324</v>
      </c>
      <c r="D117" s="623"/>
      <c r="E117" s="623"/>
      <c r="F117" s="623"/>
      <c r="G117" s="623"/>
      <c r="H117" s="29"/>
    </row>
    <row r="118" spans="1:8" ht="12.75" customHeight="1">
      <c r="A118" s="18"/>
      <c r="B118" s="28" t="s">
        <v>284</v>
      </c>
      <c r="C118" s="623" t="s">
        <v>325</v>
      </c>
      <c r="D118" s="623"/>
      <c r="E118" s="623"/>
      <c r="F118" s="623"/>
      <c r="G118" s="623"/>
      <c r="H118" s="29"/>
    </row>
    <row r="119" spans="1:8" ht="12.75" customHeight="1">
      <c r="A119" s="18"/>
      <c r="B119" s="28" t="s">
        <v>132</v>
      </c>
      <c r="C119" s="623" t="s">
        <v>326</v>
      </c>
      <c r="D119" s="623"/>
      <c r="E119" s="623"/>
      <c r="F119" s="623"/>
      <c r="G119" s="623"/>
      <c r="H119" s="29"/>
    </row>
    <row r="120" spans="1:8">
      <c r="A120" s="18"/>
      <c r="B120" s="75"/>
      <c r="C120" s="108"/>
      <c r="D120" s="75"/>
      <c r="E120" s="75"/>
      <c r="F120" s="29"/>
      <c r="G120" s="29"/>
      <c r="H120" s="29"/>
    </row>
    <row r="121" spans="1:8">
      <c r="A121" s="18"/>
      <c r="B121" s="633" t="s">
        <v>303</v>
      </c>
      <c r="C121" s="633"/>
      <c r="D121" s="633"/>
      <c r="E121" s="633"/>
      <c r="F121" s="633"/>
      <c r="G121" s="633"/>
      <c r="H121" s="29"/>
    </row>
    <row r="122" spans="1:8" ht="12.75" customHeight="1">
      <c r="A122" s="18"/>
      <c r="B122" s="98" t="s">
        <v>73</v>
      </c>
      <c r="C122" s="634" t="s">
        <v>249</v>
      </c>
      <c r="D122" s="634"/>
      <c r="E122" s="634"/>
      <c r="F122" s="634"/>
      <c r="G122" s="634"/>
      <c r="H122" s="29"/>
    </row>
    <row r="123" spans="1:8">
      <c r="A123" s="18"/>
      <c r="B123" s="624" t="s">
        <v>76</v>
      </c>
      <c r="C123" s="624"/>
      <c r="D123" s="624"/>
      <c r="E123" s="624"/>
      <c r="F123" s="624"/>
      <c r="G123" s="624"/>
      <c r="H123" s="29"/>
    </row>
    <row r="124" spans="1:8" ht="12.75" customHeight="1">
      <c r="A124" s="18"/>
      <c r="B124" s="28" t="s">
        <v>79</v>
      </c>
      <c r="C124" s="623" t="s">
        <v>312</v>
      </c>
      <c r="D124" s="623"/>
      <c r="E124" s="623"/>
      <c r="F124" s="623"/>
      <c r="G124" s="623"/>
      <c r="H124" s="29"/>
    </row>
    <row r="125" spans="1:8" ht="12.75" customHeight="1">
      <c r="A125" s="18"/>
      <c r="B125" s="28" t="s">
        <v>80</v>
      </c>
      <c r="C125" s="623" t="s">
        <v>313</v>
      </c>
      <c r="D125" s="623"/>
      <c r="E125" s="623"/>
      <c r="F125" s="623"/>
      <c r="G125" s="623"/>
      <c r="H125" s="29"/>
    </row>
    <row r="126" spans="1:8" ht="12.75" customHeight="1">
      <c r="A126" s="18"/>
      <c r="B126" s="28" t="s">
        <v>81</v>
      </c>
      <c r="C126" s="623" t="s">
        <v>314</v>
      </c>
      <c r="D126" s="623"/>
      <c r="E126" s="623"/>
      <c r="F126" s="623"/>
      <c r="G126" s="623"/>
      <c r="H126" s="29"/>
    </row>
    <row r="127" spans="1:8" ht="12.75" customHeight="1">
      <c r="A127" s="18"/>
      <c r="B127" s="28" t="s">
        <v>82</v>
      </c>
      <c r="C127" s="623" t="s">
        <v>315</v>
      </c>
      <c r="D127" s="623"/>
      <c r="E127" s="623"/>
      <c r="F127" s="623"/>
      <c r="G127" s="623"/>
      <c r="H127" s="29"/>
    </row>
    <row r="128" spans="1:8" ht="12.75" customHeight="1">
      <c r="A128" s="18"/>
      <c r="B128" s="28" t="s">
        <v>83</v>
      </c>
      <c r="C128" s="623" t="s">
        <v>316</v>
      </c>
      <c r="D128" s="623"/>
      <c r="E128" s="623"/>
      <c r="F128" s="623"/>
      <c r="G128" s="623"/>
      <c r="H128" s="29"/>
    </row>
    <row r="129" spans="1:8" ht="12.75" customHeight="1">
      <c r="A129" s="18"/>
      <c r="B129" s="261" t="s">
        <v>451</v>
      </c>
      <c r="C129" s="623" t="s">
        <v>478</v>
      </c>
      <c r="D129" s="623"/>
      <c r="E129" s="623"/>
      <c r="F129" s="623"/>
      <c r="G129" s="623"/>
      <c r="H129" s="29"/>
    </row>
    <row r="130" spans="1:8" ht="12.75" customHeight="1">
      <c r="A130" s="18"/>
      <c r="B130" s="261" t="s">
        <v>477</v>
      </c>
      <c r="C130" s="635" t="s">
        <v>479</v>
      </c>
      <c r="D130" s="636"/>
      <c r="E130" s="636"/>
      <c r="F130" s="636"/>
      <c r="G130" s="637"/>
    </row>
    <row r="131" spans="1:8" ht="12.75" customHeight="1">
      <c r="A131" s="18"/>
      <c r="B131" s="28" t="s">
        <v>124</v>
      </c>
      <c r="C131" s="623" t="s">
        <v>317</v>
      </c>
      <c r="D131" s="623"/>
      <c r="E131" s="623"/>
      <c r="F131" s="623"/>
      <c r="G131" s="623"/>
      <c r="H131" s="29"/>
    </row>
    <row r="132" spans="1:8" ht="12.75" customHeight="1">
      <c r="A132" s="18"/>
      <c r="B132" s="28" t="s">
        <v>127</v>
      </c>
      <c r="C132" s="623" t="s">
        <v>318</v>
      </c>
      <c r="D132" s="623"/>
      <c r="E132" s="623"/>
      <c r="F132" s="623"/>
      <c r="G132" s="623"/>
      <c r="H132" s="29"/>
    </row>
    <row r="133" spans="1:8" ht="12.75" customHeight="1">
      <c r="A133" s="18"/>
      <c r="B133" s="28" t="s">
        <v>125</v>
      </c>
      <c r="C133" s="623" t="s">
        <v>320</v>
      </c>
      <c r="D133" s="623"/>
      <c r="E133" s="623"/>
      <c r="F133" s="623"/>
      <c r="G133" s="623"/>
      <c r="H133" s="29"/>
    </row>
    <row r="134" spans="1:8" ht="12.75" customHeight="1">
      <c r="A134" s="18"/>
      <c r="B134" s="28" t="s">
        <v>126</v>
      </c>
      <c r="C134" s="623" t="s">
        <v>319</v>
      </c>
      <c r="D134" s="623"/>
      <c r="E134" s="623"/>
      <c r="F134" s="623"/>
      <c r="G134" s="623"/>
      <c r="H134" s="29"/>
    </row>
    <row r="135" spans="1:8">
      <c r="A135" s="18"/>
      <c r="B135" s="624" t="s">
        <v>77</v>
      </c>
      <c r="C135" s="624"/>
      <c r="D135" s="624"/>
      <c r="E135" s="624"/>
      <c r="F135" s="624"/>
      <c r="G135" s="624"/>
      <c r="H135" s="29"/>
    </row>
    <row r="136" spans="1:8" ht="12.75" customHeight="1">
      <c r="A136" s="18"/>
      <c r="B136" s="28" t="s">
        <v>327</v>
      </c>
      <c r="C136" s="623" t="s">
        <v>328</v>
      </c>
      <c r="D136" s="623"/>
      <c r="E136" s="623"/>
      <c r="F136" s="623"/>
      <c r="G136" s="623"/>
      <c r="H136" s="29"/>
    </row>
    <row r="137" spans="1:8" ht="12.75" customHeight="1">
      <c r="A137" s="18"/>
      <c r="B137" s="28" t="s">
        <v>246</v>
      </c>
      <c r="C137" s="623" t="s">
        <v>322</v>
      </c>
      <c r="D137" s="623"/>
      <c r="E137" s="623"/>
      <c r="F137" s="623"/>
      <c r="G137" s="623"/>
      <c r="H137" s="29"/>
    </row>
    <row r="138" spans="1:8" ht="12.75" customHeight="1">
      <c r="A138" s="18"/>
      <c r="B138" s="28" t="s">
        <v>284</v>
      </c>
      <c r="C138" s="623" t="s">
        <v>325</v>
      </c>
      <c r="D138" s="623"/>
      <c r="E138" s="623"/>
      <c r="F138" s="623"/>
      <c r="G138" s="623"/>
      <c r="H138" s="29"/>
    </row>
    <row r="139" spans="1:8" ht="12.75" customHeight="1">
      <c r="A139" s="18"/>
      <c r="B139" s="28" t="s">
        <v>57</v>
      </c>
      <c r="C139" s="623" t="s">
        <v>329</v>
      </c>
      <c r="D139" s="623"/>
      <c r="E139" s="623"/>
      <c r="F139" s="623"/>
      <c r="G139" s="623"/>
      <c r="H139" s="29"/>
    </row>
    <row r="140" spans="1:8" ht="12.75" customHeight="1">
      <c r="A140" s="18"/>
      <c r="B140" s="28" t="s">
        <v>58</v>
      </c>
      <c r="C140" s="623" t="s">
        <v>330</v>
      </c>
      <c r="D140" s="623"/>
      <c r="E140" s="623"/>
      <c r="F140" s="623"/>
      <c r="G140" s="623"/>
      <c r="H140" s="29"/>
    </row>
    <row r="141" spans="1:8" ht="12.75" customHeight="1">
      <c r="A141" s="18"/>
      <c r="B141" s="28" t="s">
        <v>59</v>
      </c>
      <c r="C141" s="623" t="s">
        <v>324</v>
      </c>
      <c r="D141" s="623"/>
      <c r="E141" s="623"/>
      <c r="F141" s="623"/>
      <c r="G141" s="623"/>
      <c r="H141" s="29"/>
    </row>
    <row r="142" spans="1:8" ht="12.75" customHeight="1">
      <c r="A142" s="18"/>
      <c r="B142" s="28" t="s">
        <v>273</v>
      </c>
      <c r="C142" s="623" t="s">
        <v>331</v>
      </c>
      <c r="D142" s="623"/>
      <c r="E142" s="623"/>
      <c r="F142" s="623"/>
      <c r="G142" s="623"/>
      <c r="H142" s="29"/>
    </row>
    <row r="143" spans="1:8" ht="12.75" customHeight="1">
      <c r="A143" s="18"/>
      <c r="B143" s="28" t="s">
        <v>60</v>
      </c>
      <c r="C143" s="623" t="s">
        <v>332</v>
      </c>
      <c r="D143" s="623"/>
      <c r="E143" s="623"/>
      <c r="F143" s="623"/>
      <c r="G143" s="623"/>
      <c r="H143" s="29"/>
    </row>
    <row r="144" spans="1:8" ht="12.75" customHeight="1">
      <c r="A144" s="18"/>
      <c r="B144" s="28" t="s">
        <v>61</v>
      </c>
      <c r="C144" s="623" t="s">
        <v>333</v>
      </c>
      <c r="D144" s="623"/>
      <c r="E144" s="623"/>
      <c r="F144" s="623"/>
      <c r="G144" s="623"/>
      <c r="H144" s="29"/>
    </row>
    <row r="145" spans="1:8" ht="12.75" customHeight="1">
      <c r="A145" s="18"/>
      <c r="B145" s="28" t="s">
        <v>62</v>
      </c>
      <c r="C145" s="623" t="s">
        <v>334</v>
      </c>
      <c r="D145" s="623"/>
      <c r="E145" s="623"/>
      <c r="F145" s="623"/>
      <c r="G145" s="623"/>
      <c r="H145" s="29"/>
    </row>
    <row r="146" spans="1:8">
      <c r="A146" s="18"/>
      <c r="B146" s="75"/>
      <c r="C146" s="108"/>
      <c r="D146" s="75"/>
      <c r="E146" s="75"/>
      <c r="F146" s="29"/>
      <c r="G146" s="29"/>
      <c r="H146" s="29"/>
    </row>
    <row r="147" spans="1:8">
      <c r="A147" s="18"/>
      <c r="B147" s="633" t="s">
        <v>335</v>
      </c>
      <c r="C147" s="633"/>
      <c r="D147" s="633"/>
      <c r="E147" s="633"/>
      <c r="F147" s="633"/>
      <c r="G147" s="633"/>
      <c r="H147" s="29"/>
    </row>
    <row r="148" spans="1:8" ht="12.75" customHeight="1">
      <c r="A148" s="18"/>
      <c r="B148" s="98" t="s">
        <v>73</v>
      </c>
      <c r="C148" s="634" t="s">
        <v>249</v>
      </c>
      <c r="D148" s="634"/>
      <c r="E148" s="634"/>
      <c r="F148" s="634"/>
      <c r="G148" s="634"/>
      <c r="H148" s="29"/>
    </row>
    <row r="149" spans="1:8">
      <c r="A149" s="18"/>
      <c r="B149" s="624" t="s">
        <v>77</v>
      </c>
      <c r="C149" s="624"/>
      <c r="D149" s="624"/>
      <c r="E149" s="624"/>
      <c r="F149" s="624"/>
      <c r="G149" s="624"/>
      <c r="H149" s="29"/>
    </row>
    <row r="150" spans="1:8" ht="12.75" customHeight="1">
      <c r="A150" s="18"/>
      <c r="B150" s="28" t="s">
        <v>337</v>
      </c>
      <c r="C150" s="623" t="s">
        <v>336</v>
      </c>
      <c r="D150" s="623"/>
      <c r="E150" s="623"/>
      <c r="F150" s="623"/>
      <c r="G150" s="623"/>
      <c r="H150" s="29"/>
    </row>
    <row r="151" spans="1:8" ht="12.75" customHeight="1">
      <c r="A151" s="18"/>
      <c r="B151" s="28" t="s">
        <v>276</v>
      </c>
      <c r="C151" s="623" t="s">
        <v>338</v>
      </c>
      <c r="D151" s="623"/>
      <c r="E151" s="623"/>
      <c r="F151" s="623"/>
      <c r="G151" s="623"/>
      <c r="H151" s="29"/>
    </row>
    <row r="152" spans="1:8" ht="12.75" customHeight="1">
      <c r="A152" s="18"/>
      <c r="B152" s="28" t="s">
        <v>339</v>
      </c>
      <c r="C152" s="623" t="s">
        <v>340</v>
      </c>
      <c r="D152" s="623"/>
      <c r="E152" s="623"/>
      <c r="F152" s="623"/>
      <c r="G152" s="623"/>
      <c r="H152" s="29"/>
    </row>
    <row r="153" spans="1:8" ht="12.75" customHeight="1">
      <c r="A153" s="18"/>
      <c r="B153" s="28" t="s">
        <v>341</v>
      </c>
      <c r="C153" s="623" t="s">
        <v>342</v>
      </c>
      <c r="D153" s="623"/>
      <c r="E153" s="623"/>
      <c r="F153" s="623"/>
      <c r="G153" s="623"/>
      <c r="H153" s="29"/>
    </row>
    <row r="154" spans="1:8" ht="12.75" customHeight="1">
      <c r="A154" s="18"/>
      <c r="B154" s="28" t="s">
        <v>343</v>
      </c>
      <c r="C154" s="623" t="s">
        <v>344</v>
      </c>
      <c r="D154" s="623"/>
      <c r="E154" s="623"/>
      <c r="F154" s="623"/>
      <c r="G154" s="623"/>
      <c r="H154" s="29"/>
    </row>
    <row r="155" spans="1:8">
      <c r="A155" s="20"/>
      <c r="B155" s="621"/>
      <c r="C155" s="621"/>
      <c r="D155" s="22"/>
      <c r="E155" s="22"/>
      <c r="F155" s="29"/>
      <c r="G155" s="29"/>
      <c r="H155" s="29"/>
    </row>
    <row r="156" spans="1:8">
      <c r="A156" s="20"/>
      <c r="B156" s="621"/>
      <c r="C156" s="621"/>
      <c r="D156" s="22"/>
      <c r="E156" s="22"/>
      <c r="F156" s="29"/>
      <c r="G156" s="29"/>
      <c r="H156" s="29"/>
    </row>
    <row r="157" spans="1:8">
      <c r="A157" s="20"/>
      <c r="B157" s="621"/>
      <c r="C157" s="621"/>
      <c r="D157" s="22"/>
      <c r="E157" s="22"/>
      <c r="F157" s="29"/>
      <c r="G157" s="29"/>
      <c r="H157" s="29"/>
    </row>
    <row r="158" spans="1:8">
      <c r="A158" s="20"/>
      <c r="B158" s="621"/>
      <c r="C158" s="621"/>
      <c r="D158" s="22"/>
      <c r="E158" s="22"/>
      <c r="F158" s="29"/>
      <c r="G158" s="29"/>
      <c r="H158" s="29"/>
    </row>
    <row r="159" spans="1:8">
      <c r="A159" s="20"/>
      <c r="B159" s="30"/>
      <c r="C159" s="22"/>
      <c r="D159" s="22"/>
      <c r="E159" s="22"/>
      <c r="F159" s="29"/>
      <c r="G159" s="29"/>
      <c r="H159" s="29"/>
    </row>
    <row r="160" spans="1:8" ht="13.5">
      <c r="A160" s="20"/>
      <c r="B160" s="34"/>
      <c r="C160" s="22"/>
      <c r="D160" s="22"/>
      <c r="E160" s="22"/>
      <c r="F160" s="29"/>
      <c r="G160" s="29"/>
      <c r="H160" s="29"/>
    </row>
    <row r="161" spans="1:8" ht="13.5">
      <c r="A161" s="20"/>
      <c r="B161" s="34"/>
      <c r="C161" s="22"/>
      <c r="D161" s="22"/>
      <c r="E161" s="22"/>
      <c r="F161" s="29"/>
      <c r="G161" s="29"/>
      <c r="H161" s="29"/>
    </row>
    <row r="162" spans="1:8" ht="13.5">
      <c r="A162" s="20"/>
      <c r="B162" s="35"/>
      <c r="C162" s="22"/>
      <c r="D162" s="22"/>
      <c r="E162" s="22"/>
      <c r="F162" s="29"/>
      <c r="G162" s="29"/>
      <c r="H162" s="29"/>
    </row>
    <row r="163" spans="1:8">
      <c r="A163" s="18"/>
      <c r="B163" s="36"/>
      <c r="F163" s="29"/>
      <c r="G163" s="29"/>
      <c r="H163" s="29"/>
    </row>
    <row r="164" spans="1:8" ht="13.5">
      <c r="A164" s="20"/>
      <c r="B164" s="34"/>
      <c r="C164" s="22"/>
      <c r="D164" s="22"/>
      <c r="E164" s="22"/>
      <c r="F164" s="29"/>
      <c r="G164" s="29"/>
      <c r="H164" s="29"/>
    </row>
    <row r="165" spans="1:8" ht="13.5">
      <c r="A165" s="20"/>
      <c r="B165" s="35"/>
      <c r="C165" s="22"/>
      <c r="D165" s="22"/>
      <c r="E165" s="22"/>
      <c r="F165" s="29"/>
      <c r="G165" s="29"/>
      <c r="H165" s="29"/>
    </row>
    <row r="166" spans="1:8">
      <c r="A166" s="20"/>
      <c r="B166" s="31"/>
      <c r="C166" s="22"/>
      <c r="D166" s="22"/>
      <c r="E166" s="22"/>
      <c r="F166" s="29"/>
      <c r="G166" s="29"/>
      <c r="H166" s="29"/>
    </row>
    <row r="167" spans="1:8">
      <c r="A167" s="20"/>
      <c r="B167" s="37"/>
      <c r="C167" s="22"/>
      <c r="D167" s="22"/>
      <c r="E167" s="22"/>
      <c r="F167" s="29"/>
      <c r="G167" s="29"/>
      <c r="H167" s="29"/>
    </row>
    <row r="168" spans="1:8">
      <c r="A168" s="20"/>
      <c r="B168" s="37"/>
      <c r="C168" s="22"/>
      <c r="D168" s="33"/>
      <c r="E168" s="33"/>
      <c r="F168" s="29"/>
      <c r="G168" s="29"/>
      <c r="H168" s="29"/>
    </row>
    <row r="169" spans="1:8">
      <c r="A169" s="20"/>
      <c r="B169" s="37"/>
      <c r="C169" s="22"/>
      <c r="D169" s="22"/>
      <c r="E169" s="22"/>
      <c r="F169" s="29"/>
      <c r="G169" s="29"/>
      <c r="H169" s="29"/>
    </row>
    <row r="170" spans="1:8">
      <c r="A170" s="20"/>
      <c r="B170" s="37"/>
      <c r="C170" s="22"/>
      <c r="D170" s="22"/>
      <c r="E170" s="22"/>
      <c r="F170" s="29"/>
      <c r="G170" s="29"/>
      <c r="H170" s="29"/>
    </row>
    <row r="171" spans="1:8">
      <c r="A171" s="20"/>
      <c r="B171" s="37"/>
      <c r="C171" s="22"/>
      <c r="D171" s="22"/>
      <c r="E171" s="22"/>
      <c r="F171" s="29"/>
      <c r="G171" s="29"/>
      <c r="H171" s="29"/>
    </row>
    <row r="172" spans="1:8">
      <c r="A172" s="20"/>
      <c r="B172" s="37"/>
      <c r="C172" s="22"/>
      <c r="D172" s="22"/>
      <c r="E172" s="22"/>
      <c r="F172" s="29"/>
      <c r="G172" s="29"/>
      <c r="H172" s="29"/>
    </row>
    <row r="173" spans="1:8">
      <c r="A173" s="20"/>
      <c r="B173" s="37"/>
      <c r="C173" s="22"/>
      <c r="D173" s="22"/>
      <c r="E173" s="22"/>
      <c r="F173" s="29"/>
      <c r="G173" s="29"/>
      <c r="H173" s="29"/>
    </row>
    <row r="174" spans="1:8">
      <c r="A174" s="20"/>
      <c r="B174" s="37"/>
      <c r="C174" s="22"/>
      <c r="D174" s="22"/>
      <c r="E174" s="22"/>
      <c r="F174" s="29"/>
      <c r="G174" s="29"/>
      <c r="H174" s="29"/>
    </row>
    <row r="175" spans="1:8">
      <c r="A175" s="20"/>
      <c r="B175" s="37"/>
      <c r="C175" s="22"/>
      <c r="D175" s="22"/>
      <c r="E175" s="22"/>
      <c r="F175" s="29"/>
      <c r="G175" s="29"/>
      <c r="H175" s="29"/>
    </row>
    <row r="176" spans="1:8">
      <c r="A176" s="20"/>
      <c r="B176" s="37"/>
      <c r="C176" s="22"/>
      <c r="D176" s="22"/>
      <c r="E176" s="22"/>
      <c r="F176" s="29"/>
      <c r="G176" s="29"/>
      <c r="H176" s="29"/>
    </row>
    <row r="177" spans="1:8">
      <c r="A177" s="20"/>
      <c r="B177" s="37"/>
      <c r="C177" s="22"/>
      <c r="D177" s="22"/>
      <c r="E177" s="22"/>
      <c r="F177" s="29"/>
      <c r="G177" s="29"/>
      <c r="H177" s="29"/>
    </row>
    <row r="178" spans="1:8">
      <c r="A178" s="20"/>
      <c r="B178" s="37"/>
      <c r="C178" s="22"/>
      <c r="D178" s="22"/>
      <c r="E178" s="22"/>
      <c r="F178" s="29"/>
      <c r="G178" s="29"/>
      <c r="H178" s="29"/>
    </row>
    <row r="179" spans="1:8">
      <c r="A179" s="20"/>
      <c r="B179" s="37"/>
      <c r="C179" s="22"/>
      <c r="D179" s="22"/>
      <c r="E179" s="22"/>
      <c r="F179" s="29"/>
      <c r="G179" s="29"/>
      <c r="H179" s="29"/>
    </row>
    <row r="180" spans="1:8">
      <c r="A180" s="20"/>
      <c r="B180" s="37"/>
      <c r="C180" s="22"/>
      <c r="D180" s="22"/>
      <c r="E180" s="22"/>
      <c r="F180" s="29"/>
      <c r="G180" s="29"/>
      <c r="H180" s="29"/>
    </row>
    <row r="181" spans="1:8">
      <c r="A181" s="20"/>
      <c r="B181" s="37"/>
      <c r="C181" s="22"/>
      <c r="D181" s="22"/>
      <c r="E181" s="22"/>
      <c r="F181" s="29"/>
      <c r="G181" s="29"/>
      <c r="H181" s="29"/>
    </row>
    <row r="182" spans="1:8">
      <c r="A182" s="20"/>
      <c r="B182" s="37"/>
      <c r="C182" s="22"/>
      <c r="D182" s="22"/>
      <c r="E182" s="22"/>
      <c r="F182" s="29"/>
      <c r="G182" s="29"/>
      <c r="H182" s="29"/>
    </row>
    <row r="183" spans="1:8">
      <c r="A183" s="20"/>
      <c r="B183" s="37"/>
      <c r="C183" s="22"/>
      <c r="D183" s="626"/>
      <c r="E183" s="626"/>
      <c r="F183" s="29"/>
      <c r="G183" s="29"/>
      <c r="H183" s="29"/>
    </row>
    <row r="184" spans="1:8">
      <c r="A184" s="20"/>
      <c r="B184" s="37"/>
      <c r="C184" s="22"/>
      <c r="D184" s="22"/>
      <c r="E184" s="22"/>
      <c r="F184" s="29"/>
      <c r="G184" s="29"/>
      <c r="H184" s="29"/>
    </row>
    <row r="185" spans="1:8">
      <c r="A185" s="20"/>
      <c r="B185" s="37"/>
      <c r="C185" s="22"/>
      <c r="D185" s="32"/>
      <c r="E185" s="22"/>
      <c r="F185" s="29"/>
      <c r="G185" s="29"/>
      <c r="H185" s="29"/>
    </row>
    <row r="186" spans="1:8">
      <c r="A186" s="20"/>
      <c r="B186" s="37"/>
      <c r="C186" s="22"/>
      <c r="D186" s="32"/>
      <c r="E186" s="22"/>
      <c r="F186" s="29"/>
      <c r="G186" s="29"/>
      <c r="H186" s="29"/>
    </row>
    <row r="187" spans="1:8">
      <c r="A187" s="20"/>
      <c r="B187" s="37"/>
      <c r="C187" s="22"/>
      <c r="D187" s="22"/>
      <c r="E187" s="22"/>
      <c r="F187" s="29"/>
      <c r="G187" s="29"/>
      <c r="H187" s="29"/>
    </row>
    <row r="188" spans="1:8">
      <c r="A188" s="20"/>
      <c r="B188" s="37"/>
      <c r="C188" s="22"/>
      <c r="D188" s="22"/>
      <c r="E188" s="22"/>
      <c r="F188" s="29"/>
      <c r="G188" s="29"/>
      <c r="H188" s="29"/>
    </row>
    <row r="189" spans="1:8">
      <c r="A189" s="20"/>
      <c r="B189" s="37"/>
      <c r="C189" s="22"/>
      <c r="D189" s="22"/>
      <c r="E189" s="22"/>
      <c r="F189" s="29"/>
      <c r="G189" s="29"/>
      <c r="H189" s="29"/>
    </row>
    <row r="190" spans="1:8">
      <c r="A190" s="20"/>
      <c r="B190" s="37"/>
      <c r="C190" s="22"/>
      <c r="D190" s="37"/>
      <c r="E190" s="22"/>
      <c r="F190" s="29"/>
      <c r="G190" s="29"/>
      <c r="H190" s="29"/>
    </row>
    <row r="191" spans="1:8">
      <c r="A191" s="20"/>
      <c r="B191" s="37"/>
      <c r="C191" s="22"/>
      <c r="D191" s="37"/>
      <c r="E191" s="22"/>
      <c r="F191" s="29"/>
      <c r="G191" s="29"/>
      <c r="H191" s="29"/>
    </row>
    <row r="192" spans="1:8">
      <c r="A192" s="20"/>
      <c r="B192" s="37"/>
      <c r="C192" s="22"/>
      <c r="D192" s="37"/>
      <c r="E192" s="22"/>
      <c r="F192" s="29"/>
      <c r="G192" s="29"/>
      <c r="H192" s="29"/>
    </row>
    <row r="193" spans="1:8">
      <c r="A193" s="20"/>
      <c r="B193" s="37"/>
      <c r="C193" s="22"/>
      <c r="D193" s="37"/>
      <c r="E193" s="22"/>
      <c r="F193" s="29"/>
      <c r="G193" s="29"/>
      <c r="H193" s="29"/>
    </row>
    <row r="194" spans="1:8">
      <c r="A194" s="20"/>
      <c r="B194" s="37"/>
      <c r="C194" s="22"/>
      <c r="D194" s="37"/>
      <c r="E194" s="22"/>
      <c r="F194" s="29"/>
      <c r="G194" s="29"/>
      <c r="H194" s="29"/>
    </row>
    <row r="195" spans="1:8">
      <c r="A195" s="20"/>
      <c r="B195" s="37"/>
      <c r="C195" s="22"/>
      <c r="D195" s="37"/>
      <c r="E195" s="22"/>
      <c r="F195" s="29"/>
      <c r="G195" s="29"/>
      <c r="H195" s="29"/>
    </row>
    <row r="196" spans="1:8">
      <c r="A196" s="20"/>
      <c r="B196" s="37"/>
      <c r="C196" s="22"/>
      <c r="D196" s="22"/>
      <c r="E196" s="22"/>
      <c r="F196" s="29"/>
      <c r="G196" s="29"/>
      <c r="H196" s="29"/>
    </row>
    <row r="197" spans="1:8">
      <c r="A197" s="20"/>
      <c r="B197" s="37"/>
      <c r="C197" s="22"/>
      <c r="D197" s="22"/>
      <c r="E197" s="22"/>
      <c r="F197" s="29"/>
      <c r="G197" s="29"/>
      <c r="H197" s="29"/>
    </row>
    <row r="198" spans="1:8">
      <c r="A198" s="20"/>
      <c r="B198" s="37"/>
      <c r="C198" s="22"/>
      <c r="D198" s="22"/>
      <c r="E198" s="22"/>
      <c r="F198" s="29"/>
      <c r="G198" s="29"/>
      <c r="H198" s="29"/>
    </row>
    <row r="199" spans="1:8">
      <c r="A199" s="20"/>
      <c r="B199" s="37"/>
      <c r="C199" s="22"/>
      <c r="D199" s="22"/>
      <c r="E199" s="23"/>
      <c r="F199" s="29"/>
      <c r="G199" s="29"/>
      <c r="H199" s="29"/>
    </row>
    <row r="200" spans="1:8">
      <c r="A200" s="20"/>
      <c r="B200" s="37"/>
      <c r="C200" s="22"/>
      <c r="D200" s="22"/>
      <c r="E200" s="22"/>
      <c r="F200" s="29"/>
      <c r="G200" s="29"/>
      <c r="H200" s="29"/>
    </row>
    <row r="201" spans="1:8">
      <c r="A201" s="20"/>
      <c r="B201" s="37"/>
      <c r="C201" s="22"/>
      <c r="D201" s="22"/>
      <c r="E201" s="22"/>
      <c r="F201" s="29"/>
      <c r="G201" s="29"/>
      <c r="H201" s="29"/>
    </row>
    <row r="202" spans="1:8">
      <c r="A202" s="20"/>
      <c r="B202" s="32"/>
      <c r="C202" s="22"/>
      <c r="D202" s="22"/>
      <c r="E202" s="22"/>
      <c r="F202" s="29"/>
      <c r="G202" s="29"/>
      <c r="H202" s="29"/>
    </row>
    <row r="203" spans="1:8" ht="13.5">
      <c r="A203" s="20"/>
      <c r="B203" s="35"/>
      <c r="C203" s="22"/>
      <c r="D203" s="22"/>
      <c r="E203" s="22"/>
      <c r="F203" s="29"/>
      <c r="G203" s="29"/>
      <c r="H203" s="29"/>
    </row>
    <row r="204" spans="1:8" ht="13.5">
      <c r="A204" s="20"/>
      <c r="B204" s="35"/>
      <c r="C204" s="22"/>
      <c r="D204" s="22"/>
      <c r="E204" s="22"/>
      <c r="F204" s="29"/>
      <c r="G204" s="29"/>
      <c r="H204" s="29"/>
    </row>
    <row r="205" spans="1:8" ht="13.5">
      <c r="A205" s="20"/>
      <c r="B205" s="35"/>
      <c r="C205" s="22"/>
      <c r="D205" s="22"/>
      <c r="E205" s="22"/>
      <c r="F205" s="29"/>
      <c r="G205" s="29"/>
      <c r="H205" s="29"/>
    </row>
    <row r="206" spans="1:8">
      <c r="A206" s="33"/>
      <c r="B206" s="33"/>
      <c r="C206" s="33"/>
      <c r="D206" s="31"/>
      <c r="E206" s="31"/>
      <c r="F206" s="29"/>
      <c r="G206" s="29"/>
      <c r="H206" s="29"/>
    </row>
    <row r="207" spans="1:8">
      <c r="A207" s="22"/>
      <c r="B207" s="22"/>
      <c r="C207" s="22"/>
      <c r="D207" s="22"/>
      <c r="E207" s="22"/>
    </row>
    <row r="208" spans="1:8" ht="13.5">
      <c r="A208" s="35"/>
      <c r="B208" s="22"/>
      <c r="C208" s="22"/>
      <c r="D208" s="22"/>
      <c r="E208" s="22"/>
    </row>
    <row r="209" spans="1:5">
      <c r="A209" s="22"/>
      <c r="B209" s="22"/>
      <c r="C209" s="22"/>
      <c r="D209" s="22"/>
      <c r="E209" s="22"/>
    </row>
    <row r="210" spans="1:5" ht="13.5">
      <c r="A210" s="35"/>
      <c r="B210" s="22"/>
      <c r="C210" s="22"/>
      <c r="D210" s="22"/>
      <c r="E210" s="22"/>
    </row>
    <row r="211" spans="1:5" ht="13.5">
      <c r="A211" s="22"/>
      <c r="B211" s="38"/>
      <c r="C211" s="22"/>
      <c r="D211" s="22"/>
      <c r="E211" s="22"/>
    </row>
    <row r="212" spans="1:5">
      <c r="A212" s="22"/>
      <c r="B212" s="626"/>
      <c r="C212" s="626"/>
      <c r="D212" s="626"/>
      <c r="E212" s="626"/>
    </row>
    <row r="213" spans="1:5">
      <c r="A213" s="22"/>
      <c r="B213" s="23"/>
      <c r="C213" s="23"/>
      <c r="D213" s="23"/>
      <c r="E213" s="23"/>
    </row>
    <row r="214" spans="1:5">
      <c r="A214" s="22"/>
      <c r="B214" s="39"/>
      <c r="C214" s="626"/>
      <c r="D214" s="626"/>
      <c r="E214" s="626"/>
    </row>
    <row r="215" spans="1:5">
      <c r="A215" s="22"/>
      <c r="B215" s="40"/>
      <c r="C215" s="23"/>
      <c r="D215" s="23"/>
      <c r="E215" s="23"/>
    </row>
    <row r="216" spans="1:5">
      <c r="A216" s="22"/>
      <c r="B216" s="39"/>
      <c r="C216" s="625"/>
      <c r="D216" s="626"/>
      <c r="E216" s="626"/>
    </row>
    <row r="217" spans="1:5">
      <c r="A217" s="22"/>
      <c r="B217" s="41"/>
      <c r="C217" s="23"/>
      <c r="D217" s="23"/>
      <c r="E217" s="23"/>
    </row>
    <row r="218" spans="1:5">
      <c r="A218" s="22"/>
      <c r="B218" s="39"/>
      <c r="C218" s="626"/>
      <c r="D218" s="626"/>
      <c r="E218" s="626"/>
    </row>
    <row r="219" spans="1:5">
      <c r="A219" s="22"/>
      <c r="B219" s="40"/>
      <c r="C219" s="23"/>
      <c r="D219" s="23"/>
      <c r="E219" s="23"/>
    </row>
    <row r="220" spans="1:5">
      <c r="A220" s="22"/>
      <c r="B220" s="39"/>
      <c r="C220" s="625"/>
      <c r="D220" s="626"/>
      <c r="E220" s="626"/>
    </row>
    <row r="221" spans="1:5">
      <c r="A221" s="22"/>
      <c r="B221" s="40"/>
      <c r="C221" s="23"/>
      <c r="D221" s="23"/>
      <c r="E221" s="23"/>
    </row>
    <row r="222" spans="1:5">
      <c r="A222" s="22"/>
      <c r="B222" s="40"/>
      <c r="C222" s="23"/>
      <c r="D222" s="23"/>
      <c r="E222" s="23"/>
    </row>
    <row r="223" spans="1:5">
      <c r="A223" s="22"/>
      <c r="B223" s="39"/>
      <c r="C223" s="626"/>
      <c r="D223" s="626"/>
      <c r="E223" s="626"/>
    </row>
    <row r="224" spans="1:5">
      <c r="A224" s="22"/>
      <c r="B224" s="23"/>
      <c r="C224" s="23"/>
      <c r="D224" s="23"/>
      <c r="E224" s="23"/>
    </row>
    <row r="225" spans="1:5">
      <c r="A225" s="22"/>
      <c r="B225" s="39"/>
      <c r="C225" s="625"/>
      <c r="D225" s="626"/>
      <c r="E225" s="626"/>
    </row>
    <row r="226" spans="1:5">
      <c r="A226" s="22"/>
      <c r="B226" s="39"/>
      <c r="C226" s="625"/>
      <c r="D226" s="626"/>
      <c r="E226" s="626"/>
    </row>
    <row r="227" spans="1:5">
      <c r="A227" s="22"/>
      <c r="B227" s="39"/>
      <c r="C227" s="625"/>
      <c r="D227" s="626"/>
      <c r="E227" s="626"/>
    </row>
    <row r="228" spans="1:5">
      <c r="A228" s="22"/>
      <c r="B228" s="41"/>
      <c r="C228" s="626"/>
      <c r="D228" s="626"/>
      <c r="E228" s="23"/>
    </row>
    <row r="229" spans="1:5">
      <c r="A229" s="22"/>
      <c r="B229" s="41"/>
      <c r="C229" s="626"/>
      <c r="D229" s="626"/>
      <c r="E229" s="23"/>
    </row>
    <row r="230" spans="1:5">
      <c r="A230" s="22"/>
      <c r="B230" s="41"/>
      <c r="C230" s="626"/>
      <c r="D230" s="626"/>
      <c r="E230" s="23"/>
    </row>
    <row r="231" spans="1:5">
      <c r="A231" s="22"/>
      <c r="B231" s="41"/>
      <c r="C231" s="626"/>
      <c r="D231" s="626"/>
      <c r="E231" s="23"/>
    </row>
    <row r="232" spans="1:5">
      <c r="A232" s="22"/>
      <c r="B232" s="41"/>
      <c r="C232" s="626"/>
      <c r="D232" s="626"/>
      <c r="E232" s="23"/>
    </row>
    <row r="233" spans="1:5">
      <c r="A233" s="22"/>
      <c r="B233" s="41"/>
      <c r="C233" s="626"/>
      <c r="D233" s="626"/>
      <c r="E233" s="23"/>
    </row>
    <row r="234" spans="1:5">
      <c r="A234" s="22"/>
      <c r="B234" s="41"/>
      <c r="C234" s="626"/>
      <c r="D234" s="626"/>
      <c r="E234" s="42"/>
    </row>
    <row r="235" spans="1:5">
      <c r="A235" s="22"/>
      <c r="B235" s="41"/>
      <c r="C235" s="626"/>
      <c r="D235" s="626"/>
      <c r="E235" s="42"/>
    </row>
    <row r="236" spans="1:5">
      <c r="A236" s="22"/>
      <c r="B236" s="41"/>
      <c r="C236" s="626"/>
      <c r="D236" s="626"/>
      <c r="E236" s="42"/>
    </row>
    <row r="237" spans="1:5">
      <c r="A237" s="22"/>
      <c r="B237" s="41"/>
      <c r="C237" s="626"/>
      <c r="D237" s="626"/>
      <c r="E237" s="42"/>
    </row>
    <row r="238" spans="1:5">
      <c r="A238" s="22"/>
      <c r="B238" s="41"/>
      <c r="C238" s="626"/>
      <c r="D238" s="626"/>
      <c r="E238" s="626"/>
    </row>
    <row r="239" spans="1:5">
      <c r="A239" s="22"/>
      <c r="B239" s="22"/>
      <c r="C239" s="43"/>
      <c r="D239" s="22"/>
      <c r="E239" s="22"/>
    </row>
    <row r="240" spans="1:5" ht="13.5">
      <c r="A240" s="35"/>
      <c r="B240" s="22"/>
      <c r="C240" s="22"/>
      <c r="D240" s="22"/>
      <c r="E240" s="22"/>
    </row>
    <row r="241" spans="1:5">
      <c r="A241" s="22"/>
      <c r="B241" s="22"/>
      <c r="C241" s="22"/>
      <c r="D241" s="22"/>
      <c r="E241" s="22"/>
    </row>
    <row r="242" spans="1:5">
      <c r="A242" s="39"/>
      <c r="B242" s="22"/>
      <c r="C242" s="22"/>
      <c r="D242" s="22"/>
      <c r="E242" s="22"/>
    </row>
    <row r="243" spans="1:5">
      <c r="A243" s="39"/>
      <c r="B243" s="22"/>
      <c r="C243" s="22"/>
      <c r="D243" s="22"/>
      <c r="E243" s="22"/>
    </row>
    <row r="244" spans="1:5">
      <c r="A244" s="39"/>
      <c r="B244" s="22"/>
      <c r="C244" s="22"/>
      <c r="D244" s="22"/>
      <c r="E244" s="22"/>
    </row>
    <row r="245" spans="1:5">
      <c r="A245" s="22"/>
      <c r="B245" s="626"/>
      <c r="C245" s="626"/>
      <c r="D245" s="22"/>
      <c r="E245" s="22"/>
    </row>
    <row r="246" spans="1:5">
      <c r="A246" s="22"/>
      <c r="B246" s="626"/>
      <c r="C246" s="626"/>
      <c r="D246" s="22"/>
      <c r="E246" s="22"/>
    </row>
    <row r="247" spans="1:5">
      <c r="A247" s="22"/>
      <c r="B247" s="626"/>
      <c r="C247" s="626"/>
      <c r="D247" s="22"/>
      <c r="E247" s="22"/>
    </row>
    <row r="248" spans="1:5">
      <c r="A248" s="22"/>
      <c r="B248" s="626"/>
      <c r="C248" s="626"/>
      <c r="D248" s="22"/>
      <c r="E248" s="22"/>
    </row>
    <row r="249" spans="1:5">
      <c r="A249" s="22"/>
      <c r="B249" s="626"/>
      <c r="C249" s="626"/>
      <c r="D249" s="22"/>
      <c r="E249" s="22"/>
    </row>
    <row r="250" spans="1:5">
      <c r="A250" s="22"/>
      <c r="B250" s="626"/>
      <c r="C250" s="626"/>
      <c r="D250" s="22"/>
      <c r="E250" s="22"/>
    </row>
    <row r="251" spans="1:5">
      <c r="A251" s="22"/>
      <c r="B251" s="626"/>
      <c r="C251" s="626"/>
      <c r="D251" s="22"/>
      <c r="E251" s="22"/>
    </row>
    <row r="252" spans="1:5">
      <c r="A252" s="22"/>
      <c r="B252" s="626"/>
      <c r="C252" s="626"/>
      <c r="D252" s="22"/>
      <c r="E252" s="22"/>
    </row>
    <row r="253" spans="1:5">
      <c r="A253" s="22"/>
      <c r="B253" s="626"/>
      <c r="C253" s="626"/>
      <c r="D253" s="22"/>
      <c r="E253" s="22"/>
    </row>
    <row r="254" spans="1:5">
      <c r="A254" s="22"/>
      <c r="B254" s="626"/>
      <c r="C254" s="626"/>
      <c r="D254" s="22"/>
      <c r="E254" s="22"/>
    </row>
    <row r="255" spans="1:5">
      <c r="A255" s="22"/>
      <c r="B255" s="626"/>
      <c r="C255" s="626"/>
      <c r="D255" s="22"/>
      <c r="E255" s="22"/>
    </row>
    <row r="256" spans="1:5">
      <c r="A256" s="22"/>
      <c r="B256" s="626"/>
      <c r="C256" s="626"/>
      <c r="D256" s="22"/>
      <c r="E256" s="22"/>
    </row>
    <row r="257" spans="1:5">
      <c r="A257" s="39"/>
      <c r="B257" s="22"/>
      <c r="C257" s="23"/>
      <c r="D257" s="22"/>
      <c r="E257" s="22"/>
    </row>
    <row r="258" spans="1:5">
      <c r="A258" s="39"/>
      <c r="B258" s="626"/>
      <c r="C258" s="626"/>
      <c r="D258" s="626"/>
      <c r="E258" s="626"/>
    </row>
    <row r="259" spans="1:5">
      <c r="A259" s="39"/>
      <c r="B259" s="626"/>
      <c r="C259" s="626"/>
      <c r="D259" s="626"/>
      <c r="E259" s="626"/>
    </row>
    <row r="260" spans="1:5">
      <c r="A260" s="22"/>
      <c r="B260" s="22"/>
      <c r="C260" s="22"/>
      <c r="D260" s="22"/>
      <c r="E260" s="22"/>
    </row>
    <row r="261" spans="1:5" ht="13.5">
      <c r="A261" s="35"/>
      <c r="B261" s="22"/>
      <c r="C261" s="22"/>
      <c r="D261" s="22"/>
      <c r="E261" s="22"/>
    </row>
    <row r="262" spans="1:5">
      <c r="A262" s="22"/>
      <c r="B262" s="22"/>
      <c r="C262" s="22"/>
      <c r="D262" s="22"/>
      <c r="E262" s="22"/>
    </row>
    <row r="263" spans="1:5">
      <c r="A263" s="39"/>
      <c r="B263" s="626"/>
      <c r="C263" s="626"/>
      <c r="D263" s="626"/>
      <c r="E263" s="626"/>
    </row>
    <row r="264" spans="1:5">
      <c r="A264" s="39"/>
      <c r="B264" s="626"/>
      <c r="C264" s="626"/>
      <c r="D264" s="626"/>
      <c r="E264" s="626"/>
    </row>
    <row r="265" spans="1:5">
      <c r="A265" s="39"/>
      <c r="B265" s="626"/>
      <c r="C265" s="626"/>
      <c r="D265" s="626"/>
      <c r="E265" s="626"/>
    </row>
    <row r="266" spans="1:5">
      <c r="A266" s="39"/>
      <c r="B266" s="626"/>
      <c r="C266" s="626"/>
      <c r="D266" s="626"/>
      <c r="E266" s="626"/>
    </row>
  </sheetData>
  <mergeCells count="182">
    <mergeCell ref="C152:G152"/>
    <mergeCell ref="C153:G153"/>
    <mergeCell ref="C154:G154"/>
    <mergeCell ref="B147:G147"/>
    <mergeCell ref="C148:G148"/>
    <mergeCell ref="B149:G149"/>
    <mergeCell ref="C150:G150"/>
    <mergeCell ref="C137:G137"/>
    <mergeCell ref="C142:G142"/>
    <mergeCell ref="C143:G143"/>
    <mergeCell ref="C144:G144"/>
    <mergeCell ref="C145:G145"/>
    <mergeCell ref="C138:G138"/>
    <mergeCell ref="C139:G139"/>
    <mergeCell ref="C140:G140"/>
    <mergeCell ref="C141:G141"/>
    <mergeCell ref="C151:G151"/>
    <mergeCell ref="C132:G132"/>
    <mergeCell ref="C133:G133"/>
    <mergeCell ref="C136:G136"/>
    <mergeCell ref="C127:G127"/>
    <mergeCell ref="C128:G128"/>
    <mergeCell ref="C129:G129"/>
    <mergeCell ref="C131:G131"/>
    <mergeCell ref="C38:G38"/>
    <mergeCell ref="C61:G61"/>
    <mergeCell ref="C84:G84"/>
    <mergeCell ref="C107:G107"/>
    <mergeCell ref="C130:G130"/>
    <mergeCell ref="C125:G125"/>
    <mergeCell ref="C126:G126"/>
    <mergeCell ref="C115:G115"/>
    <mergeCell ref="C116:G116"/>
    <mergeCell ref="C117:G117"/>
    <mergeCell ref="C110:G110"/>
    <mergeCell ref="C111:G111"/>
    <mergeCell ref="B112:G112"/>
    <mergeCell ref="C113:G113"/>
    <mergeCell ref="B123:G123"/>
    <mergeCell ref="C124:G124"/>
    <mergeCell ref="C118:G118"/>
    <mergeCell ref="C119:G119"/>
    <mergeCell ref="B121:G121"/>
    <mergeCell ref="C122:G122"/>
    <mergeCell ref="C105:G105"/>
    <mergeCell ref="C106:G106"/>
    <mergeCell ref="C108:G108"/>
    <mergeCell ref="C109:G109"/>
    <mergeCell ref="C101:G101"/>
    <mergeCell ref="C102:G102"/>
    <mergeCell ref="C103:G103"/>
    <mergeCell ref="C104:G104"/>
    <mergeCell ref="C114:G114"/>
    <mergeCell ref="C95:G95"/>
    <mergeCell ref="C96:G96"/>
    <mergeCell ref="B100:G100"/>
    <mergeCell ref="B98:G98"/>
    <mergeCell ref="C99:G99"/>
    <mergeCell ref="C91:G91"/>
    <mergeCell ref="C92:G92"/>
    <mergeCell ref="C93:G93"/>
    <mergeCell ref="C94:G94"/>
    <mergeCell ref="C81:G81"/>
    <mergeCell ref="B77:G77"/>
    <mergeCell ref="B75:G75"/>
    <mergeCell ref="C76:G76"/>
    <mergeCell ref="C87:G87"/>
    <mergeCell ref="C88:G88"/>
    <mergeCell ref="B89:G89"/>
    <mergeCell ref="C90:G90"/>
    <mergeCell ref="C82:G82"/>
    <mergeCell ref="C83:G83"/>
    <mergeCell ref="C85:G85"/>
    <mergeCell ref="C86:G86"/>
    <mergeCell ref="C68:G68"/>
    <mergeCell ref="C69:G69"/>
    <mergeCell ref="C70:G70"/>
    <mergeCell ref="C71:G71"/>
    <mergeCell ref="C72:G72"/>
    <mergeCell ref="C78:G78"/>
    <mergeCell ref="C73:G73"/>
    <mergeCell ref="C79:G79"/>
    <mergeCell ref="C80:G80"/>
    <mergeCell ref="C67:G67"/>
    <mergeCell ref="B54:G54"/>
    <mergeCell ref="C55:G55"/>
    <mergeCell ref="C56:G56"/>
    <mergeCell ref="C57:G57"/>
    <mergeCell ref="C48:G48"/>
    <mergeCell ref="C49:G49"/>
    <mergeCell ref="C50:G50"/>
    <mergeCell ref="C53:G53"/>
    <mergeCell ref="B52:G52"/>
    <mergeCell ref="C63:G63"/>
    <mergeCell ref="C64:G64"/>
    <mergeCell ref="C65:G65"/>
    <mergeCell ref="B66:G66"/>
    <mergeCell ref="C58:G58"/>
    <mergeCell ref="C59:G59"/>
    <mergeCell ref="C60:G60"/>
    <mergeCell ref="C62:G62"/>
    <mergeCell ref="B264:E264"/>
    <mergeCell ref="B248:C248"/>
    <mergeCell ref="B265:E265"/>
    <mergeCell ref="C21:G21"/>
    <mergeCell ref="B5:G5"/>
    <mergeCell ref="D8:G8"/>
    <mergeCell ref="D10:G10"/>
    <mergeCell ref="B266:E266"/>
    <mergeCell ref="B253:C253"/>
    <mergeCell ref="B254:C254"/>
    <mergeCell ref="B255:C255"/>
    <mergeCell ref="B256:C256"/>
    <mergeCell ref="C26:G26"/>
    <mergeCell ref="C27:G27"/>
    <mergeCell ref="B29:G29"/>
    <mergeCell ref="D12:G12"/>
    <mergeCell ref="C35:G35"/>
    <mergeCell ref="D14:G14"/>
    <mergeCell ref="D16:G16"/>
    <mergeCell ref="B18:G18"/>
    <mergeCell ref="C19:G19"/>
    <mergeCell ref="C20:G20"/>
    <mergeCell ref="C30:G30"/>
    <mergeCell ref="C46:G46"/>
    <mergeCell ref="C237:D237"/>
    <mergeCell ref="C238:E238"/>
    <mergeCell ref="C229:D229"/>
    <mergeCell ref="C230:D230"/>
    <mergeCell ref="C231:D231"/>
    <mergeCell ref="C232:D232"/>
    <mergeCell ref="C233:D233"/>
    <mergeCell ref="B263:E263"/>
    <mergeCell ref="C234:D234"/>
    <mergeCell ref="C235:D235"/>
    <mergeCell ref="C236:D236"/>
    <mergeCell ref="B251:C251"/>
    <mergeCell ref="B252:C252"/>
    <mergeCell ref="B249:C249"/>
    <mergeCell ref="B250:C250"/>
    <mergeCell ref="B245:C245"/>
    <mergeCell ref="B258:E258"/>
    <mergeCell ref="B259:E259"/>
    <mergeCell ref="B246:C246"/>
    <mergeCell ref="B247:C247"/>
    <mergeCell ref="B157:C157"/>
    <mergeCell ref="C225:E225"/>
    <mergeCell ref="C226:E226"/>
    <mergeCell ref="C227:E227"/>
    <mergeCell ref="C228:D228"/>
    <mergeCell ref="C216:E216"/>
    <mergeCell ref="B158:C158"/>
    <mergeCell ref="C218:E218"/>
    <mergeCell ref="C220:E220"/>
    <mergeCell ref="C223:E223"/>
    <mergeCell ref="D183:E183"/>
    <mergeCell ref="B212:E212"/>
    <mergeCell ref="C214:E214"/>
    <mergeCell ref="B155:C155"/>
    <mergeCell ref="B156:C156"/>
    <mergeCell ref="C2:E2"/>
    <mergeCell ref="C22:G22"/>
    <mergeCell ref="C23:G23"/>
    <mergeCell ref="C24:G24"/>
    <mergeCell ref="C25:G25"/>
    <mergeCell ref="C134:G134"/>
    <mergeCell ref="B135:G135"/>
    <mergeCell ref="F2:G2"/>
    <mergeCell ref="B31:G31"/>
    <mergeCell ref="C32:G32"/>
    <mergeCell ref="C33:G33"/>
    <mergeCell ref="C34:G34"/>
    <mergeCell ref="B43:G43"/>
    <mergeCell ref="C42:G42"/>
    <mergeCell ref="C47:G47"/>
    <mergeCell ref="C36:G36"/>
    <mergeCell ref="C37:G37"/>
    <mergeCell ref="C39:G39"/>
    <mergeCell ref="C40:G40"/>
    <mergeCell ref="C41:G41"/>
    <mergeCell ref="C44:G44"/>
    <mergeCell ref="C45:G45"/>
  </mergeCells>
  <phoneticPr fontId="8" type="noConversion"/>
  <pageMargins left="0.75" right="0.75" top="1" bottom="1" header="0.5" footer="0.5"/>
  <pageSetup paperSize="9"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T27"/>
  <sheetViews>
    <sheetView showGridLines="0" workbookViewId="0">
      <selection activeCell="G8" sqref="G8"/>
    </sheetView>
  </sheetViews>
  <sheetFormatPr baseColWidth="10" defaultColWidth="9.140625" defaultRowHeight="12.75"/>
  <cols>
    <col min="1" max="1" width="5.7109375" style="124" customWidth="1"/>
    <col min="2" max="2" width="6" style="124" customWidth="1"/>
    <col min="3" max="3" width="22.85546875" style="124" customWidth="1"/>
    <col min="4" max="4" width="21.5703125" style="124" customWidth="1"/>
    <col min="5" max="5" width="30.140625" style="124" customWidth="1"/>
    <col min="6" max="6" width="33.28515625" style="124" customWidth="1"/>
    <col min="7" max="7" width="32.5703125" style="124" bestFit="1" customWidth="1"/>
    <col min="8" max="8" width="16.140625" style="124" customWidth="1"/>
    <col min="9" max="16384" width="9.140625" style="124"/>
  </cols>
  <sheetData>
    <row r="2" spans="1:20" s="14" customFormat="1" ht="53.25" customHeight="1">
      <c r="A2" s="12"/>
      <c r="B2" s="622"/>
      <c r="C2" s="622"/>
      <c r="D2" s="641" t="s">
        <v>573</v>
      </c>
      <c r="E2" s="642"/>
      <c r="F2" s="622"/>
      <c r="G2" s="622"/>
      <c r="H2" s="368"/>
    </row>
    <row r="4" spans="1:20" s="52" customFormat="1">
      <c r="B4" s="644" t="s">
        <v>79</v>
      </c>
      <c r="C4" s="645"/>
      <c r="D4" s="382" t="s">
        <v>88</v>
      </c>
      <c r="F4" s="386" t="s">
        <v>451</v>
      </c>
      <c r="G4" s="387" t="s">
        <v>900</v>
      </c>
      <c r="I4" s="74"/>
    </row>
    <row r="5" spans="1:20" s="52" customFormat="1">
      <c r="B5" s="383" t="s">
        <v>80</v>
      </c>
      <c r="C5" s="384"/>
      <c r="D5" s="382" t="s">
        <v>878</v>
      </c>
      <c r="F5" s="386" t="s">
        <v>477</v>
      </c>
      <c r="G5" s="387" t="s">
        <v>901</v>
      </c>
      <c r="I5" s="74"/>
    </row>
    <row r="6" spans="1:20" s="52" customFormat="1">
      <c r="B6" s="383" t="s">
        <v>81</v>
      </c>
      <c r="C6" s="384"/>
      <c r="D6" s="382">
        <v>673</v>
      </c>
      <c r="F6" s="386" t="s">
        <v>124</v>
      </c>
      <c r="G6" s="387"/>
      <c r="I6" s="74"/>
    </row>
    <row r="7" spans="1:20" s="52" customFormat="1">
      <c r="B7" s="383" t="s">
        <v>82</v>
      </c>
      <c r="C7" s="384"/>
      <c r="D7" s="385">
        <v>44228</v>
      </c>
      <c r="F7" s="386" t="s">
        <v>125</v>
      </c>
      <c r="G7" s="387" t="s">
        <v>902</v>
      </c>
      <c r="I7" s="74"/>
    </row>
    <row r="8" spans="1:20" s="52" customFormat="1">
      <c r="B8" s="644" t="s">
        <v>83</v>
      </c>
      <c r="C8" s="645"/>
      <c r="D8" s="385">
        <v>44295</v>
      </c>
      <c r="F8" s="386" t="s">
        <v>126</v>
      </c>
      <c r="G8" s="387" t="s">
        <v>903</v>
      </c>
      <c r="I8" s="74"/>
    </row>
    <row r="9" spans="1:20" s="52" customFormat="1" ht="12">
      <c r="I9" s="74"/>
    </row>
    <row r="10" spans="1:20" s="52" customFormat="1" ht="12">
      <c r="B10" s="52" t="s">
        <v>221</v>
      </c>
      <c r="I10" s="74"/>
      <c r="R10" s="53"/>
      <c r="S10" s="53"/>
      <c r="T10" s="53"/>
    </row>
    <row r="11" spans="1:20" s="52" customFormat="1" ht="33.75" customHeight="1">
      <c r="B11" s="643" t="s">
        <v>380</v>
      </c>
      <c r="C11" s="643"/>
      <c r="D11" s="643"/>
      <c r="E11" s="643"/>
      <c r="F11" s="643"/>
      <c r="G11" s="643"/>
      <c r="H11" s="74"/>
      <c r="I11" s="601"/>
      <c r="J11" s="602"/>
      <c r="R11" s="53"/>
      <c r="S11" s="53"/>
      <c r="T11" s="53"/>
    </row>
    <row r="13" spans="1:20">
      <c r="C13" s="638" t="s">
        <v>701</v>
      </c>
      <c r="D13" s="639"/>
      <c r="E13" s="639"/>
      <c r="F13" s="640"/>
    </row>
    <row r="14" spans="1:20">
      <c r="C14" s="369" t="s">
        <v>78</v>
      </c>
      <c r="D14" s="369" t="s">
        <v>561</v>
      </c>
      <c r="E14" s="369" t="s">
        <v>562</v>
      </c>
      <c r="F14" s="370" t="s">
        <v>355</v>
      </c>
    </row>
    <row r="15" spans="1:20">
      <c r="C15" s="371">
        <v>1</v>
      </c>
      <c r="D15" s="587">
        <v>44839</v>
      </c>
      <c r="E15" s="379" t="s">
        <v>476</v>
      </c>
      <c r="F15" s="379" t="s">
        <v>877</v>
      </c>
    </row>
    <row r="16" spans="1:20">
      <c r="C16" s="371"/>
      <c r="D16" s="373"/>
      <c r="E16" s="379"/>
      <c r="F16" s="379"/>
    </row>
    <row r="17" spans="3:6">
      <c r="C17" s="371"/>
      <c r="D17" s="373"/>
      <c r="E17" s="379"/>
      <c r="F17" s="372"/>
    </row>
    <row r="18" spans="3:6">
      <c r="C18" s="371"/>
      <c r="D18" s="373"/>
      <c r="E18" s="379"/>
      <c r="F18" s="372"/>
    </row>
    <row r="19" spans="3:6">
      <c r="C19" s="371"/>
      <c r="D19" s="373"/>
      <c r="E19" s="379"/>
      <c r="F19" s="372"/>
    </row>
    <row r="20" spans="3:6">
      <c r="C20" s="367"/>
      <c r="D20" s="367"/>
      <c r="E20" s="367"/>
      <c r="F20" s="367"/>
    </row>
    <row r="21" spans="3:6">
      <c r="C21" s="638" t="s">
        <v>702</v>
      </c>
      <c r="D21" s="639"/>
      <c r="E21" s="639"/>
      <c r="F21" s="640"/>
    </row>
    <row r="22" spans="3:6">
      <c r="C22" s="369" t="s">
        <v>703</v>
      </c>
      <c r="D22" s="369" t="s">
        <v>561</v>
      </c>
      <c r="E22" s="369" t="s">
        <v>704</v>
      </c>
      <c r="F22" s="370" t="s">
        <v>705</v>
      </c>
    </row>
    <row r="23" spans="3:6">
      <c r="C23" s="371"/>
      <c r="D23" s="600"/>
      <c r="E23" s="379"/>
      <c r="F23" s="379"/>
    </row>
    <row r="24" spans="3:6">
      <c r="C24" s="379"/>
      <c r="D24" s="587"/>
      <c r="E24" s="379"/>
      <c r="F24" s="379"/>
    </row>
    <row r="25" spans="3:6">
      <c r="C25" s="380"/>
      <c r="D25" s="375"/>
      <c r="E25" s="379"/>
      <c r="F25" s="379" t="str">
        <f>IF(ISNA(VLOOKUP(E25,Parámetros!$G$13:$H$43,2,FALSE)),"",VLOOKUP(E25,Parámetros!$G$13:$H$43,2,FALSE))</f>
        <v/>
      </c>
    </row>
    <row r="26" spans="3:6">
      <c r="C26" s="380"/>
      <c r="D26" s="375"/>
      <c r="E26" s="379"/>
      <c r="F26" s="379" t="str">
        <f>IF(ISNA(VLOOKUP(E26,Parámetros!$G$13:$H$43,2,FALSE)),"",VLOOKUP(E26,Parámetros!$G$13:$H$43,2,FALSE))</f>
        <v/>
      </c>
    </row>
    <row r="27" spans="3:6">
      <c r="C27" s="374"/>
      <c r="D27" s="375"/>
      <c r="E27" s="379"/>
      <c r="F27" s="379" t="str">
        <f>IF(ISNA(VLOOKUP(E27,Parámetros!$G$13:$H$43,2,FALSE)),"",VLOOKUP(E27,Parámetros!$G$13:$H$43,2,FALSE))</f>
        <v/>
      </c>
    </row>
  </sheetData>
  <mergeCells count="8">
    <mergeCell ref="C13:F13"/>
    <mergeCell ref="C21:F21"/>
    <mergeCell ref="D2:E2"/>
    <mergeCell ref="F2:G2"/>
    <mergeCell ref="B11:G11"/>
    <mergeCell ref="B2:C2"/>
    <mergeCell ref="B4:C4"/>
    <mergeCell ref="B8:C8"/>
  </mergeCells>
  <phoneticPr fontId="38" type="noConversion"/>
  <dataValidations count="6">
    <dataValidation type="list" allowBlank="1" showInputMessage="1" showErrorMessage="1" sqref="E23:E27">
      <formula1>Revisores</formula1>
    </dataValidation>
    <dataValidation type="list" allowBlank="1" showInputMessage="1" showErrorMessage="1" sqref="G6">
      <formula1>Aplicativo</formula1>
    </dataValidation>
    <dataValidation type="list" allowBlank="1" showInputMessage="1" showErrorMessage="1" sqref="D6">
      <formula1>Ciclo</formula1>
    </dataValidation>
    <dataValidation type="list" allowBlank="1" showInputMessage="1" showErrorMessage="1" sqref="D5">
      <formula1>Responsable</formula1>
    </dataValidation>
    <dataValidation type="list" allowBlank="1" showInputMessage="1" showErrorMessage="1" sqref="D4">
      <formula1>Linea</formula1>
    </dataValidation>
    <dataValidation type="list" allowBlank="1" showInputMessage="1" showErrorMessage="1" sqref="E15:E19">
      <formula1>Autor_Registro</formula1>
    </dataValidation>
  </dataValidations>
  <pageMargins left="0.7" right="0.7" top="0.75" bottom="0.75" header="0.3" footer="0.3"/>
  <pageSetup paperSize="0" orientation="portrait" horizontalDpi="0" verticalDpi="0" copies="0"/>
  <ignoredErrors>
    <ignoredError sqref="F25:F27" unlockedFormula="1"/>
  </ignoredError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B3:L1268"/>
  <sheetViews>
    <sheetView showGridLines="0" topLeftCell="F91" zoomScale="115" zoomScaleNormal="115" workbookViewId="0">
      <selection activeCell="K118" sqref="K118"/>
    </sheetView>
  </sheetViews>
  <sheetFormatPr baseColWidth="10" defaultColWidth="11.42578125" defaultRowHeight="12.75"/>
  <cols>
    <col min="1" max="1" width="11.42578125" customWidth="1"/>
    <col min="2" max="2" width="32.7109375" customWidth="1"/>
    <col min="3" max="3" width="35.28515625" customWidth="1"/>
    <col min="4" max="4" width="13.140625" customWidth="1"/>
    <col min="5" max="5" width="25.42578125" customWidth="1"/>
    <col min="6" max="6" width="10" customWidth="1"/>
    <col min="7" max="7" width="15.42578125" bestFit="1" customWidth="1"/>
    <col min="8" max="8" width="19.5703125" customWidth="1"/>
    <col min="11" max="11" width="35.85546875" customWidth="1"/>
    <col min="12" max="12" width="50.140625" bestFit="1" customWidth="1"/>
  </cols>
  <sheetData>
    <row r="3" spans="2:12">
      <c r="B3" s="647" t="s">
        <v>262</v>
      </c>
      <c r="C3" s="647"/>
      <c r="E3" s="121" t="s">
        <v>291</v>
      </c>
      <c r="F3" s="366"/>
      <c r="J3" s="121" t="s">
        <v>356</v>
      </c>
    </row>
    <row r="4" spans="2:12">
      <c r="B4" s="5" t="s">
        <v>254</v>
      </c>
      <c r="C4" s="11" t="s">
        <v>259</v>
      </c>
      <c r="E4" s="44" t="s">
        <v>292</v>
      </c>
      <c r="F4" s="366"/>
      <c r="J4" s="44" t="s">
        <v>357</v>
      </c>
    </row>
    <row r="5" spans="2:12">
      <c r="B5" s="3" t="s">
        <v>255</v>
      </c>
      <c r="C5" s="4" t="s">
        <v>258</v>
      </c>
      <c r="E5" s="44" t="s">
        <v>293</v>
      </c>
      <c r="F5" s="366"/>
      <c r="J5" s="44" t="s">
        <v>480</v>
      </c>
    </row>
    <row r="6" spans="2:12">
      <c r="B6" s="3" t="s">
        <v>256</v>
      </c>
      <c r="C6" s="4" t="s">
        <v>260</v>
      </c>
      <c r="E6" s="44" t="s">
        <v>129</v>
      </c>
      <c r="F6" s="366"/>
      <c r="J6" s="44"/>
    </row>
    <row r="7" spans="2:12">
      <c r="B7" s="3" t="s">
        <v>257</v>
      </c>
      <c r="C7" s="4" t="s">
        <v>261</v>
      </c>
    </row>
    <row r="8" spans="2:12">
      <c r="B8" s="6" t="s">
        <v>263</v>
      </c>
      <c r="C8" s="4" t="s">
        <v>264</v>
      </c>
    </row>
    <row r="9" spans="2:12">
      <c r="B9" s="6" t="s">
        <v>265</v>
      </c>
      <c r="C9" s="4" t="s">
        <v>266</v>
      </c>
    </row>
    <row r="10" spans="2:12">
      <c r="B10" s="7" t="s">
        <v>267</v>
      </c>
      <c r="C10" s="4" t="s">
        <v>268</v>
      </c>
      <c r="G10" s="497"/>
    </row>
    <row r="11" spans="2:12">
      <c r="B11" s="7" t="s">
        <v>269</v>
      </c>
      <c r="C11" s="4" t="s">
        <v>270</v>
      </c>
      <c r="J11" s="121" t="s">
        <v>631</v>
      </c>
      <c r="K11" s="121" t="s">
        <v>585</v>
      </c>
      <c r="L11" s="121" t="s">
        <v>584</v>
      </c>
    </row>
    <row r="12" spans="2:12">
      <c r="B12" s="7" t="s">
        <v>271</v>
      </c>
      <c r="C12" s="4" t="s">
        <v>272</v>
      </c>
      <c r="E12" s="121" t="s">
        <v>475</v>
      </c>
      <c r="G12" s="376" t="s">
        <v>707</v>
      </c>
      <c r="H12" s="381" t="s">
        <v>716</v>
      </c>
      <c r="J12" s="364" t="s">
        <v>898</v>
      </c>
      <c r="K12" s="365" t="s">
        <v>899</v>
      </c>
      <c r="L12" s="363" t="str">
        <f>CONCATENATE(J12,"-",K12)</f>
        <v>GA-Acceso a Producción</v>
      </c>
    </row>
    <row r="13" spans="2:12">
      <c r="E13" s="377" t="s">
        <v>706</v>
      </c>
      <c r="G13" s="377" t="s">
        <v>706</v>
      </c>
      <c r="H13" s="377" t="s">
        <v>713</v>
      </c>
      <c r="J13" s="364" t="s">
        <v>497</v>
      </c>
      <c r="K13" s="365" t="s">
        <v>586</v>
      </c>
      <c r="L13" s="363" t="str">
        <f t="shared" ref="L13:L76" si="0">CONCATENATE(J13,"-",K13)</f>
        <v>ACTF-Activo Fijo</v>
      </c>
    </row>
    <row r="14" spans="2:12">
      <c r="E14" s="378" t="s">
        <v>476</v>
      </c>
      <c r="F14" s="495"/>
      <c r="G14" s="378" t="s">
        <v>400</v>
      </c>
      <c r="H14" s="378" t="s">
        <v>714</v>
      </c>
      <c r="J14" s="364" t="s">
        <v>632</v>
      </c>
      <c r="K14" s="365" t="s">
        <v>633</v>
      </c>
      <c r="L14" s="363" t="str">
        <f t="shared" si="0"/>
        <v>ADAS-Adryan AS400 - Consultas</v>
      </c>
    </row>
    <row r="15" spans="2:12">
      <c r="B15" s="121" t="s">
        <v>86</v>
      </c>
      <c r="E15" s="378" t="s">
        <v>400</v>
      </c>
      <c r="F15" s="495"/>
      <c r="G15" s="378" t="s">
        <v>474</v>
      </c>
      <c r="H15" s="378" t="s">
        <v>714</v>
      </c>
      <c r="J15" s="364" t="s">
        <v>498</v>
      </c>
      <c r="K15" s="365" t="s">
        <v>634</v>
      </c>
      <c r="L15" s="363" t="str">
        <f t="shared" si="0"/>
        <v>AFIL-Afiliación y Traspasos</v>
      </c>
    </row>
    <row r="16" spans="2:12">
      <c r="B16" s="44" t="s">
        <v>87</v>
      </c>
      <c r="E16" s="378" t="s">
        <v>474</v>
      </c>
      <c r="F16" s="495"/>
      <c r="G16" s="429" t="s">
        <v>742</v>
      </c>
      <c r="H16" s="498" t="s">
        <v>714</v>
      </c>
      <c r="J16" s="364" t="s">
        <v>499</v>
      </c>
      <c r="K16" s="365" t="s">
        <v>587</v>
      </c>
      <c r="L16" s="363" t="str">
        <f t="shared" si="0"/>
        <v>ARCH-Archivo</v>
      </c>
    </row>
    <row r="17" spans="2:12">
      <c r="B17" s="44" t="s">
        <v>88</v>
      </c>
      <c r="E17" s="378" t="s">
        <v>807</v>
      </c>
      <c r="F17" s="495"/>
      <c r="G17" s="378" t="s">
        <v>808</v>
      </c>
      <c r="H17" s="498" t="s">
        <v>714</v>
      </c>
      <c r="J17" s="364" t="s">
        <v>500</v>
      </c>
      <c r="K17" s="365" t="s">
        <v>588</v>
      </c>
      <c r="L17" s="363" t="str">
        <f t="shared" si="0"/>
        <v>AREC-Automático de Reclamos</v>
      </c>
    </row>
    <row r="18" spans="2:12" ht="25.5">
      <c r="B18" s="44" t="s">
        <v>89</v>
      </c>
      <c r="E18" s="378" t="s">
        <v>808</v>
      </c>
      <c r="F18" s="495"/>
      <c r="G18" s="378" t="s">
        <v>809</v>
      </c>
      <c r="H18" s="498" t="s">
        <v>714</v>
      </c>
      <c r="J18" s="364" t="s">
        <v>635</v>
      </c>
      <c r="K18" s="365" t="s">
        <v>636</v>
      </c>
      <c r="L18" s="363" t="str">
        <f t="shared" si="0"/>
        <v>BCOS-Recepción de datos de recaudo de bancos</v>
      </c>
    </row>
    <row r="19" spans="2:12">
      <c r="B19" s="44" t="s">
        <v>90</v>
      </c>
      <c r="E19" s="378" t="s">
        <v>809</v>
      </c>
      <c r="F19" s="495"/>
      <c r="G19" s="378" t="s">
        <v>810</v>
      </c>
      <c r="H19" s="498" t="s">
        <v>714</v>
      </c>
      <c r="J19" s="364" t="s">
        <v>501</v>
      </c>
      <c r="K19" s="365" t="s">
        <v>589</v>
      </c>
      <c r="L19" s="363" t="str">
        <f t="shared" si="0"/>
        <v>BDMK-Base de Datos Comercial</v>
      </c>
    </row>
    <row r="20" spans="2:12">
      <c r="B20" s="44" t="s">
        <v>91</v>
      </c>
      <c r="E20" s="378" t="s">
        <v>810</v>
      </c>
      <c r="F20" s="495"/>
      <c r="G20" s="378" t="s">
        <v>709</v>
      </c>
      <c r="H20" s="378" t="s">
        <v>715</v>
      </c>
      <c r="J20" s="364" t="s">
        <v>784</v>
      </c>
      <c r="K20" s="365" t="s">
        <v>785</v>
      </c>
      <c r="L20" s="363" t="str">
        <f t="shared" si="0"/>
        <v>BMTC-BMatic</v>
      </c>
    </row>
    <row r="21" spans="2:12">
      <c r="B21" s="44" t="s">
        <v>92</v>
      </c>
      <c r="E21" s="378" t="s">
        <v>708</v>
      </c>
      <c r="F21" s="495"/>
      <c r="G21" s="378" t="s">
        <v>710</v>
      </c>
      <c r="H21" s="378" t="s">
        <v>715</v>
      </c>
      <c r="J21" s="364" t="s">
        <v>502</v>
      </c>
      <c r="K21" s="365" t="s">
        <v>590</v>
      </c>
      <c r="L21" s="363" t="str">
        <f t="shared" si="0"/>
        <v>BENE-Beneficios y Pensiones</v>
      </c>
    </row>
    <row r="22" spans="2:12">
      <c r="B22" s="44" t="s">
        <v>93</v>
      </c>
      <c r="E22" s="378" t="s">
        <v>709</v>
      </c>
      <c r="F22" s="495"/>
      <c r="G22" s="378" t="s">
        <v>711</v>
      </c>
      <c r="H22" s="378" t="s">
        <v>715</v>
      </c>
      <c r="J22" s="364" t="s">
        <v>503</v>
      </c>
      <c r="K22" s="365" t="s">
        <v>591</v>
      </c>
      <c r="L22" s="363" t="str">
        <f t="shared" si="0"/>
        <v>BONO-Bono de Reconocimiento</v>
      </c>
    </row>
    <row r="23" spans="2:12">
      <c r="B23" s="1"/>
      <c r="E23" s="378" t="s">
        <v>449</v>
      </c>
      <c r="F23" s="495"/>
      <c r="G23" s="378" t="s">
        <v>712</v>
      </c>
      <c r="H23" s="378" t="s">
        <v>715</v>
      </c>
      <c r="J23" s="364" t="s">
        <v>504</v>
      </c>
      <c r="K23" s="365" t="s">
        <v>592</v>
      </c>
      <c r="L23" s="363" t="str">
        <f t="shared" si="0"/>
        <v>BSC-Balanced Scorecard</v>
      </c>
    </row>
    <row r="24" spans="2:12">
      <c r="B24" s="121" t="s">
        <v>94</v>
      </c>
      <c r="E24" s="378" t="s">
        <v>740</v>
      </c>
      <c r="F24" s="495"/>
      <c r="G24" s="378" t="s">
        <v>740</v>
      </c>
      <c r="H24" s="378" t="s">
        <v>715</v>
      </c>
      <c r="J24" s="364" t="s">
        <v>786</v>
      </c>
      <c r="K24" s="365" t="s">
        <v>787</v>
      </c>
      <c r="L24" s="363" t="str">
        <f t="shared" si="0"/>
        <v>CAFI-Cartas Fianza</v>
      </c>
    </row>
    <row r="25" spans="2:12">
      <c r="B25" s="377" t="s">
        <v>400</v>
      </c>
      <c r="E25" s="378" t="s">
        <v>710</v>
      </c>
      <c r="F25" s="495"/>
      <c r="G25" s="378" t="s">
        <v>741</v>
      </c>
      <c r="H25" s="378" t="s">
        <v>715</v>
      </c>
      <c r="J25" s="364" t="s">
        <v>506</v>
      </c>
      <c r="K25" s="365" t="s">
        <v>638</v>
      </c>
      <c r="L25" s="363" t="str">
        <f t="shared" si="0"/>
        <v>CAJA-Caja / Bancos</v>
      </c>
    </row>
    <row r="26" spans="2:12">
      <c r="B26" s="377" t="s">
        <v>811</v>
      </c>
      <c r="E26" s="378" t="s">
        <v>711</v>
      </c>
      <c r="F26" s="495"/>
      <c r="G26" s="378" t="s">
        <v>449</v>
      </c>
      <c r="H26" s="378" t="s">
        <v>715</v>
      </c>
      <c r="J26" s="364" t="s">
        <v>788</v>
      </c>
      <c r="K26" s="365" t="s">
        <v>789</v>
      </c>
      <c r="L26" s="363" t="str">
        <f t="shared" si="0"/>
        <v>CAPA-Capacitación</v>
      </c>
    </row>
    <row r="27" spans="2:12">
      <c r="B27" s="378" t="s">
        <v>809</v>
      </c>
      <c r="E27" s="378" t="s">
        <v>712</v>
      </c>
      <c r="F27" s="495"/>
      <c r="G27" s="377" t="s">
        <v>811</v>
      </c>
      <c r="H27" s="498" t="s">
        <v>714</v>
      </c>
      <c r="J27" s="364" t="s">
        <v>507</v>
      </c>
      <c r="K27" s="365" t="s">
        <v>593</v>
      </c>
      <c r="L27" s="363" t="str">
        <f t="shared" si="0"/>
        <v>CARG-Cargos (Correo)</v>
      </c>
    </row>
    <row r="28" spans="2:12">
      <c r="B28" s="378" t="s">
        <v>474</v>
      </c>
      <c r="E28" s="377" t="s">
        <v>741</v>
      </c>
      <c r="F28" s="495"/>
      <c r="G28" s="378"/>
      <c r="H28" s="378"/>
      <c r="J28" s="364" t="s">
        <v>639</v>
      </c>
      <c r="K28" s="365" t="s">
        <v>640</v>
      </c>
      <c r="L28" s="363" t="str">
        <f t="shared" si="0"/>
        <v>CART-Cartas Automáticas Reclamos</v>
      </c>
    </row>
    <row r="29" spans="2:12">
      <c r="B29" s="377" t="s">
        <v>807</v>
      </c>
      <c r="E29" s="377" t="s">
        <v>811</v>
      </c>
      <c r="F29" s="495"/>
      <c r="G29" s="378"/>
      <c r="H29" s="378"/>
      <c r="J29" s="364" t="s">
        <v>641</v>
      </c>
      <c r="K29" s="365" t="s">
        <v>642</v>
      </c>
      <c r="L29" s="363" t="str">
        <f t="shared" si="0"/>
        <v>CHEQ-Impresión de cheques</v>
      </c>
    </row>
    <row r="30" spans="2:12">
      <c r="B30" s="377"/>
      <c r="E30" s="377"/>
      <c r="F30" s="495"/>
      <c r="G30" s="378"/>
      <c r="H30" s="378"/>
      <c r="J30" s="364" t="s">
        <v>505</v>
      </c>
      <c r="K30" s="365" t="s">
        <v>637</v>
      </c>
      <c r="L30" s="363" t="str">
        <f t="shared" si="0"/>
        <v>CNCT-Contact Center</v>
      </c>
    </row>
    <row r="31" spans="2:12">
      <c r="B31" s="378"/>
      <c r="E31" s="496"/>
      <c r="F31" s="495"/>
      <c r="G31" s="496"/>
      <c r="H31" s="496"/>
      <c r="J31" s="364" t="s">
        <v>508</v>
      </c>
      <c r="K31" s="365" t="s">
        <v>594</v>
      </c>
      <c r="L31" s="363" t="str">
        <f t="shared" si="0"/>
        <v>CNTB-Contabilidad</v>
      </c>
    </row>
    <row r="32" spans="2:12">
      <c r="B32" s="377"/>
      <c r="E32" s="496"/>
      <c r="F32" s="495"/>
      <c r="G32" s="378"/>
      <c r="H32" s="378"/>
      <c r="J32" s="364" t="s">
        <v>643</v>
      </c>
      <c r="K32" s="365" t="s">
        <v>644</v>
      </c>
      <c r="L32" s="363" t="str">
        <f t="shared" si="0"/>
        <v>COAS-Contabilidad - AS400</v>
      </c>
    </row>
    <row r="33" spans="2:12">
      <c r="B33" s="377"/>
      <c r="E33" s="496"/>
      <c r="F33" s="495"/>
      <c r="G33" s="496"/>
      <c r="H33" s="496"/>
      <c r="J33" s="364" t="s">
        <v>509</v>
      </c>
      <c r="K33" s="365" t="s">
        <v>595</v>
      </c>
      <c r="L33" s="363" t="str">
        <f t="shared" si="0"/>
        <v>COBR-Cobranzas</v>
      </c>
    </row>
    <row r="34" spans="2:12">
      <c r="B34" s="378"/>
      <c r="E34" s="496"/>
      <c r="G34" s="377"/>
      <c r="H34" s="377"/>
      <c r="J34" s="364" t="s">
        <v>510</v>
      </c>
      <c r="K34" s="365" t="s">
        <v>596</v>
      </c>
      <c r="L34" s="363" t="str">
        <f t="shared" si="0"/>
        <v>COMI-Sistema Comisiones (RRHH)</v>
      </c>
    </row>
    <row r="35" spans="2:12">
      <c r="B35" s="425"/>
      <c r="E35" s="377"/>
      <c r="F35" s="1"/>
      <c r="G35" s="377"/>
      <c r="H35" s="377"/>
      <c r="J35" s="364" t="s">
        <v>511</v>
      </c>
      <c r="K35" s="365" t="s">
        <v>597</v>
      </c>
      <c r="L35" s="363" t="str">
        <f t="shared" si="0"/>
        <v>COSE-Cosechas</v>
      </c>
    </row>
    <row r="36" spans="2:12">
      <c r="B36" s="425"/>
      <c r="E36" s="378"/>
      <c r="F36" s="1"/>
      <c r="G36" s="377"/>
      <c r="H36" s="377"/>
      <c r="J36" s="364" t="s">
        <v>512</v>
      </c>
      <c r="K36" s="365" t="s">
        <v>598</v>
      </c>
      <c r="L36" s="363" t="str">
        <f t="shared" si="0"/>
        <v>COTI-Cotizador de Pensiones</v>
      </c>
    </row>
    <row r="37" spans="2:12">
      <c r="B37" s="426"/>
      <c r="E37" s="377"/>
      <c r="F37" s="1"/>
      <c r="G37" s="377"/>
      <c r="H37" s="377"/>
      <c r="J37" s="364" t="s">
        <v>513</v>
      </c>
      <c r="K37" s="365" t="s">
        <v>599</v>
      </c>
      <c r="L37" s="363" t="str">
        <f t="shared" si="0"/>
        <v>COTZ-Recaudo y Cotización</v>
      </c>
    </row>
    <row r="38" spans="2:12">
      <c r="E38" s="377"/>
      <c r="F38" s="1"/>
      <c r="G38" s="377"/>
      <c r="H38" s="377"/>
      <c r="J38" s="364" t="s">
        <v>645</v>
      </c>
      <c r="K38" s="365" t="s">
        <v>646</v>
      </c>
      <c r="L38" s="363" t="str">
        <f t="shared" si="0"/>
        <v>CRM-CRM PeopleSoft</v>
      </c>
    </row>
    <row r="39" spans="2:12">
      <c r="B39" s="648" t="s">
        <v>95</v>
      </c>
      <c r="C39" s="649"/>
      <c r="D39" s="1"/>
      <c r="E39" s="378"/>
      <c r="F39" s="427"/>
      <c r="G39" s="377"/>
      <c r="H39" s="377"/>
      <c r="J39" s="364" t="s">
        <v>514</v>
      </c>
      <c r="K39" s="365" t="s">
        <v>647</v>
      </c>
      <c r="L39" s="363" t="str">
        <f t="shared" si="0"/>
        <v>CSE-Servicio al Empleador</v>
      </c>
    </row>
    <row r="40" spans="2:12">
      <c r="B40" s="44" t="s">
        <v>345</v>
      </c>
      <c r="C40" s="44" t="s">
        <v>96</v>
      </c>
      <c r="D40" s="1"/>
      <c r="E40" s="377"/>
      <c r="F40" s="427"/>
      <c r="G40" s="426"/>
      <c r="H40" s="426"/>
      <c r="J40" s="364" t="s">
        <v>790</v>
      </c>
      <c r="K40" s="365" t="s">
        <v>791</v>
      </c>
      <c r="L40" s="363" t="str">
        <f t="shared" si="0"/>
        <v>CVX-CVX-CVAR</v>
      </c>
    </row>
    <row r="41" spans="2:12">
      <c r="B41" s="44" t="s">
        <v>346</v>
      </c>
      <c r="C41" s="44" t="s">
        <v>97</v>
      </c>
      <c r="D41" s="1"/>
      <c r="E41" s="426"/>
      <c r="F41" s="427"/>
      <c r="G41" s="426"/>
      <c r="H41" s="426"/>
      <c r="J41" s="364" t="s">
        <v>648</v>
      </c>
      <c r="K41" s="365" t="s">
        <v>649</v>
      </c>
      <c r="L41" s="363" t="str">
        <f t="shared" si="0"/>
        <v>DEJU-Estudios Juridicos</v>
      </c>
    </row>
    <row r="42" spans="2:12">
      <c r="B42" s="44" t="s">
        <v>98</v>
      </c>
      <c r="C42" s="44" t="s">
        <v>98</v>
      </c>
      <c r="D42" s="1"/>
      <c r="E42" s="426"/>
      <c r="F42" s="427"/>
      <c r="G42" s="426"/>
      <c r="H42" s="426"/>
      <c r="J42" s="364" t="s">
        <v>650</v>
      </c>
      <c r="K42" s="365" t="s">
        <v>651</v>
      </c>
      <c r="L42" s="363" t="str">
        <f t="shared" si="0"/>
        <v>EASY-Easycob - Gestión de Cobranzas</v>
      </c>
    </row>
    <row r="43" spans="2:12">
      <c r="B43" s="45" t="s">
        <v>99</v>
      </c>
      <c r="C43" s="45" t="s">
        <v>99</v>
      </c>
      <c r="D43" s="1"/>
      <c r="E43" s="426"/>
      <c r="F43" s="427"/>
      <c r="G43" s="426"/>
      <c r="H43" s="426"/>
      <c r="J43" s="364" t="s">
        <v>652</v>
      </c>
      <c r="K43" s="365" t="s">
        <v>653</v>
      </c>
      <c r="L43" s="363" t="str">
        <f t="shared" si="0"/>
        <v>EBEN-Beneficios (Nuevo Sistema)</v>
      </c>
    </row>
    <row r="44" spans="2:12">
      <c r="B44" s="45" t="s">
        <v>93</v>
      </c>
      <c r="C44" s="45" t="s">
        <v>93</v>
      </c>
      <c r="D44" s="1"/>
      <c r="E44" s="1"/>
      <c r="F44" s="1"/>
      <c r="J44" s="364" t="s">
        <v>515</v>
      </c>
      <c r="K44" s="365" t="s">
        <v>600</v>
      </c>
      <c r="L44" s="363" t="str">
        <f t="shared" si="0"/>
        <v>ECTA-Estados de Cuenta</v>
      </c>
    </row>
    <row r="45" spans="2:12">
      <c r="B45" s="1"/>
      <c r="C45" s="1"/>
      <c r="D45" s="1"/>
      <c r="E45" s="1"/>
      <c r="F45" s="1"/>
      <c r="J45" s="364" t="s">
        <v>516</v>
      </c>
      <c r="K45" s="365" t="s">
        <v>601</v>
      </c>
      <c r="L45" s="363" t="str">
        <f t="shared" si="0"/>
        <v>ENCU-Encuestas Personal</v>
      </c>
    </row>
    <row r="46" spans="2:12">
      <c r="B46" s="1"/>
      <c r="C46" s="1"/>
      <c r="D46" s="1"/>
      <c r="E46" s="1"/>
      <c r="F46" s="1"/>
      <c r="J46" s="364" t="s">
        <v>517</v>
      </c>
      <c r="K46" s="365" t="s">
        <v>602</v>
      </c>
      <c r="L46" s="363" t="str">
        <f t="shared" si="0"/>
        <v>ESTD-Estadísticas Directorio</v>
      </c>
    </row>
    <row r="47" spans="2:12">
      <c r="B47" s="121" t="s">
        <v>100</v>
      </c>
      <c r="C47" s="1"/>
      <c r="D47" s="1"/>
      <c r="E47" s="1"/>
      <c r="F47" s="1"/>
      <c r="J47" s="364" t="s">
        <v>792</v>
      </c>
      <c r="K47" s="365" t="s">
        <v>793</v>
      </c>
      <c r="L47" s="363" t="str">
        <f t="shared" si="0"/>
        <v>FERP-SAB - ERP</v>
      </c>
    </row>
    <row r="48" spans="2:12">
      <c r="B48" s="44" t="s">
        <v>101</v>
      </c>
      <c r="C48" s="1"/>
      <c r="D48" s="1"/>
      <c r="E48" s="1"/>
      <c r="F48" s="1"/>
      <c r="J48" s="364" t="s">
        <v>548</v>
      </c>
      <c r="K48" s="365" t="s">
        <v>603</v>
      </c>
      <c r="L48" s="363" t="str">
        <f t="shared" si="0"/>
        <v>FMCA-Fondos Sura - Caja/Bancos</v>
      </c>
    </row>
    <row r="49" spans="2:12">
      <c r="B49" s="44" t="s">
        <v>102</v>
      </c>
      <c r="C49" s="1"/>
      <c r="D49" s="1"/>
      <c r="E49" s="1"/>
      <c r="F49" s="1"/>
      <c r="J49" s="364" t="s">
        <v>551</v>
      </c>
      <c r="K49" s="365" t="s">
        <v>604</v>
      </c>
      <c r="L49" s="363" t="str">
        <f t="shared" si="0"/>
        <v>FMCM-Fondos Sura - Comercial</v>
      </c>
    </row>
    <row r="50" spans="2:12">
      <c r="B50" s="44" t="s">
        <v>103</v>
      </c>
      <c r="C50" s="1"/>
      <c r="D50" s="1"/>
      <c r="E50" s="1"/>
      <c r="F50" s="1"/>
      <c r="J50" s="364" t="s">
        <v>550</v>
      </c>
      <c r="K50" s="365" t="s">
        <v>605</v>
      </c>
      <c r="L50" s="363" t="str">
        <f t="shared" si="0"/>
        <v>FMCO-Fondos Sura - Comisiones</v>
      </c>
    </row>
    <row r="51" spans="2:12">
      <c r="B51" s="46" t="s">
        <v>99</v>
      </c>
      <c r="C51" s="1"/>
      <c r="D51" s="1"/>
      <c r="E51" s="1"/>
      <c r="F51" s="1"/>
      <c r="J51" s="364" t="s">
        <v>552</v>
      </c>
      <c r="K51" s="365" t="s">
        <v>606</v>
      </c>
      <c r="L51" s="363" t="str">
        <f t="shared" si="0"/>
        <v>FMCS-Fondos Sura - CONASEV</v>
      </c>
    </row>
    <row r="52" spans="2:12">
      <c r="B52" s="45" t="s">
        <v>93</v>
      </c>
      <c r="C52" s="1"/>
      <c r="D52" s="1"/>
      <c r="E52" s="1"/>
      <c r="F52" s="1"/>
      <c r="J52" s="364" t="s">
        <v>549</v>
      </c>
      <c r="K52" s="365" t="s">
        <v>607</v>
      </c>
      <c r="L52" s="363" t="str">
        <f t="shared" si="0"/>
        <v>FMCT-Fondos Sura - Contabilidad</v>
      </c>
    </row>
    <row r="53" spans="2:12">
      <c r="B53" s="1"/>
      <c r="C53" s="1"/>
      <c r="D53" s="1"/>
      <c r="E53" s="1"/>
      <c r="F53" s="1"/>
      <c r="J53" s="364" t="s">
        <v>553</v>
      </c>
      <c r="K53" s="365" t="s">
        <v>608</v>
      </c>
      <c r="L53" s="363" t="str">
        <f t="shared" si="0"/>
        <v>FMDE-Fondos Sura - Depósitos</v>
      </c>
    </row>
    <row r="54" spans="2:12">
      <c r="B54" s="1"/>
      <c r="C54" s="1"/>
      <c r="D54" s="1"/>
      <c r="E54" s="1"/>
      <c r="F54" s="1"/>
      <c r="J54" s="364" t="s">
        <v>554</v>
      </c>
      <c r="K54" s="365" t="s">
        <v>609</v>
      </c>
      <c r="L54" s="363" t="str">
        <f t="shared" si="0"/>
        <v>FMGR-Fondos Sura - Generador de Rescates</v>
      </c>
    </row>
    <row r="55" spans="2:12" ht="22.5">
      <c r="B55" s="121" t="s">
        <v>104</v>
      </c>
      <c r="C55" s="1"/>
      <c r="D55" s="1"/>
      <c r="E55" s="1"/>
      <c r="F55" s="1"/>
      <c r="J55" s="364" t="s">
        <v>555</v>
      </c>
      <c r="K55" s="365" t="s">
        <v>610</v>
      </c>
      <c r="L55" s="363" t="str">
        <f t="shared" si="0"/>
        <v>FMIB-Fondos Sura - Interfaz a Bancos</v>
      </c>
    </row>
    <row r="56" spans="2:12">
      <c r="B56" s="44" t="s">
        <v>105</v>
      </c>
      <c r="C56" s="1"/>
      <c r="D56" s="1"/>
      <c r="E56" s="1"/>
      <c r="F56" s="1"/>
      <c r="J56" s="364" t="s">
        <v>556</v>
      </c>
      <c r="K56" s="365" t="s">
        <v>611</v>
      </c>
      <c r="L56" s="363" t="str">
        <f t="shared" si="0"/>
        <v>FMLA-Fondos Sura - Lavado de Activos</v>
      </c>
    </row>
    <row r="57" spans="2:12">
      <c r="B57" s="44" t="s">
        <v>296</v>
      </c>
      <c r="C57" s="1"/>
      <c r="D57" s="1"/>
      <c r="E57" s="1"/>
      <c r="F57" s="1"/>
      <c r="J57" s="364" t="s">
        <v>557</v>
      </c>
      <c r="K57" s="365" t="s">
        <v>612</v>
      </c>
      <c r="L57" s="363" t="str">
        <f t="shared" si="0"/>
        <v>FMOP-Fondos Sura - Operaciones</v>
      </c>
    </row>
    <row r="58" spans="2:12">
      <c r="B58" s="44" t="s">
        <v>106</v>
      </c>
      <c r="C58" s="1"/>
      <c r="D58" s="1"/>
      <c r="E58" s="1"/>
      <c r="F58" s="1"/>
      <c r="J58" s="364" t="s">
        <v>794</v>
      </c>
      <c r="K58" s="365" t="s">
        <v>795</v>
      </c>
      <c r="L58" s="363" t="str">
        <f t="shared" si="0"/>
        <v>FMPR-Fondos Sura - Procesos</v>
      </c>
    </row>
    <row r="59" spans="2:12">
      <c r="B59" s="44" t="s">
        <v>107</v>
      </c>
      <c r="C59" s="1"/>
      <c r="D59" s="1"/>
      <c r="E59" s="1"/>
      <c r="F59" s="1"/>
      <c r="J59" s="364" t="s">
        <v>558</v>
      </c>
      <c r="K59" s="365" t="s">
        <v>613</v>
      </c>
      <c r="L59" s="363" t="str">
        <f t="shared" si="0"/>
        <v>FMRE-Fondos Sura - Reportes</v>
      </c>
    </row>
    <row r="60" spans="2:12">
      <c r="B60" s="46" t="s">
        <v>99</v>
      </c>
      <c r="C60" s="1"/>
      <c r="D60" s="1"/>
      <c r="E60" s="1"/>
      <c r="F60" s="1"/>
      <c r="J60" s="364" t="s">
        <v>559</v>
      </c>
      <c r="K60" s="365" t="s">
        <v>614</v>
      </c>
      <c r="L60" s="363" t="str">
        <f t="shared" si="0"/>
        <v>FMTR-Fondos Sura - Tributación</v>
      </c>
    </row>
    <row r="61" spans="2:12">
      <c r="B61" s="45" t="s">
        <v>93</v>
      </c>
      <c r="C61" s="1"/>
      <c r="D61" s="1"/>
      <c r="E61" s="1"/>
      <c r="F61" s="1"/>
      <c r="J61" s="364" t="s">
        <v>699</v>
      </c>
      <c r="K61" s="365" t="s">
        <v>700</v>
      </c>
      <c r="L61" s="363" t="str">
        <f t="shared" si="0"/>
        <v>FMUT-Utilitarios FM_Perifericos</v>
      </c>
    </row>
    <row r="62" spans="2:12">
      <c r="B62" s="1"/>
      <c r="C62" s="1"/>
      <c r="D62" s="1"/>
      <c r="E62" s="1"/>
      <c r="F62" s="1"/>
      <c r="J62" s="364" t="s">
        <v>796</v>
      </c>
      <c r="K62" s="365" t="s">
        <v>797</v>
      </c>
      <c r="L62" s="363" t="str">
        <f t="shared" si="0"/>
        <v>FONF-Fondo Fijo</v>
      </c>
    </row>
    <row r="63" spans="2:12">
      <c r="B63" s="1"/>
      <c r="C63" s="1"/>
      <c r="D63" s="1"/>
      <c r="E63" s="1"/>
      <c r="F63" s="1"/>
      <c r="J63" s="364" t="s">
        <v>654</v>
      </c>
      <c r="K63" s="365" t="s">
        <v>655</v>
      </c>
      <c r="L63" s="363" t="str">
        <f t="shared" si="0"/>
        <v>FRAC-Regimen de Fraccionamiento Deudas</v>
      </c>
    </row>
    <row r="64" spans="2:12" ht="25.5">
      <c r="B64" s="121" t="s">
        <v>108</v>
      </c>
      <c r="C64" s="1"/>
      <c r="D64" s="1"/>
      <c r="E64" s="1"/>
      <c r="F64" s="1"/>
      <c r="J64" s="364" t="s">
        <v>518</v>
      </c>
      <c r="K64" s="365" t="s">
        <v>656</v>
      </c>
      <c r="L64" s="363" t="str">
        <f t="shared" si="0"/>
        <v>GDD-GDD - Evaluación de Competencias y desempeño</v>
      </c>
    </row>
    <row r="65" spans="2:12" ht="24">
      <c r="B65" s="47" t="s">
        <v>109</v>
      </c>
      <c r="C65" s="1"/>
      <c r="D65" s="1"/>
      <c r="E65" s="1"/>
      <c r="F65" s="1"/>
      <c r="J65" s="364" t="s">
        <v>657</v>
      </c>
      <c r="K65" s="365" t="s">
        <v>658</v>
      </c>
      <c r="L65" s="363" t="str">
        <f t="shared" si="0"/>
        <v>GENB-Generación cartas masivas Bono</v>
      </c>
    </row>
    <row r="66" spans="2:12" ht="24">
      <c r="B66" s="47" t="s">
        <v>110</v>
      </c>
      <c r="C66" s="1"/>
      <c r="D66" s="1"/>
      <c r="E66" s="1"/>
      <c r="F66" s="1"/>
      <c r="J66" s="364" t="s">
        <v>659</v>
      </c>
      <c r="K66" s="365" t="s">
        <v>660</v>
      </c>
      <c r="L66" s="363" t="str">
        <f t="shared" si="0"/>
        <v>IE-Integra empresarial</v>
      </c>
    </row>
    <row r="67" spans="2:12" ht="36">
      <c r="B67" s="47" t="s">
        <v>111</v>
      </c>
      <c r="C67" s="1"/>
      <c r="D67" s="1"/>
      <c r="E67" s="1"/>
      <c r="F67" s="1"/>
      <c r="J67" s="364" t="s">
        <v>661</v>
      </c>
      <c r="K67" s="365" t="s">
        <v>662</v>
      </c>
      <c r="L67" s="363" t="str">
        <f t="shared" si="0"/>
        <v>IFD-Valoración/Informe Diario (AS/400)</v>
      </c>
    </row>
    <row r="68" spans="2:12">
      <c r="B68" s="47" t="s">
        <v>99</v>
      </c>
      <c r="C68" s="1"/>
      <c r="D68" s="1"/>
      <c r="E68" s="1"/>
      <c r="F68" s="1"/>
      <c r="J68" s="364" t="s">
        <v>519</v>
      </c>
      <c r="K68" s="365" t="s">
        <v>663</v>
      </c>
      <c r="L68" s="363" t="str">
        <f t="shared" si="0"/>
        <v>INCI-Registro de Incidencias</v>
      </c>
    </row>
    <row r="69" spans="2:12">
      <c r="B69" s="47" t="s">
        <v>93</v>
      </c>
      <c r="C69" s="1"/>
      <c r="D69" s="1"/>
      <c r="E69" s="1"/>
      <c r="F69" s="1"/>
      <c r="J69" s="364" t="s">
        <v>520</v>
      </c>
      <c r="K69" s="365" t="s">
        <v>615</v>
      </c>
      <c r="L69" s="363" t="str">
        <f t="shared" si="0"/>
        <v>INET-Intranet Integra</v>
      </c>
    </row>
    <row r="70" spans="2:12">
      <c r="B70" s="1"/>
      <c r="C70" s="1"/>
      <c r="D70" s="1"/>
      <c r="E70" s="1"/>
      <c r="F70" s="1"/>
      <c r="J70" s="364" t="s">
        <v>521</v>
      </c>
      <c r="K70" s="365" t="s">
        <v>664</v>
      </c>
      <c r="L70" s="363" t="str">
        <f t="shared" si="0"/>
        <v>INVE-Inversiones (Sistema Antiguo)</v>
      </c>
    </row>
    <row r="71" spans="2:12" ht="25.5">
      <c r="B71" s="1"/>
      <c r="C71" s="1"/>
      <c r="D71" s="1"/>
      <c r="E71" s="1"/>
      <c r="F71" s="1"/>
      <c r="J71" s="364" t="s">
        <v>665</v>
      </c>
      <c r="K71" s="365" t="s">
        <v>666</v>
      </c>
      <c r="L71" s="363" t="str">
        <f t="shared" si="0"/>
        <v>IPRD-Informe Diario de Afiliaciones y Traspasos</v>
      </c>
    </row>
    <row r="72" spans="2:12">
      <c r="B72" s="121" t="s">
        <v>85</v>
      </c>
      <c r="C72" s="1"/>
      <c r="D72" s="1"/>
      <c r="E72" s="1"/>
      <c r="F72" s="1"/>
      <c r="J72" s="364" t="s">
        <v>522</v>
      </c>
      <c r="K72" s="365" t="s">
        <v>617</v>
      </c>
      <c r="L72" s="363" t="str">
        <f t="shared" si="0"/>
        <v>ISAF-Información para la SAFP</v>
      </c>
    </row>
    <row r="73" spans="2:12">
      <c r="B73" s="48">
        <v>1</v>
      </c>
      <c r="C73" s="1"/>
      <c r="D73" s="1"/>
      <c r="E73" s="1"/>
      <c r="F73" s="1"/>
      <c r="J73" s="364" t="s">
        <v>523</v>
      </c>
      <c r="K73" s="365" t="s">
        <v>618</v>
      </c>
      <c r="L73" s="363" t="str">
        <f t="shared" si="0"/>
        <v>IVR-IVR - Contact Center</v>
      </c>
    </row>
    <row r="74" spans="2:12">
      <c r="B74" s="48">
        <v>2</v>
      </c>
      <c r="C74" s="1"/>
      <c r="D74" s="1"/>
      <c r="E74" s="1"/>
      <c r="F74" s="1"/>
      <c r="J74" s="364" t="s">
        <v>524</v>
      </c>
      <c r="K74" s="365" t="s">
        <v>667</v>
      </c>
      <c r="L74" s="363" t="str">
        <f t="shared" si="0"/>
        <v>LAVA-Lavado de dinero</v>
      </c>
    </row>
    <row r="75" spans="2:12">
      <c r="B75" s="48">
        <v>3</v>
      </c>
      <c r="C75" s="1"/>
      <c r="D75" s="1"/>
      <c r="E75" s="1"/>
      <c r="F75" s="1"/>
      <c r="J75" s="364" t="s">
        <v>668</v>
      </c>
      <c r="K75" s="365" t="s">
        <v>669</v>
      </c>
      <c r="L75" s="363" t="str">
        <f t="shared" si="0"/>
        <v>LFIM-Importación Planillas Digitalizadas</v>
      </c>
    </row>
    <row r="76" spans="2:12">
      <c r="B76" s="48">
        <v>4</v>
      </c>
      <c r="C76" s="1"/>
      <c r="D76" s="1"/>
      <c r="E76" s="1"/>
      <c r="F76" s="1"/>
      <c r="J76" s="364" t="s">
        <v>525</v>
      </c>
      <c r="K76" s="365" t="s">
        <v>619</v>
      </c>
      <c r="L76" s="363" t="str">
        <f t="shared" si="0"/>
        <v>LOGI-Logística</v>
      </c>
    </row>
    <row r="77" spans="2:12">
      <c r="B77" s="48">
        <v>5</v>
      </c>
      <c r="C77" s="1"/>
      <c r="D77" s="1"/>
      <c r="E77" s="1"/>
      <c r="F77" s="1"/>
      <c r="J77" s="364" t="s">
        <v>583</v>
      </c>
      <c r="K77" s="365" t="s">
        <v>798</v>
      </c>
      <c r="L77" s="363" t="str">
        <f t="shared" ref="L77:L96" si="1">CONCATENATE(J77,"-",K77)</f>
        <v>LQP-Liquidaciones previas</v>
      </c>
    </row>
    <row r="78" spans="2:12">
      <c r="B78" s="48">
        <v>6</v>
      </c>
      <c r="C78" s="1"/>
      <c r="D78" s="1"/>
      <c r="E78" s="1"/>
      <c r="F78" s="1"/>
      <c r="J78" s="364" t="s">
        <v>526</v>
      </c>
      <c r="K78" s="365" t="s">
        <v>620</v>
      </c>
      <c r="L78" s="363" t="str">
        <f t="shared" si="1"/>
        <v>MELE-MELER</v>
      </c>
    </row>
    <row r="79" spans="2:12">
      <c r="B79" s="48">
        <v>7</v>
      </c>
      <c r="C79" s="1"/>
      <c r="D79" s="1"/>
      <c r="E79" s="1"/>
      <c r="F79" s="1"/>
      <c r="J79" s="364" t="s">
        <v>527</v>
      </c>
      <c r="K79" s="365" t="s">
        <v>621</v>
      </c>
      <c r="L79" s="363" t="str">
        <f t="shared" si="1"/>
        <v>MENS-Mensajería electrónica</v>
      </c>
    </row>
    <row r="80" spans="2:12">
      <c r="B80" s="48">
        <v>8</v>
      </c>
      <c r="C80" s="1"/>
      <c r="D80" s="1"/>
      <c r="E80" s="1"/>
      <c r="F80" s="1"/>
      <c r="J80" s="364" t="s">
        <v>528</v>
      </c>
      <c r="K80" s="365" t="s">
        <v>616</v>
      </c>
      <c r="L80" s="363" t="str">
        <f t="shared" si="1"/>
        <v>MIDA-MIDAS - Inversiones</v>
      </c>
    </row>
    <row r="81" spans="2:12">
      <c r="B81" s="48">
        <v>9</v>
      </c>
      <c r="C81" s="1"/>
      <c r="D81" s="1"/>
      <c r="E81" s="1"/>
      <c r="F81" s="1"/>
      <c r="J81" s="364" t="s">
        <v>799</v>
      </c>
      <c r="K81" s="365" t="s">
        <v>800</v>
      </c>
      <c r="L81" s="363" t="str">
        <f t="shared" si="1"/>
        <v>NPS-Net Promotors Score</v>
      </c>
    </row>
    <row r="82" spans="2:12">
      <c r="B82" s="48">
        <v>10</v>
      </c>
      <c r="C82" s="1"/>
      <c r="D82" s="1"/>
      <c r="E82" s="1"/>
      <c r="F82" s="1"/>
      <c r="J82" s="364" t="s">
        <v>529</v>
      </c>
      <c r="K82" s="365" t="s">
        <v>622</v>
      </c>
      <c r="L82" s="363" t="str">
        <f t="shared" si="1"/>
        <v>NUL-Nulidad</v>
      </c>
    </row>
    <row r="83" spans="2:12">
      <c r="B83" s="48">
        <v>11</v>
      </c>
      <c r="C83" s="1"/>
      <c r="D83" s="1"/>
      <c r="E83" s="1"/>
      <c r="F83" s="1"/>
      <c r="J83" s="364" t="s">
        <v>670</v>
      </c>
      <c r="K83" s="365" t="s">
        <v>671</v>
      </c>
      <c r="L83" s="363" t="str">
        <f t="shared" si="1"/>
        <v>PARM-Parametros de Sistemas</v>
      </c>
    </row>
    <row r="84" spans="2:12">
      <c r="B84" s="48">
        <v>12</v>
      </c>
      <c r="C84" s="1"/>
      <c r="D84" s="1"/>
      <c r="E84" s="1"/>
      <c r="F84" s="1"/>
      <c r="J84" s="364" t="s">
        <v>672</v>
      </c>
      <c r="K84" s="365" t="s">
        <v>673</v>
      </c>
      <c r="L84" s="363" t="str">
        <f t="shared" si="1"/>
        <v>PAYB-Payben</v>
      </c>
    </row>
    <row r="85" spans="2:12">
      <c r="B85" s="48">
        <v>13</v>
      </c>
      <c r="C85" s="1"/>
      <c r="D85" s="1"/>
      <c r="E85" s="1"/>
      <c r="F85" s="1"/>
      <c r="J85" s="364" t="s">
        <v>530</v>
      </c>
      <c r="K85" s="365" t="s">
        <v>674</v>
      </c>
      <c r="L85" s="363" t="str">
        <f t="shared" si="1"/>
        <v>PEXC-Pagos en Exceso (AS/400)</v>
      </c>
    </row>
    <row r="86" spans="2:12">
      <c r="B86" s="48">
        <v>14</v>
      </c>
      <c r="C86" s="1"/>
      <c r="D86" s="1"/>
      <c r="E86" s="1"/>
      <c r="F86" s="1"/>
      <c r="J86" s="364" t="s">
        <v>675</v>
      </c>
      <c r="K86" s="365" t="s">
        <v>676</v>
      </c>
      <c r="L86" s="363" t="str">
        <f t="shared" si="1"/>
        <v>PEXP-Pagos en exceso (PC)</v>
      </c>
    </row>
    <row r="87" spans="2:12">
      <c r="B87" s="48">
        <v>15</v>
      </c>
      <c r="C87" s="1"/>
      <c r="D87" s="1"/>
      <c r="E87" s="1"/>
      <c r="F87" s="1"/>
      <c r="J87" s="364" t="s">
        <v>677</v>
      </c>
      <c r="K87" s="365" t="s">
        <v>678</v>
      </c>
      <c r="L87" s="363" t="str">
        <f t="shared" si="1"/>
        <v>PPO-Plan de pensión optima</v>
      </c>
    </row>
    <row r="88" spans="2:12">
      <c r="B88" s="48">
        <v>16</v>
      </c>
      <c r="C88" s="1"/>
      <c r="D88" s="1"/>
      <c r="E88" s="1"/>
      <c r="F88" s="1"/>
      <c r="J88" s="364" t="s">
        <v>679</v>
      </c>
      <c r="K88" s="365" t="s">
        <v>680</v>
      </c>
      <c r="L88" s="363" t="str">
        <f t="shared" si="1"/>
        <v>PROV-Provisiones Descentralizadas</v>
      </c>
    </row>
    <row r="89" spans="2:12">
      <c r="B89" s="48">
        <v>17</v>
      </c>
      <c r="C89" s="1"/>
      <c r="D89" s="1"/>
      <c r="E89" s="1"/>
      <c r="F89" s="1"/>
      <c r="J89" s="364" t="s">
        <v>801</v>
      </c>
      <c r="K89" s="365" t="s">
        <v>805</v>
      </c>
      <c r="L89" s="363" t="str">
        <f t="shared" si="1"/>
        <v>PRPI-Provisión de Pagos de Inversiones</v>
      </c>
    </row>
    <row r="90" spans="2:12">
      <c r="B90" s="48">
        <v>18</v>
      </c>
      <c r="C90" s="1"/>
      <c r="D90" s="1"/>
      <c r="E90" s="1"/>
      <c r="F90" s="1"/>
      <c r="J90" s="364" t="s">
        <v>531</v>
      </c>
      <c r="K90" s="365" t="s">
        <v>623</v>
      </c>
      <c r="L90" s="363" t="str">
        <f t="shared" si="1"/>
        <v>REC-Reclamos</v>
      </c>
    </row>
    <row r="91" spans="2:12">
      <c r="B91" s="48">
        <v>19</v>
      </c>
      <c r="C91" s="1"/>
      <c r="D91" s="1"/>
      <c r="E91" s="1"/>
      <c r="F91" s="1"/>
      <c r="J91" s="364" t="s">
        <v>532</v>
      </c>
      <c r="K91" s="365" t="s">
        <v>624</v>
      </c>
      <c r="L91" s="363" t="str">
        <f t="shared" si="1"/>
        <v>RIN-Rezagos IN</v>
      </c>
    </row>
    <row r="92" spans="2:12">
      <c r="B92" s="48">
        <v>20</v>
      </c>
      <c r="C92" s="1"/>
      <c r="D92" s="1"/>
      <c r="E92" s="1"/>
      <c r="F92" s="1"/>
      <c r="J92" s="364" t="s">
        <v>533</v>
      </c>
      <c r="K92" s="365" t="s">
        <v>625</v>
      </c>
      <c r="L92" s="363" t="str">
        <f t="shared" si="1"/>
        <v>ROUT-Rezagos OUT</v>
      </c>
    </row>
    <row r="93" spans="2:12" ht="25.5">
      <c r="B93" s="48">
        <v>21</v>
      </c>
      <c r="C93" s="1"/>
      <c r="D93" s="1"/>
      <c r="E93" s="1"/>
      <c r="F93" s="1"/>
      <c r="J93" s="364" t="s">
        <v>681</v>
      </c>
      <c r="K93" s="365" t="s">
        <v>682</v>
      </c>
      <c r="L93" s="363" t="str">
        <f t="shared" si="1"/>
        <v>RPLA-Recepción planillas empleadores en medio magnético</v>
      </c>
    </row>
    <row r="94" spans="2:12">
      <c r="B94" s="48">
        <v>22</v>
      </c>
      <c r="C94" s="1"/>
      <c r="D94" s="1"/>
      <c r="E94" s="1"/>
      <c r="F94" s="1"/>
      <c r="J94" s="364" t="s">
        <v>534</v>
      </c>
      <c r="K94" s="365" t="s">
        <v>683</v>
      </c>
      <c r="L94" s="499" t="str">
        <f t="shared" si="1"/>
        <v>RRHH-Recursos Humanos (Adryan)</v>
      </c>
    </row>
    <row r="95" spans="2:12">
      <c r="B95" s="48">
        <v>23</v>
      </c>
      <c r="C95" s="1"/>
      <c r="D95" s="1"/>
      <c r="E95" s="1"/>
      <c r="F95" s="1"/>
      <c r="J95" s="364" t="s">
        <v>263</v>
      </c>
      <c r="K95" s="365" t="s">
        <v>684</v>
      </c>
      <c r="L95" s="499" t="str">
        <f t="shared" si="1"/>
        <v>SAR-Intranet Requerimientos Sistemas</v>
      </c>
    </row>
    <row r="96" spans="2:12">
      <c r="B96" s="48">
        <v>24</v>
      </c>
      <c r="C96" s="1"/>
      <c r="D96" s="1"/>
      <c r="E96" s="1"/>
      <c r="F96" s="1"/>
      <c r="J96" s="364" t="s">
        <v>812</v>
      </c>
      <c r="K96" s="365" t="s">
        <v>813</v>
      </c>
      <c r="L96" s="500" t="str">
        <f t="shared" si="1"/>
        <v>SAC-Sistema de Administración de Casos</v>
      </c>
    </row>
    <row r="97" spans="2:12">
      <c r="B97" s="48">
        <v>25</v>
      </c>
      <c r="C97" s="1"/>
      <c r="D97" s="1"/>
      <c r="E97" s="1"/>
      <c r="F97" s="1"/>
      <c r="J97" s="364" t="s">
        <v>535</v>
      </c>
      <c r="K97" s="365" t="s">
        <v>626</v>
      </c>
      <c r="L97" s="499" t="str">
        <f t="shared" ref="L97:L115" si="2">CONCATENATE(J97,"-",K97)</f>
        <v>SCLI-Servicio al Cliente</v>
      </c>
    </row>
    <row r="98" spans="2:12">
      <c r="B98" s="48">
        <v>26</v>
      </c>
      <c r="C98" s="1"/>
      <c r="D98" s="1"/>
      <c r="E98" s="1"/>
      <c r="F98" s="1"/>
      <c r="J98" s="364" t="s">
        <v>536</v>
      </c>
      <c r="K98" s="365" t="s">
        <v>685</v>
      </c>
      <c r="L98" s="499" t="str">
        <f t="shared" si="2"/>
        <v>SCOM-Comercial (AS/400)</v>
      </c>
    </row>
    <row r="99" spans="2:12">
      <c r="B99" s="48">
        <v>27</v>
      </c>
      <c r="C99" s="1"/>
      <c r="D99" s="1"/>
      <c r="E99" s="1"/>
      <c r="F99" s="1"/>
      <c r="J99" s="364" t="s">
        <v>537</v>
      </c>
      <c r="K99" s="365" t="s">
        <v>686</v>
      </c>
      <c r="L99" s="499" t="str">
        <f t="shared" si="2"/>
        <v>SEGM-Segmentación</v>
      </c>
    </row>
    <row r="100" spans="2:12">
      <c r="B100" s="48">
        <v>28</v>
      </c>
      <c r="C100" s="1"/>
      <c r="D100" s="1"/>
      <c r="E100" s="1"/>
      <c r="F100" s="1"/>
      <c r="J100" s="364" t="s">
        <v>538</v>
      </c>
      <c r="K100" s="365" t="s">
        <v>627</v>
      </c>
      <c r="L100" s="499" t="str">
        <f t="shared" si="2"/>
        <v>SEGU-Seguridad (Sistemas)</v>
      </c>
    </row>
    <row r="101" spans="2:12">
      <c r="B101" s="48">
        <v>29</v>
      </c>
      <c r="C101" s="1"/>
      <c r="D101" s="1"/>
      <c r="E101" s="1"/>
      <c r="F101" s="1"/>
      <c r="J101" s="364" t="s">
        <v>802</v>
      </c>
      <c r="K101" s="365" t="s">
        <v>687</v>
      </c>
      <c r="L101" s="499" t="str">
        <f t="shared" si="2"/>
        <v>NSEI-Evaluación Interactiva SPP</v>
      </c>
    </row>
    <row r="102" spans="2:12">
      <c r="B102" s="48">
        <v>30</v>
      </c>
      <c r="C102" s="1"/>
      <c r="D102" s="1"/>
      <c r="E102" s="1"/>
      <c r="F102" s="1"/>
      <c r="J102" s="364" t="s">
        <v>688</v>
      </c>
      <c r="K102" s="365" t="s">
        <v>689</v>
      </c>
      <c r="L102" s="499" t="str">
        <f t="shared" si="2"/>
        <v>SGES-Indicadores de gestión comercial</v>
      </c>
    </row>
    <row r="103" spans="2:12">
      <c r="B103" s="48">
        <v>31</v>
      </c>
      <c r="C103" s="1"/>
      <c r="D103" s="1"/>
      <c r="E103" s="1"/>
      <c r="F103" s="1"/>
      <c r="J103" s="364" t="s">
        <v>803</v>
      </c>
      <c r="K103" s="365" t="s">
        <v>804</v>
      </c>
      <c r="L103" s="363" t="str">
        <f t="shared" si="2"/>
        <v>SGPR-Seguimiento de Procesos</v>
      </c>
    </row>
    <row r="104" spans="2:12" ht="25.5">
      <c r="B104" s="48"/>
      <c r="C104" s="1"/>
      <c r="D104" s="1"/>
      <c r="E104" s="1"/>
      <c r="F104" s="1"/>
      <c r="J104" s="364" t="s">
        <v>539</v>
      </c>
      <c r="K104" s="365" t="s">
        <v>690</v>
      </c>
      <c r="L104" s="363" t="str">
        <f t="shared" si="2"/>
        <v>SINV-Seguimiento a Promotores en Investigación</v>
      </c>
    </row>
    <row r="105" spans="2:12">
      <c r="B105" s="48"/>
      <c r="C105" s="1"/>
      <c r="D105" s="1"/>
      <c r="E105" s="1"/>
      <c r="F105" s="1"/>
      <c r="J105" s="364" t="s">
        <v>540</v>
      </c>
      <c r="K105" s="365" t="s">
        <v>691</v>
      </c>
      <c r="L105" s="363" t="str">
        <f t="shared" si="2"/>
        <v>SIST-Utilitarios de Sistemas</v>
      </c>
    </row>
    <row r="106" spans="2:12">
      <c r="B106" s="48"/>
      <c r="C106" s="1"/>
      <c r="D106" s="1"/>
      <c r="E106" s="1"/>
      <c r="F106" s="1"/>
      <c r="J106" s="364" t="s">
        <v>541</v>
      </c>
      <c r="K106" s="365" t="s">
        <v>692</v>
      </c>
      <c r="L106" s="363" t="str">
        <f t="shared" si="2"/>
        <v>SISW-Utilitarios de Sistemas - Web</v>
      </c>
    </row>
    <row r="107" spans="2:12">
      <c r="B107" s="48"/>
      <c r="C107" s="1"/>
      <c r="D107" s="1"/>
      <c r="E107" s="1"/>
      <c r="F107" s="1"/>
      <c r="J107" s="364" t="s">
        <v>542</v>
      </c>
      <c r="K107" s="365" t="s">
        <v>628</v>
      </c>
      <c r="L107" s="363" t="str">
        <f t="shared" si="2"/>
        <v>SVEN-Soporte de Ventas</v>
      </c>
    </row>
    <row r="108" spans="2:12">
      <c r="B108" s="48"/>
      <c r="C108" s="1"/>
      <c r="D108" s="1"/>
      <c r="E108" s="1"/>
      <c r="F108" s="1"/>
      <c r="J108" s="364" t="s">
        <v>543</v>
      </c>
      <c r="K108" s="365" t="s">
        <v>693</v>
      </c>
      <c r="L108" s="363" t="str">
        <f t="shared" si="2"/>
        <v xml:space="preserve">TIN-Traspasos </v>
      </c>
    </row>
    <row r="109" spans="2:12">
      <c r="B109" s="48"/>
      <c r="C109" s="1"/>
      <c r="D109" s="1"/>
      <c r="E109" s="1"/>
      <c r="F109" s="1"/>
      <c r="J109" s="364" t="s">
        <v>544</v>
      </c>
      <c r="K109" s="365" t="s">
        <v>629</v>
      </c>
      <c r="L109" s="363" t="str">
        <f t="shared" si="2"/>
        <v>TRAM-Tramites Previsionales</v>
      </c>
    </row>
    <row r="110" spans="2:12">
      <c r="B110" s="48"/>
      <c r="C110" s="1"/>
      <c r="D110" s="1"/>
      <c r="E110" s="1"/>
      <c r="F110" s="1"/>
      <c r="J110" s="364" t="s">
        <v>694</v>
      </c>
      <c r="K110" s="365" t="s">
        <v>695</v>
      </c>
      <c r="L110" s="363" t="str">
        <f t="shared" si="2"/>
        <v>TRAN-Transferencia de Archivos</v>
      </c>
    </row>
    <row r="111" spans="2:12">
      <c r="B111" s="48"/>
      <c r="C111" s="1"/>
      <c r="D111" s="1"/>
      <c r="E111" s="1"/>
      <c r="F111" s="1"/>
      <c r="J111" s="364" t="s">
        <v>696</v>
      </c>
      <c r="K111" s="365" t="s">
        <v>697</v>
      </c>
      <c r="L111" s="363" t="str">
        <f t="shared" si="2"/>
        <v>UTCO-Utilitarios Cobranzas</v>
      </c>
    </row>
    <row r="112" spans="2:12">
      <c r="B112" s="48"/>
      <c r="C112" s="1"/>
      <c r="D112" s="1"/>
      <c r="E112" s="1"/>
      <c r="F112" s="1"/>
      <c r="J112" s="364" t="s">
        <v>545</v>
      </c>
      <c r="K112" s="365" t="s">
        <v>698</v>
      </c>
      <c r="L112" s="363" t="str">
        <f t="shared" si="2"/>
        <v>VISO-Visor de Imágenes</v>
      </c>
    </row>
    <row r="113" spans="2:12">
      <c r="B113" s="48"/>
      <c r="C113" s="1"/>
      <c r="D113" s="1"/>
      <c r="E113" s="1"/>
      <c r="F113" s="1"/>
      <c r="J113" s="364" t="s">
        <v>546</v>
      </c>
      <c r="K113" s="365" t="s">
        <v>630</v>
      </c>
      <c r="L113" s="363" t="str">
        <f t="shared" si="2"/>
        <v>WEB-Web Integra</v>
      </c>
    </row>
    <row r="114" spans="2:12">
      <c r="B114" s="48"/>
      <c r="C114" s="1"/>
      <c r="D114" s="1"/>
      <c r="E114" s="1"/>
      <c r="F114" s="1"/>
      <c r="J114" s="364" t="s">
        <v>547</v>
      </c>
      <c r="K114" s="365" t="s">
        <v>806</v>
      </c>
      <c r="L114" s="363" t="str">
        <f t="shared" si="2"/>
        <v>WM-Wealth Management</v>
      </c>
    </row>
    <row r="115" spans="2:12">
      <c r="B115" s="48">
        <v>33</v>
      </c>
      <c r="C115" s="1"/>
      <c r="D115" s="1"/>
      <c r="E115" s="1"/>
      <c r="F115" s="1"/>
      <c r="J115" s="364" t="s">
        <v>896</v>
      </c>
      <c r="K115" s="365" t="s">
        <v>897</v>
      </c>
      <c r="L115" s="363" t="str">
        <f t="shared" si="2"/>
        <v>FMSIT-Tesoreria</v>
      </c>
    </row>
    <row r="116" spans="2:12">
      <c r="B116" s="48">
        <v>34</v>
      </c>
      <c r="C116" s="1"/>
      <c r="D116" s="1"/>
      <c r="E116" s="1"/>
      <c r="F116" s="1"/>
      <c r="J116" s="364"/>
      <c r="K116" s="365"/>
      <c r="L116" s="363"/>
    </row>
    <row r="117" spans="2:12">
      <c r="B117" s="48">
        <v>35</v>
      </c>
      <c r="C117" s="1"/>
      <c r="D117" s="1"/>
      <c r="E117" s="1"/>
      <c r="F117" s="1"/>
    </row>
    <row r="118" spans="2:12">
      <c r="B118" s="48">
        <v>36</v>
      </c>
      <c r="C118" s="1"/>
      <c r="D118" s="1"/>
      <c r="E118" s="1"/>
      <c r="F118" s="1"/>
    </row>
    <row r="119" spans="2:12">
      <c r="B119" s="48">
        <v>37</v>
      </c>
      <c r="C119" s="1"/>
      <c r="D119" s="1"/>
      <c r="E119" s="1"/>
      <c r="F119" s="1"/>
    </row>
    <row r="120" spans="2:12">
      <c r="B120" s="48">
        <v>38</v>
      </c>
      <c r="C120" s="1"/>
      <c r="D120" s="1"/>
      <c r="E120" s="1"/>
      <c r="F120" s="1"/>
    </row>
    <row r="121" spans="2:12">
      <c r="B121" s="48">
        <v>39</v>
      </c>
      <c r="C121" s="1"/>
      <c r="D121" s="1"/>
      <c r="E121" s="1"/>
      <c r="F121" s="1"/>
    </row>
    <row r="122" spans="2:12">
      <c r="B122" s="48">
        <v>40</v>
      </c>
      <c r="C122" s="1"/>
      <c r="D122" s="1"/>
      <c r="E122" s="1"/>
      <c r="F122" s="1"/>
    </row>
    <row r="123" spans="2:12">
      <c r="B123" s="48">
        <v>41</v>
      </c>
      <c r="C123" s="1"/>
      <c r="D123" s="1"/>
      <c r="E123" s="1"/>
      <c r="F123" s="1"/>
    </row>
    <row r="124" spans="2:12">
      <c r="B124" s="48">
        <v>42</v>
      </c>
      <c r="C124" s="1"/>
      <c r="D124" s="1"/>
      <c r="E124" s="1"/>
      <c r="F124" s="1"/>
    </row>
    <row r="125" spans="2:12">
      <c r="B125" s="48">
        <v>43</v>
      </c>
      <c r="C125" s="1"/>
      <c r="D125" s="1"/>
      <c r="E125" s="1"/>
      <c r="F125" s="1"/>
    </row>
    <row r="126" spans="2:12">
      <c r="B126" s="48">
        <v>44</v>
      </c>
      <c r="C126" s="1"/>
      <c r="D126" s="1"/>
      <c r="E126" s="1"/>
      <c r="F126" s="1"/>
    </row>
    <row r="127" spans="2:12">
      <c r="B127" s="48">
        <v>45</v>
      </c>
      <c r="C127" s="1"/>
      <c r="D127" s="1"/>
      <c r="E127" s="1"/>
      <c r="F127" s="1"/>
    </row>
    <row r="128" spans="2:12">
      <c r="B128" s="48">
        <v>46</v>
      </c>
      <c r="C128" s="1"/>
      <c r="D128" s="1"/>
      <c r="E128" s="1"/>
      <c r="F128" s="1"/>
    </row>
    <row r="129" spans="2:6">
      <c r="B129" s="48">
        <v>47</v>
      </c>
      <c r="C129" s="1"/>
      <c r="D129" s="1"/>
      <c r="E129" s="1"/>
      <c r="F129" s="1"/>
    </row>
    <row r="130" spans="2:6">
      <c r="B130" s="48">
        <v>48</v>
      </c>
      <c r="C130" s="1"/>
      <c r="D130" s="1"/>
      <c r="E130" s="1"/>
      <c r="F130" s="1"/>
    </row>
    <row r="131" spans="2:6">
      <c r="B131" s="48">
        <v>49</v>
      </c>
      <c r="C131" s="1"/>
      <c r="D131" s="1"/>
      <c r="E131" s="1"/>
      <c r="F131" s="1"/>
    </row>
    <row r="132" spans="2:6">
      <c r="B132" s="48">
        <v>50</v>
      </c>
      <c r="C132" s="1"/>
      <c r="D132" s="1"/>
      <c r="E132" s="1"/>
      <c r="F132" s="1"/>
    </row>
    <row r="133" spans="2:6">
      <c r="B133" s="48">
        <v>51</v>
      </c>
      <c r="C133" s="1"/>
      <c r="D133" s="1"/>
      <c r="E133" s="1"/>
      <c r="F133" s="1"/>
    </row>
    <row r="134" spans="2:6">
      <c r="B134" s="48">
        <v>52</v>
      </c>
      <c r="C134" s="1"/>
      <c r="D134" s="1"/>
      <c r="E134" s="1"/>
      <c r="F134" s="1"/>
    </row>
    <row r="135" spans="2:6">
      <c r="B135" s="48">
        <v>53</v>
      </c>
      <c r="C135" s="1"/>
      <c r="D135" s="1"/>
      <c r="E135" s="1"/>
      <c r="F135" s="1"/>
    </row>
    <row r="136" spans="2:6">
      <c r="B136" s="48">
        <v>54</v>
      </c>
      <c r="C136" s="1"/>
      <c r="D136" s="1"/>
      <c r="E136" s="1"/>
      <c r="F136" s="1"/>
    </row>
    <row r="137" spans="2:6">
      <c r="B137" s="48">
        <v>55</v>
      </c>
      <c r="C137" s="1"/>
      <c r="D137" s="1"/>
      <c r="E137" s="1"/>
      <c r="F137" s="1"/>
    </row>
    <row r="138" spans="2:6">
      <c r="B138" s="48">
        <v>56</v>
      </c>
      <c r="C138" s="1"/>
      <c r="D138" s="1"/>
      <c r="E138" s="1"/>
      <c r="F138" s="1"/>
    </row>
    <row r="139" spans="2:6">
      <c r="B139" s="48">
        <v>57</v>
      </c>
      <c r="C139" s="1"/>
      <c r="D139" s="1"/>
      <c r="E139" s="1"/>
      <c r="F139" s="1"/>
    </row>
    <row r="140" spans="2:6">
      <c r="B140" s="48">
        <v>58</v>
      </c>
      <c r="C140" s="1"/>
      <c r="D140" s="1"/>
      <c r="E140" s="1"/>
      <c r="F140" s="1"/>
    </row>
    <row r="141" spans="2:6">
      <c r="B141" s="48">
        <v>59</v>
      </c>
      <c r="C141" s="1"/>
      <c r="D141" s="1"/>
      <c r="E141" s="1"/>
      <c r="F141" s="1"/>
    </row>
    <row r="142" spans="2:6">
      <c r="B142" s="48">
        <v>60</v>
      </c>
      <c r="C142" s="1"/>
      <c r="D142" s="1"/>
      <c r="E142" s="1"/>
      <c r="F142" s="1"/>
    </row>
    <row r="143" spans="2:6">
      <c r="B143" s="48">
        <v>61</v>
      </c>
      <c r="C143" s="1"/>
      <c r="D143" s="1"/>
      <c r="E143" s="1"/>
      <c r="F143" s="1"/>
    </row>
    <row r="144" spans="2:6">
      <c r="B144" s="48">
        <v>62</v>
      </c>
      <c r="C144" s="1"/>
      <c r="D144" s="1"/>
      <c r="E144" s="1"/>
      <c r="F144" s="1"/>
    </row>
    <row r="145" spans="2:6">
      <c r="B145" s="48">
        <v>63</v>
      </c>
      <c r="C145" s="1"/>
      <c r="D145" s="1"/>
      <c r="E145" s="1"/>
      <c r="F145" s="1"/>
    </row>
    <row r="146" spans="2:6">
      <c r="B146" s="48">
        <v>64</v>
      </c>
      <c r="C146" s="1"/>
      <c r="D146" s="1"/>
      <c r="E146" s="1"/>
      <c r="F146" s="1"/>
    </row>
    <row r="147" spans="2:6">
      <c r="B147" s="48">
        <v>65</v>
      </c>
      <c r="C147" s="1"/>
      <c r="D147" s="1"/>
      <c r="E147" s="1"/>
      <c r="F147" s="1"/>
    </row>
    <row r="148" spans="2:6">
      <c r="B148" s="48">
        <v>66</v>
      </c>
      <c r="C148" s="1"/>
      <c r="D148" s="1"/>
      <c r="E148" s="1"/>
      <c r="F148" s="1"/>
    </row>
    <row r="149" spans="2:6">
      <c r="B149" s="48">
        <v>67</v>
      </c>
      <c r="C149" s="1"/>
      <c r="D149" s="1"/>
      <c r="E149" s="1"/>
      <c r="F149" s="1"/>
    </row>
    <row r="150" spans="2:6">
      <c r="B150" s="48">
        <v>68</v>
      </c>
      <c r="C150" s="1"/>
      <c r="D150" s="1"/>
      <c r="E150" s="1"/>
      <c r="F150" s="1"/>
    </row>
    <row r="151" spans="2:6">
      <c r="B151" s="48">
        <v>69</v>
      </c>
      <c r="C151" s="1"/>
      <c r="D151" s="1"/>
      <c r="E151" s="1"/>
      <c r="F151" s="1"/>
    </row>
    <row r="152" spans="2:6">
      <c r="B152" s="48">
        <v>70</v>
      </c>
      <c r="C152" s="1"/>
      <c r="D152" s="1"/>
      <c r="E152" s="1"/>
      <c r="F152" s="1"/>
    </row>
    <row r="153" spans="2:6">
      <c r="B153" s="48">
        <v>71</v>
      </c>
      <c r="C153" s="1"/>
      <c r="D153" s="1"/>
      <c r="E153" s="1"/>
      <c r="F153" s="1"/>
    </row>
    <row r="154" spans="2:6">
      <c r="B154" s="48">
        <v>72</v>
      </c>
      <c r="C154" s="1"/>
      <c r="D154" s="1"/>
      <c r="E154" s="1"/>
      <c r="F154" s="1"/>
    </row>
    <row r="155" spans="2:6">
      <c r="B155" s="48">
        <v>73</v>
      </c>
      <c r="C155" s="1"/>
      <c r="D155" s="1"/>
      <c r="E155" s="1"/>
      <c r="F155" s="1"/>
    </row>
    <row r="156" spans="2:6">
      <c r="B156" s="48">
        <v>74</v>
      </c>
      <c r="C156" s="1"/>
      <c r="D156" s="1"/>
      <c r="E156" s="1"/>
      <c r="F156" s="1"/>
    </row>
    <row r="157" spans="2:6">
      <c r="B157" s="48">
        <v>75</v>
      </c>
      <c r="C157" s="1"/>
      <c r="D157" s="1"/>
      <c r="E157" s="1"/>
      <c r="F157" s="1"/>
    </row>
    <row r="158" spans="2:6">
      <c r="B158" s="48">
        <v>76</v>
      </c>
      <c r="C158" s="1"/>
      <c r="D158" s="1"/>
      <c r="E158" s="1"/>
      <c r="F158" s="1"/>
    </row>
    <row r="159" spans="2:6">
      <c r="B159" s="48">
        <v>77</v>
      </c>
      <c r="C159" s="1"/>
      <c r="D159" s="1"/>
      <c r="E159" s="1"/>
      <c r="F159" s="1"/>
    </row>
    <row r="160" spans="2:6">
      <c r="B160" s="48">
        <v>78</v>
      </c>
      <c r="C160" s="1"/>
      <c r="D160" s="1"/>
      <c r="E160" s="1"/>
      <c r="F160" s="1"/>
    </row>
    <row r="161" spans="2:6">
      <c r="B161" s="48">
        <v>79</v>
      </c>
      <c r="C161" s="1"/>
      <c r="D161" s="1"/>
      <c r="E161" s="1"/>
      <c r="F161" s="1"/>
    </row>
    <row r="162" spans="2:6">
      <c r="B162" s="48">
        <v>80</v>
      </c>
      <c r="C162" s="1"/>
      <c r="D162" s="1"/>
      <c r="E162" s="1"/>
      <c r="F162" s="1"/>
    </row>
    <row r="163" spans="2:6">
      <c r="B163" s="48">
        <v>81</v>
      </c>
      <c r="C163" s="1"/>
      <c r="D163" s="1"/>
      <c r="E163" s="1"/>
      <c r="F163" s="1"/>
    </row>
    <row r="164" spans="2:6">
      <c r="B164" s="48">
        <v>82</v>
      </c>
      <c r="C164" s="1"/>
      <c r="D164" s="1"/>
      <c r="E164" s="1"/>
      <c r="F164" s="1"/>
    </row>
    <row r="165" spans="2:6">
      <c r="B165" s="48">
        <v>83</v>
      </c>
      <c r="C165" s="1"/>
      <c r="D165" s="1"/>
      <c r="E165" s="1"/>
      <c r="F165" s="1"/>
    </row>
    <row r="166" spans="2:6">
      <c r="B166" s="48">
        <v>84</v>
      </c>
      <c r="C166" s="1"/>
      <c r="D166" s="1"/>
      <c r="E166" s="1"/>
      <c r="F166" s="1"/>
    </row>
    <row r="167" spans="2:6">
      <c r="B167" s="48">
        <v>85</v>
      </c>
      <c r="C167" s="1"/>
      <c r="D167" s="1"/>
      <c r="E167" s="1"/>
      <c r="F167" s="1"/>
    </row>
    <row r="168" spans="2:6">
      <c r="B168" s="48">
        <v>86</v>
      </c>
      <c r="C168" s="1"/>
      <c r="D168" s="1"/>
      <c r="E168" s="1"/>
      <c r="F168" s="1"/>
    </row>
    <row r="169" spans="2:6">
      <c r="B169" s="48">
        <v>87</v>
      </c>
      <c r="C169" s="1"/>
      <c r="D169" s="1"/>
      <c r="E169" s="1"/>
      <c r="F169" s="1"/>
    </row>
    <row r="170" spans="2:6">
      <c r="B170" s="48">
        <v>88</v>
      </c>
      <c r="C170" s="1"/>
      <c r="D170" s="1"/>
      <c r="E170" s="1"/>
      <c r="F170" s="1"/>
    </row>
    <row r="171" spans="2:6">
      <c r="B171" s="48">
        <v>89</v>
      </c>
      <c r="C171" s="1"/>
      <c r="D171" s="1"/>
      <c r="E171" s="1"/>
      <c r="F171" s="1"/>
    </row>
    <row r="172" spans="2:6">
      <c r="B172" s="48">
        <v>90</v>
      </c>
      <c r="C172" s="1"/>
      <c r="D172" s="1"/>
      <c r="E172" s="1"/>
      <c r="F172" s="1"/>
    </row>
    <row r="173" spans="2:6">
      <c r="B173" s="48">
        <v>91</v>
      </c>
      <c r="C173" s="1"/>
      <c r="D173" s="1"/>
      <c r="E173" s="1"/>
      <c r="F173" s="1"/>
    </row>
    <row r="174" spans="2:6">
      <c r="B174" s="48">
        <v>92</v>
      </c>
      <c r="C174" s="1"/>
      <c r="D174" s="1"/>
      <c r="E174" s="1"/>
      <c r="F174" s="1"/>
    </row>
    <row r="175" spans="2:6">
      <c r="B175" s="48">
        <v>93</v>
      </c>
      <c r="C175" s="1"/>
      <c r="D175" s="1"/>
      <c r="E175" s="1"/>
      <c r="F175" s="1"/>
    </row>
    <row r="176" spans="2:6">
      <c r="B176" s="48">
        <v>94</v>
      </c>
      <c r="C176" s="1"/>
      <c r="D176" s="1"/>
      <c r="E176" s="1"/>
      <c r="F176" s="1"/>
    </row>
    <row r="177" spans="2:6">
      <c r="B177" s="48">
        <v>95</v>
      </c>
      <c r="C177" s="1"/>
      <c r="D177" s="1"/>
      <c r="E177" s="1"/>
      <c r="F177" s="1"/>
    </row>
    <row r="178" spans="2:6">
      <c r="B178" s="48">
        <v>96</v>
      </c>
      <c r="C178" s="1"/>
      <c r="D178" s="1"/>
      <c r="E178" s="1"/>
      <c r="F178" s="1"/>
    </row>
    <row r="179" spans="2:6">
      <c r="B179" s="48">
        <v>97</v>
      </c>
      <c r="C179" s="1"/>
      <c r="D179" s="1"/>
      <c r="E179" s="1"/>
      <c r="F179" s="1"/>
    </row>
    <row r="180" spans="2:6">
      <c r="B180" s="48">
        <v>98</v>
      </c>
      <c r="C180" s="1"/>
      <c r="D180" s="1"/>
      <c r="E180" s="1"/>
      <c r="F180" s="1"/>
    </row>
    <row r="181" spans="2:6">
      <c r="B181" s="48">
        <v>99</v>
      </c>
      <c r="C181" s="1"/>
      <c r="D181" s="1"/>
      <c r="E181" s="1"/>
      <c r="F181" s="1"/>
    </row>
    <row r="182" spans="2:6">
      <c r="B182" s="48">
        <v>100</v>
      </c>
      <c r="C182" s="1"/>
      <c r="D182" s="1"/>
      <c r="E182" s="1"/>
      <c r="F182" s="1"/>
    </row>
    <row r="183" spans="2:6">
      <c r="B183" s="48">
        <v>101</v>
      </c>
      <c r="C183" s="1"/>
      <c r="D183" s="1"/>
      <c r="E183" s="1"/>
      <c r="F183" s="1"/>
    </row>
    <row r="184" spans="2:6">
      <c r="B184" s="48">
        <v>102</v>
      </c>
      <c r="C184" s="1"/>
      <c r="D184" s="1"/>
      <c r="E184" s="1"/>
      <c r="F184" s="1"/>
    </row>
    <row r="185" spans="2:6">
      <c r="B185" s="48">
        <v>103</v>
      </c>
      <c r="C185" s="1"/>
      <c r="D185" s="1"/>
      <c r="E185" s="1"/>
      <c r="F185" s="1"/>
    </row>
    <row r="186" spans="2:6">
      <c r="B186" s="48">
        <v>104</v>
      </c>
      <c r="C186" s="1"/>
      <c r="D186" s="1"/>
      <c r="E186" s="1"/>
      <c r="F186" s="1"/>
    </row>
    <row r="187" spans="2:6">
      <c r="B187" s="48">
        <v>105</v>
      </c>
      <c r="C187" s="1"/>
      <c r="D187" s="1"/>
      <c r="E187" s="1"/>
      <c r="F187" s="1"/>
    </row>
    <row r="188" spans="2:6">
      <c r="B188" s="48">
        <v>106</v>
      </c>
      <c r="C188" s="1"/>
      <c r="D188" s="1"/>
      <c r="E188" s="1"/>
      <c r="F188" s="1"/>
    </row>
    <row r="189" spans="2:6">
      <c r="B189" s="48">
        <v>107</v>
      </c>
      <c r="C189" s="1"/>
      <c r="D189" s="1"/>
      <c r="E189" s="1"/>
      <c r="F189" s="1"/>
    </row>
    <row r="190" spans="2:6">
      <c r="B190" s="48">
        <v>108</v>
      </c>
      <c r="C190" s="1"/>
      <c r="D190" s="1"/>
      <c r="E190" s="1"/>
      <c r="F190" s="1"/>
    </row>
    <row r="191" spans="2:6">
      <c r="B191" s="48">
        <v>109</v>
      </c>
      <c r="C191" s="1"/>
      <c r="D191" s="1"/>
      <c r="E191" s="1"/>
      <c r="F191" s="1"/>
    </row>
    <row r="192" spans="2:6">
      <c r="B192" s="48">
        <v>110</v>
      </c>
      <c r="C192" s="1"/>
      <c r="D192" s="1"/>
      <c r="E192" s="1"/>
      <c r="F192" s="1"/>
    </row>
    <row r="193" spans="2:6">
      <c r="B193" s="48">
        <v>111</v>
      </c>
      <c r="C193" s="1"/>
      <c r="D193" s="1"/>
      <c r="E193" s="1"/>
      <c r="F193" s="1"/>
    </row>
    <row r="194" spans="2:6">
      <c r="B194" s="48">
        <v>112</v>
      </c>
      <c r="C194" s="1"/>
      <c r="D194" s="1"/>
      <c r="E194" s="1"/>
      <c r="F194" s="1"/>
    </row>
    <row r="195" spans="2:6">
      <c r="B195" s="48">
        <v>113</v>
      </c>
      <c r="C195" s="1"/>
      <c r="D195" s="1"/>
      <c r="E195" s="1"/>
      <c r="F195" s="1"/>
    </row>
    <row r="196" spans="2:6">
      <c r="B196" s="48">
        <v>114</v>
      </c>
      <c r="C196" s="1"/>
      <c r="D196" s="1"/>
      <c r="E196" s="1"/>
      <c r="F196" s="1"/>
    </row>
    <row r="197" spans="2:6">
      <c r="B197" s="48">
        <v>115</v>
      </c>
      <c r="C197" s="1"/>
      <c r="D197" s="1"/>
      <c r="E197" s="1"/>
      <c r="F197" s="1"/>
    </row>
    <row r="198" spans="2:6">
      <c r="B198" s="48">
        <v>116</v>
      </c>
      <c r="C198" s="1"/>
      <c r="D198" s="1"/>
      <c r="E198" s="1"/>
      <c r="F198" s="1"/>
    </row>
    <row r="199" spans="2:6">
      <c r="B199" s="48">
        <v>117</v>
      </c>
      <c r="C199" s="1"/>
      <c r="D199" s="1"/>
      <c r="E199" s="1"/>
      <c r="F199" s="1"/>
    </row>
    <row r="200" spans="2:6">
      <c r="B200" s="48">
        <v>118</v>
      </c>
      <c r="C200" s="1"/>
      <c r="D200" s="1"/>
      <c r="E200" s="1"/>
      <c r="F200" s="1"/>
    </row>
    <row r="201" spans="2:6">
      <c r="B201" s="48">
        <v>119</v>
      </c>
      <c r="C201" s="1"/>
      <c r="D201" s="1"/>
      <c r="E201" s="1"/>
      <c r="F201" s="1"/>
    </row>
    <row r="202" spans="2:6">
      <c r="B202" s="48">
        <v>120</v>
      </c>
      <c r="C202" s="1"/>
      <c r="D202" s="1"/>
      <c r="E202" s="1"/>
      <c r="F202" s="1"/>
    </row>
    <row r="203" spans="2:6">
      <c r="B203" s="48">
        <v>121</v>
      </c>
      <c r="C203" s="1"/>
      <c r="D203" s="1"/>
      <c r="E203" s="1"/>
      <c r="F203" s="1"/>
    </row>
    <row r="204" spans="2:6">
      <c r="B204" s="48">
        <v>122</v>
      </c>
      <c r="C204" s="1"/>
      <c r="D204" s="1"/>
      <c r="E204" s="1"/>
      <c r="F204" s="1"/>
    </row>
    <row r="205" spans="2:6">
      <c r="B205" s="48">
        <v>123</v>
      </c>
      <c r="C205" s="1"/>
      <c r="D205" s="1"/>
      <c r="E205" s="1"/>
      <c r="F205" s="1"/>
    </row>
    <row r="206" spans="2:6">
      <c r="B206" s="48">
        <v>124</v>
      </c>
      <c r="C206" s="1"/>
      <c r="D206" s="1"/>
      <c r="E206" s="1"/>
      <c r="F206" s="1"/>
    </row>
    <row r="207" spans="2:6">
      <c r="B207" s="48">
        <v>125</v>
      </c>
      <c r="C207" s="1"/>
      <c r="D207" s="1"/>
      <c r="E207" s="1"/>
      <c r="F207" s="1"/>
    </row>
    <row r="208" spans="2:6">
      <c r="B208" s="48">
        <v>126</v>
      </c>
      <c r="C208" s="1"/>
      <c r="D208" s="1"/>
      <c r="E208" s="1"/>
      <c r="F208" s="1"/>
    </row>
    <row r="209" spans="2:6">
      <c r="B209" s="48">
        <v>127</v>
      </c>
      <c r="C209" s="1"/>
      <c r="D209" s="1"/>
      <c r="E209" s="1"/>
      <c r="F209" s="1"/>
    </row>
    <row r="210" spans="2:6">
      <c r="B210" s="48">
        <v>128</v>
      </c>
      <c r="C210" s="1"/>
      <c r="D210" s="1"/>
      <c r="E210" s="1"/>
      <c r="F210" s="1"/>
    </row>
    <row r="211" spans="2:6">
      <c r="B211" s="48">
        <v>129</v>
      </c>
      <c r="C211" s="1"/>
      <c r="D211" s="1"/>
      <c r="E211" s="1"/>
      <c r="F211" s="1"/>
    </row>
    <row r="212" spans="2:6">
      <c r="B212" s="48">
        <v>130</v>
      </c>
      <c r="C212" s="1"/>
      <c r="D212" s="1"/>
      <c r="E212" s="1"/>
      <c r="F212" s="1"/>
    </row>
    <row r="213" spans="2:6">
      <c r="B213" s="48">
        <v>131</v>
      </c>
      <c r="C213" s="1"/>
      <c r="D213" s="1"/>
      <c r="E213" s="1"/>
      <c r="F213" s="1"/>
    </row>
    <row r="214" spans="2:6">
      <c r="B214" s="48">
        <v>132</v>
      </c>
      <c r="C214" s="1"/>
      <c r="D214" s="1"/>
      <c r="E214" s="1"/>
      <c r="F214" s="1"/>
    </row>
    <row r="215" spans="2:6">
      <c r="B215" s="48">
        <v>133</v>
      </c>
      <c r="C215" s="1"/>
      <c r="D215" s="1"/>
      <c r="E215" s="1"/>
      <c r="F215" s="1"/>
    </row>
    <row r="216" spans="2:6">
      <c r="B216" s="48">
        <v>134</v>
      </c>
      <c r="C216" s="1"/>
      <c r="D216" s="1"/>
      <c r="E216" s="1"/>
      <c r="F216" s="1"/>
    </row>
    <row r="217" spans="2:6">
      <c r="B217" s="48">
        <v>135</v>
      </c>
      <c r="C217" s="1"/>
      <c r="D217" s="1"/>
      <c r="E217" s="1"/>
      <c r="F217" s="1"/>
    </row>
    <row r="218" spans="2:6">
      <c r="B218" s="48">
        <v>136</v>
      </c>
      <c r="C218" s="1"/>
      <c r="D218" s="1"/>
      <c r="E218" s="1"/>
      <c r="F218" s="1"/>
    </row>
    <row r="219" spans="2:6">
      <c r="B219" s="48">
        <v>137</v>
      </c>
      <c r="C219" s="1"/>
      <c r="D219" s="1"/>
      <c r="E219" s="1"/>
      <c r="F219" s="1"/>
    </row>
    <row r="220" spans="2:6">
      <c r="B220" s="48">
        <v>138</v>
      </c>
      <c r="C220" s="1"/>
      <c r="D220" s="1"/>
      <c r="E220" s="1"/>
      <c r="F220" s="1"/>
    </row>
    <row r="221" spans="2:6">
      <c r="B221" s="48">
        <v>139</v>
      </c>
      <c r="C221" s="1"/>
      <c r="D221" s="1"/>
      <c r="E221" s="1"/>
      <c r="F221" s="1"/>
    </row>
    <row r="222" spans="2:6">
      <c r="B222" s="48">
        <v>140</v>
      </c>
      <c r="C222" s="1"/>
      <c r="D222" s="1"/>
      <c r="E222" s="1"/>
      <c r="F222" s="1"/>
    </row>
    <row r="223" spans="2:6">
      <c r="B223" s="48">
        <v>141</v>
      </c>
      <c r="C223" s="1"/>
      <c r="D223" s="1"/>
      <c r="E223" s="1"/>
      <c r="F223" s="1"/>
    </row>
    <row r="224" spans="2:6">
      <c r="B224" s="48">
        <v>142</v>
      </c>
      <c r="C224" s="1"/>
      <c r="D224" s="1"/>
      <c r="E224" s="1"/>
      <c r="F224" s="1"/>
    </row>
    <row r="225" spans="2:6">
      <c r="B225" s="48">
        <v>143</v>
      </c>
      <c r="C225" s="1"/>
      <c r="D225" s="1"/>
      <c r="E225" s="1"/>
      <c r="F225" s="1"/>
    </row>
    <row r="226" spans="2:6">
      <c r="B226" s="48">
        <v>144</v>
      </c>
      <c r="C226" s="1"/>
      <c r="D226" s="1"/>
      <c r="E226" s="1"/>
      <c r="F226" s="1"/>
    </row>
    <row r="227" spans="2:6">
      <c r="B227" s="48">
        <v>145</v>
      </c>
      <c r="C227" s="1"/>
      <c r="D227" s="1"/>
      <c r="E227" s="1"/>
      <c r="F227" s="1"/>
    </row>
    <row r="228" spans="2:6">
      <c r="B228" s="48">
        <v>146</v>
      </c>
      <c r="C228" s="1"/>
      <c r="D228" s="1"/>
      <c r="E228" s="1"/>
      <c r="F228" s="1"/>
    </row>
    <row r="229" spans="2:6">
      <c r="B229" s="48">
        <v>147</v>
      </c>
      <c r="C229" s="1"/>
      <c r="D229" s="1"/>
      <c r="E229" s="1"/>
      <c r="F229" s="1"/>
    </row>
    <row r="230" spans="2:6">
      <c r="B230" s="48">
        <v>148</v>
      </c>
      <c r="C230" s="1"/>
      <c r="D230" s="1"/>
      <c r="E230" s="1"/>
      <c r="F230" s="1"/>
    </row>
    <row r="231" spans="2:6">
      <c r="B231" s="48">
        <v>149</v>
      </c>
      <c r="C231" s="1"/>
      <c r="D231" s="1"/>
      <c r="E231" s="1"/>
      <c r="F231" s="1"/>
    </row>
    <row r="232" spans="2:6">
      <c r="B232" s="48">
        <v>150</v>
      </c>
      <c r="C232" s="1"/>
      <c r="D232" s="1"/>
      <c r="E232" s="1"/>
      <c r="F232" s="1"/>
    </row>
    <row r="233" spans="2:6">
      <c r="B233" s="48">
        <v>151</v>
      </c>
      <c r="C233" s="1"/>
      <c r="D233" s="1"/>
      <c r="E233" s="1"/>
      <c r="F233" s="1"/>
    </row>
    <row r="234" spans="2:6">
      <c r="B234" s="48">
        <v>152</v>
      </c>
      <c r="C234" s="1"/>
      <c r="D234" s="1"/>
      <c r="E234" s="1"/>
      <c r="F234" s="1"/>
    </row>
    <row r="235" spans="2:6">
      <c r="B235" s="48">
        <v>153</v>
      </c>
      <c r="C235" s="1"/>
      <c r="D235" s="1"/>
      <c r="E235" s="1"/>
      <c r="F235" s="1"/>
    </row>
    <row r="236" spans="2:6">
      <c r="B236" s="48">
        <v>154</v>
      </c>
      <c r="C236" s="1"/>
      <c r="D236" s="1"/>
      <c r="E236" s="1"/>
      <c r="F236" s="1"/>
    </row>
    <row r="237" spans="2:6">
      <c r="B237" s="48">
        <v>155</v>
      </c>
      <c r="C237" s="1"/>
      <c r="D237" s="1"/>
      <c r="E237" s="1"/>
      <c r="F237" s="1"/>
    </row>
    <row r="238" spans="2:6">
      <c r="B238" s="48">
        <v>156</v>
      </c>
      <c r="C238" s="1"/>
      <c r="D238" s="1"/>
      <c r="E238" s="1"/>
      <c r="F238" s="1"/>
    </row>
    <row r="239" spans="2:6">
      <c r="B239" s="48">
        <v>157</v>
      </c>
      <c r="C239" s="1"/>
      <c r="D239" s="1"/>
      <c r="E239" s="1"/>
      <c r="F239" s="1"/>
    </row>
    <row r="240" spans="2:6">
      <c r="B240" s="48">
        <v>158</v>
      </c>
      <c r="C240" s="1"/>
      <c r="D240" s="1"/>
      <c r="E240" s="1"/>
      <c r="F240" s="1"/>
    </row>
    <row r="241" spans="2:6">
      <c r="B241" s="48">
        <v>159</v>
      </c>
      <c r="C241" s="1"/>
      <c r="D241" s="1"/>
      <c r="E241" s="1"/>
      <c r="F241" s="1"/>
    </row>
    <row r="242" spans="2:6">
      <c r="B242" s="48">
        <v>160</v>
      </c>
      <c r="C242" s="1"/>
      <c r="D242" s="1"/>
      <c r="E242" s="1"/>
      <c r="F242" s="1"/>
    </row>
    <row r="243" spans="2:6">
      <c r="B243" s="48">
        <v>161</v>
      </c>
      <c r="C243" s="1"/>
      <c r="D243" s="1"/>
      <c r="E243" s="1"/>
      <c r="F243" s="1"/>
    </row>
    <row r="244" spans="2:6">
      <c r="B244" s="48">
        <v>162</v>
      </c>
      <c r="C244" s="1"/>
      <c r="D244" s="1"/>
      <c r="E244" s="1"/>
      <c r="F244" s="1"/>
    </row>
    <row r="245" spans="2:6">
      <c r="B245" s="48">
        <v>163</v>
      </c>
      <c r="C245" s="1"/>
      <c r="D245" s="1"/>
      <c r="E245" s="1"/>
      <c r="F245" s="1"/>
    </row>
    <row r="246" spans="2:6">
      <c r="B246" s="48">
        <v>164</v>
      </c>
      <c r="C246" s="1"/>
      <c r="D246" s="1"/>
      <c r="E246" s="1"/>
      <c r="F246" s="1"/>
    </row>
    <row r="247" spans="2:6">
      <c r="B247" s="48">
        <v>165</v>
      </c>
      <c r="C247" s="1"/>
      <c r="D247" s="1"/>
      <c r="E247" s="1"/>
      <c r="F247" s="1"/>
    </row>
    <row r="248" spans="2:6">
      <c r="B248" s="48">
        <v>166</v>
      </c>
      <c r="C248" s="1"/>
      <c r="D248" s="1"/>
      <c r="E248" s="1"/>
      <c r="F248" s="1"/>
    </row>
    <row r="249" spans="2:6">
      <c r="B249" s="48">
        <v>167</v>
      </c>
      <c r="C249" s="1"/>
      <c r="D249" s="1"/>
      <c r="E249" s="1"/>
      <c r="F249" s="1"/>
    </row>
    <row r="250" spans="2:6">
      <c r="B250" s="48">
        <v>168</v>
      </c>
      <c r="C250" s="1"/>
      <c r="D250" s="1"/>
      <c r="E250" s="1"/>
      <c r="F250" s="1"/>
    </row>
    <row r="251" spans="2:6">
      <c r="B251" s="48">
        <v>169</v>
      </c>
      <c r="C251" s="1"/>
      <c r="D251" s="1"/>
      <c r="E251" s="1"/>
      <c r="F251" s="1"/>
    </row>
    <row r="252" spans="2:6">
      <c r="B252" s="48">
        <v>170</v>
      </c>
      <c r="C252" s="1"/>
      <c r="D252" s="1"/>
      <c r="E252" s="1"/>
      <c r="F252" s="1"/>
    </row>
    <row r="253" spans="2:6">
      <c r="B253" s="48">
        <v>171</v>
      </c>
      <c r="C253" s="1"/>
      <c r="D253" s="1"/>
      <c r="E253" s="1"/>
      <c r="F253" s="1"/>
    </row>
    <row r="254" spans="2:6">
      <c r="B254" s="48">
        <v>172</v>
      </c>
      <c r="C254" s="1"/>
      <c r="D254" s="1"/>
      <c r="E254" s="1"/>
      <c r="F254" s="1"/>
    </row>
    <row r="255" spans="2:6">
      <c r="B255" s="48">
        <v>173</v>
      </c>
      <c r="C255" s="1"/>
      <c r="D255" s="1"/>
      <c r="E255" s="1"/>
      <c r="F255" s="1"/>
    </row>
    <row r="256" spans="2:6">
      <c r="B256" s="48">
        <v>174</v>
      </c>
      <c r="C256" s="1"/>
      <c r="D256" s="1"/>
      <c r="E256" s="1"/>
      <c r="F256" s="1"/>
    </row>
    <row r="257" spans="2:6">
      <c r="B257" s="48">
        <v>175</v>
      </c>
      <c r="C257" s="1"/>
      <c r="D257" s="1"/>
      <c r="E257" s="1"/>
      <c r="F257" s="1"/>
    </row>
    <row r="258" spans="2:6">
      <c r="B258" s="48">
        <v>176</v>
      </c>
      <c r="C258" s="1"/>
      <c r="D258" s="1"/>
      <c r="E258" s="1"/>
      <c r="F258" s="1"/>
    </row>
    <row r="259" spans="2:6">
      <c r="B259" s="48">
        <v>177</v>
      </c>
      <c r="C259" s="1"/>
      <c r="D259" s="1"/>
      <c r="E259" s="1"/>
      <c r="F259" s="1"/>
    </row>
    <row r="260" spans="2:6">
      <c r="B260" s="48">
        <v>178</v>
      </c>
      <c r="C260" s="1"/>
      <c r="D260" s="1"/>
      <c r="E260" s="1"/>
      <c r="F260" s="1"/>
    </row>
    <row r="261" spans="2:6">
      <c r="B261" s="48">
        <v>179</v>
      </c>
      <c r="C261" s="1"/>
      <c r="D261" s="1"/>
      <c r="E261" s="1"/>
      <c r="F261" s="1"/>
    </row>
    <row r="262" spans="2:6">
      <c r="B262" s="48">
        <v>180</v>
      </c>
      <c r="C262" s="1"/>
      <c r="D262" s="1"/>
      <c r="E262" s="1"/>
      <c r="F262" s="1"/>
    </row>
    <row r="263" spans="2:6">
      <c r="B263" s="48">
        <v>181</v>
      </c>
      <c r="C263" s="1"/>
      <c r="D263" s="1"/>
      <c r="E263" s="1"/>
      <c r="F263" s="1"/>
    </row>
    <row r="264" spans="2:6">
      <c r="B264" s="48">
        <v>182</v>
      </c>
      <c r="C264" s="1"/>
      <c r="D264" s="1"/>
      <c r="E264" s="1"/>
      <c r="F264" s="1"/>
    </row>
    <row r="265" spans="2:6">
      <c r="B265" s="48">
        <v>183</v>
      </c>
      <c r="C265" s="1"/>
      <c r="D265" s="1"/>
      <c r="E265" s="1"/>
      <c r="F265" s="1"/>
    </row>
    <row r="266" spans="2:6">
      <c r="B266" s="48">
        <v>184</v>
      </c>
      <c r="C266" s="1"/>
      <c r="D266" s="1"/>
      <c r="E266" s="1"/>
      <c r="F266" s="1"/>
    </row>
    <row r="267" spans="2:6">
      <c r="B267" s="48">
        <v>185</v>
      </c>
      <c r="C267" s="1"/>
      <c r="D267" s="1"/>
      <c r="E267" s="1"/>
      <c r="F267" s="1"/>
    </row>
    <row r="268" spans="2:6">
      <c r="B268" s="48">
        <v>186</v>
      </c>
      <c r="C268" s="1"/>
      <c r="D268" s="1"/>
      <c r="E268" s="1"/>
      <c r="F268" s="1"/>
    </row>
    <row r="269" spans="2:6">
      <c r="B269" s="48">
        <v>187</v>
      </c>
      <c r="C269" s="1"/>
      <c r="D269" s="1"/>
      <c r="E269" s="1"/>
      <c r="F269" s="1"/>
    </row>
    <row r="270" spans="2:6">
      <c r="B270" s="48">
        <v>188</v>
      </c>
      <c r="C270" s="1"/>
      <c r="D270" s="1"/>
      <c r="E270" s="1"/>
      <c r="F270" s="1"/>
    </row>
    <row r="271" spans="2:6">
      <c r="B271" s="48">
        <v>189</v>
      </c>
      <c r="C271" s="1"/>
      <c r="D271" s="1"/>
      <c r="E271" s="1"/>
      <c r="F271" s="1"/>
    </row>
    <row r="272" spans="2:6">
      <c r="B272" s="48">
        <v>190</v>
      </c>
      <c r="C272" s="1"/>
      <c r="D272" s="1"/>
      <c r="E272" s="1"/>
      <c r="F272" s="1"/>
    </row>
    <row r="273" spans="2:6">
      <c r="B273" s="48">
        <v>191</v>
      </c>
      <c r="C273" s="1"/>
      <c r="D273" s="1"/>
      <c r="E273" s="1"/>
      <c r="F273" s="1"/>
    </row>
    <row r="274" spans="2:6">
      <c r="B274" s="48">
        <v>192</v>
      </c>
      <c r="C274" s="1"/>
      <c r="D274" s="1"/>
      <c r="E274" s="1"/>
      <c r="F274" s="1"/>
    </row>
    <row r="275" spans="2:6">
      <c r="B275" s="48">
        <v>193</v>
      </c>
      <c r="C275" s="1"/>
      <c r="D275" s="1"/>
      <c r="E275" s="1"/>
      <c r="F275" s="1"/>
    </row>
    <row r="276" spans="2:6">
      <c r="B276" s="48">
        <v>194</v>
      </c>
      <c r="C276" s="1"/>
      <c r="D276" s="1"/>
      <c r="E276" s="1"/>
      <c r="F276" s="1"/>
    </row>
    <row r="277" spans="2:6">
      <c r="B277" s="48">
        <v>195</v>
      </c>
      <c r="C277" s="1"/>
      <c r="D277" s="1"/>
      <c r="E277" s="1"/>
      <c r="F277" s="1"/>
    </row>
    <row r="278" spans="2:6">
      <c r="B278" s="48">
        <v>196</v>
      </c>
      <c r="C278" s="1"/>
      <c r="D278" s="1"/>
      <c r="E278" s="1"/>
      <c r="F278" s="1"/>
    </row>
    <row r="279" spans="2:6">
      <c r="B279" s="48">
        <v>197</v>
      </c>
      <c r="C279" s="1"/>
      <c r="D279" s="1"/>
      <c r="E279" s="1"/>
      <c r="F279" s="1"/>
    </row>
    <row r="280" spans="2:6">
      <c r="B280" s="48">
        <v>198</v>
      </c>
      <c r="C280" s="1"/>
      <c r="D280" s="1"/>
      <c r="E280" s="1"/>
      <c r="F280" s="1"/>
    </row>
    <row r="281" spans="2:6">
      <c r="B281" s="48">
        <v>199</v>
      </c>
      <c r="C281" s="1"/>
      <c r="D281" s="1"/>
      <c r="E281" s="1"/>
      <c r="F281" s="1"/>
    </row>
    <row r="282" spans="2:6">
      <c r="B282" s="48">
        <v>200</v>
      </c>
      <c r="C282" s="1"/>
      <c r="D282" s="1"/>
      <c r="E282" s="1"/>
      <c r="F282" s="1"/>
    </row>
    <row r="283" spans="2:6">
      <c r="B283" s="48">
        <v>201</v>
      </c>
      <c r="C283" s="1"/>
      <c r="D283" s="1"/>
      <c r="E283" s="1"/>
      <c r="F283" s="1"/>
    </row>
    <row r="284" spans="2:6">
      <c r="B284" s="48">
        <v>202</v>
      </c>
      <c r="C284" s="1"/>
      <c r="D284" s="1"/>
      <c r="E284" s="1"/>
      <c r="F284" s="1"/>
    </row>
    <row r="285" spans="2:6">
      <c r="B285" s="48">
        <v>203</v>
      </c>
      <c r="C285" s="1"/>
      <c r="D285" s="1"/>
      <c r="E285" s="1"/>
      <c r="F285" s="1"/>
    </row>
    <row r="286" spans="2:6">
      <c r="B286" s="48">
        <v>204</v>
      </c>
      <c r="C286" s="1"/>
      <c r="D286" s="1"/>
      <c r="E286" s="1"/>
      <c r="F286" s="1"/>
    </row>
    <row r="287" spans="2:6">
      <c r="B287" s="48">
        <v>205</v>
      </c>
      <c r="C287" s="1"/>
      <c r="D287" s="1"/>
      <c r="E287" s="1"/>
      <c r="F287" s="1"/>
    </row>
    <row r="288" spans="2:6">
      <c r="B288" s="48">
        <v>206</v>
      </c>
      <c r="C288" s="1"/>
      <c r="D288" s="1"/>
      <c r="E288" s="1"/>
      <c r="F288" s="1"/>
    </row>
    <row r="289" spans="2:6">
      <c r="B289" s="48">
        <v>207</v>
      </c>
      <c r="C289" s="1"/>
      <c r="D289" s="1"/>
      <c r="E289" s="1"/>
      <c r="F289" s="1"/>
    </row>
    <row r="290" spans="2:6">
      <c r="B290" s="48">
        <v>208</v>
      </c>
      <c r="C290" s="1"/>
      <c r="D290" s="1"/>
      <c r="E290" s="1"/>
      <c r="F290" s="1"/>
    </row>
    <row r="291" spans="2:6">
      <c r="B291" s="48">
        <v>209</v>
      </c>
      <c r="C291" s="1"/>
      <c r="D291" s="1"/>
      <c r="E291" s="1"/>
      <c r="F291" s="1"/>
    </row>
    <row r="292" spans="2:6">
      <c r="B292" s="48">
        <v>210</v>
      </c>
      <c r="C292" s="1"/>
      <c r="D292" s="1"/>
      <c r="E292" s="1"/>
      <c r="F292" s="1"/>
    </row>
    <row r="293" spans="2:6">
      <c r="B293" s="48">
        <v>211</v>
      </c>
      <c r="C293" s="1"/>
      <c r="D293" s="1"/>
      <c r="E293" s="1"/>
      <c r="F293" s="1"/>
    </row>
    <row r="294" spans="2:6">
      <c r="B294" s="48">
        <v>212</v>
      </c>
      <c r="C294" s="1"/>
      <c r="D294" s="1"/>
      <c r="E294" s="1"/>
      <c r="F294" s="1"/>
    </row>
    <row r="295" spans="2:6">
      <c r="B295" s="48">
        <v>213</v>
      </c>
      <c r="C295" s="1"/>
      <c r="D295" s="1"/>
      <c r="E295" s="1"/>
      <c r="F295" s="1"/>
    </row>
    <row r="296" spans="2:6">
      <c r="B296" s="48">
        <v>214</v>
      </c>
      <c r="C296" s="1"/>
      <c r="D296" s="1"/>
      <c r="E296" s="1"/>
      <c r="F296" s="1"/>
    </row>
    <row r="297" spans="2:6">
      <c r="B297" s="48">
        <v>215</v>
      </c>
      <c r="C297" s="1"/>
      <c r="D297" s="1"/>
      <c r="E297" s="1"/>
      <c r="F297" s="1"/>
    </row>
    <row r="298" spans="2:6">
      <c r="B298" s="48">
        <v>216</v>
      </c>
      <c r="C298" s="1"/>
      <c r="D298" s="1"/>
      <c r="E298" s="1"/>
      <c r="F298" s="1"/>
    </row>
    <row r="299" spans="2:6">
      <c r="B299" s="48">
        <v>217</v>
      </c>
      <c r="C299" s="1"/>
      <c r="D299" s="1"/>
      <c r="E299" s="1"/>
      <c r="F299" s="1"/>
    </row>
    <row r="300" spans="2:6">
      <c r="B300" s="48">
        <v>218</v>
      </c>
      <c r="C300" s="1"/>
      <c r="D300" s="1"/>
      <c r="E300" s="1"/>
      <c r="F300" s="1"/>
    </row>
    <row r="301" spans="2:6">
      <c r="B301" s="48">
        <v>219</v>
      </c>
      <c r="C301" s="1"/>
      <c r="D301" s="1"/>
      <c r="E301" s="1"/>
      <c r="F301" s="1"/>
    </row>
    <row r="302" spans="2:6">
      <c r="B302" s="48">
        <v>220</v>
      </c>
      <c r="C302" s="1"/>
      <c r="D302" s="1"/>
      <c r="E302" s="1"/>
      <c r="F302" s="1"/>
    </row>
    <row r="303" spans="2:6">
      <c r="B303" s="48">
        <v>221</v>
      </c>
      <c r="C303" s="1"/>
      <c r="D303" s="1"/>
      <c r="E303" s="1"/>
      <c r="F303" s="1"/>
    </row>
    <row r="304" spans="2:6">
      <c r="B304" s="48">
        <v>222</v>
      </c>
      <c r="C304" s="1"/>
      <c r="D304" s="1"/>
      <c r="E304" s="1"/>
      <c r="F304" s="1"/>
    </row>
    <row r="305" spans="2:6">
      <c r="B305" s="48">
        <v>223</v>
      </c>
      <c r="C305" s="1"/>
      <c r="D305" s="1"/>
      <c r="E305" s="1"/>
      <c r="F305" s="1"/>
    </row>
    <row r="306" spans="2:6">
      <c r="B306" s="48">
        <v>224</v>
      </c>
      <c r="C306" s="1"/>
      <c r="D306" s="1"/>
      <c r="E306" s="1"/>
      <c r="F306" s="1"/>
    </row>
    <row r="307" spans="2:6">
      <c r="B307" s="48">
        <v>225</v>
      </c>
      <c r="C307" s="1"/>
      <c r="D307" s="1"/>
      <c r="E307" s="1"/>
      <c r="F307" s="1"/>
    </row>
    <row r="308" spans="2:6">
      <c r="B308" s="48">
        <v>226</v>
      </c>
      <c r="C308" s="1"/>
      <c r="D308" s="1"/>
      <c r="E308" s="1"/>
      <c r="F308" s="1"/>
    </row>
    <row r="309" spans="2:6">
      <c r="B309" s="48">
        <v>227</v>
      </c>
      <c r="C309" s="1"/>
      <c r="D309" s="1"/>
      <c r="E309" s="1"/>
      <c r="F309" s="1"/>
    </row>
    <row r="310" spans="2:6">
      <c r="B310" s="48">
        <v>228</v>
      </c>
      <c r="C310" s="1"/>
      <c r="D310" s="1"/>
      <c r="E310" s="1"/>
      <c r="F310" s="1"/>
    </row>
    <row r="311" spans="2:6">
      <c r="B311" s="48">
        <v>229</v>
      </c>
      <c r="C311" s="1"/>
      <c r="D311" s="1"/>
      <c r="E311" s="1"/>
      <c r="F311" s="1"/>
    </row>
    <row r="312" spans="2:6">
      <c r="B312" s="48">
        <v>230</v>
      </c>
      <c r="C312" s="1"/>
      <c r="D312" s="1"/>
      <c r="E312" s="1"/>
      <c r="F312" s="1"/>
    </row>
    <row r="313" spans="2:6">
      <c r="B313" s="48">
        <v>231</v>
      </c>
      <c r="C313" s="1"/>
      <c r="D313" s="1"/>
      <c r="E313" s="1"/>
      <c r="F313" s="1"/>
    </row>
    <row r="314" spans="2:6">
      <c r="B314" s="48">
        <v>232</v>
      </c>
      <c r="C314" s="1"/>
      <c r="D314" s="1"/>
      <c r="E314" s="1"/>
      <c r="F314" s="1"/>
    </row>
    <row r="315" spans="2:6">
      <c r="B315" s="48">
        <v>233</v>
      </c>
      <c r="C315" s="1"/>
      <c r="D315" s="1"/>
      <c r="E315" s="1"/>
      <c r="F315" s="1"/>
    </row>
    <row r="316" spans="2:6">
      <c r="B316" s="48">
        <v>234</v>
      </c>
      <c r="C316" s="1"/>
      <c r="D316" s="1"/>
      <c r="E316" s="1"/>
      <c r="F316" s="1"/>
    </row>
    <row r="317" spans="2:6">
      <c r="B317" s="48">
        <v>235</v>
      </c>
      <c r="C317" s="1"/>
      <c r="D317" s="1"/>
      <c r="E317" s="1"/>
      <c r="F317" s="1"/>
    </row>
    <row r="318" spans="2:6">
      <c r="B318" s="48">
        <v>236</v>
      </c>
      <c r="C318" s="1"/>
      <c r="D318" s="1"/>
      <c r="E318" s="1"/>
      <c r="F318" s="1"/>
    </row>
    <row r="319" spans="2:6">
      <c r="B319" s="48">
        <v>237</v>
      </c>
      <c r="C319" s="1"/>
      <c r="D319" s="1"/>
      <c r="E319" s="1"/>
      <c r="F319" s="1"/>
    </row>
    <row r="320" spans="2:6">
      <c r="B320" s="48">
        <v>238</v>
      </c>
      <c r="C320" s="1"/>
      <c r="D320" s="1"/>
      <c r="E320" s="1"/>
      <c r="F320" s="1"/>
    </row>
    <row r="321" spans="2:6">
      <c r="B321" s="48">
        <v>239</v>
      </c>
      <c r="C321" s="1"/>
      <c r="D321" s="1"/>
      <c r="E321" s="1"/>
      <c r="F321" s="1"/>
    </row>
    <row r="322" spans="2:6">
      <c r="B322" s="48">
        <v>240</v>
      </c>
      <c r="C322" s="1"/>
      <c r="D322" s="1"/>
      <c r="E322" s="1"/>
      <c r="F322" s="1"/>
    </row>
    <row r="323" spans="2:6">
      <c r="B323" s="48">
        <v>241</v>
      </c>
      <c r="C323" s="1"/>
      <c r="D323" s="1"/>
      <c r="E323" s="1"/>
      <c r="F323" s="1"/>
    </row>
    <row r="324" spans="2:6">
      <c r="B324" s="48">
        <v>242</v>
      </c>
      <c r="C324" s="1"/>
      <c r="D324" s="1"/>
      <c r="E324" s="1"/>
      <c r="F324" s="1"/>
    </row>
    <row r="325" spans="2:6">
      <c r="B325" s="48">
        <v>243</v>
      </c>
      <c r="C325" s="1"/>
      <c r="D325" s="1"/>
      <c r="E325" s="1"/>
      <c r="F325" s="1"/>
    </row>
    <row r="326" spans="2:6">
      <c r="B326" s="48">
        <v>244</v>
      </c>
      <c r="C326" s="1"/>
      <c r="D326" s="1"/>
      <c r="E326" s="1"/>
      <c r="F326" s="1"/>
    </row>
    <row r="327" spans="2:6">
      <c r="B327" s="48">
        <v>245</v>
      </c>
      <c r="C327" s="1"/>
      <c r="D327" s="1"/>
      <c r="E327" s="1"/>
      <c r="F327" s="1"/>
    </row>
    <row r="328" spans="2:6">
      <c r="B328" s="48">
        <v>246</v>
      </c>
      <c r="C328" s="1"/>
      <c r="D328" s="1"/>
      <c r="E328" s="1"/>
      <c r="F328" s="1"/>
    </row>
    <row r="329" spans="2:6">
      <c r="B329" s="48">
        <v>247</v>
      </c>
      <c r="C329" s="1"/>
      <c r="D329" s="1"/>
      <c r="E329" s="1"/>
      <c r="F329" s="1"/>
    </row>
    <row r="330" spans="2:6">
      <c r="B330" s="48">
        <v>248</v>
      </c>
      <c r="C330" s="1"/>
      <c r="D330" s="1"/>
      <c r="E330" s="1"/>
      <c r="F330" s="1"/>
    </row>
    <row r="331" spans="2:6">
      <c r="B331" s="48">
        <v>249</v>
      </c>
      <c r="C331" s="1"/>
      <c r="D331" s="1"/>
      <c r="E331" s="1"/>
      <c r="F331" s="1"/>
    </row>
    <row r="332" spans="2:6">
      <c r="B332" s="48">
        <v>250</v>
      </c>
      <c r="C332" s="1"/>
      <c r="D332" s="1"/>
      <c r="E332" s="1"/>
      <c r="F332" s="1"/>
    </row>
    <row r="333" spans="2:6">
      <c r="B333" s="48">
        <v>251</v>
      </c>
      <c r="C333" s="1"/>
      <c r="D333" s="1"/>
      <c r="E333" s="1"/>
      <c r="F333" s="1"/>
    </row>
    <row r="334" spans="2:6">
      <c r="B334" s="48">
        <v>252</v>
      </c>
      <c r="C334" s="1"/>
      <c r="D334" s="1"/>
      <c r="E334" s="1"/>
      <c r="F334" s="1"/>
    </row>
    <row r="335" spans="2:6">
      <c r="B335" s="48">
        <v>253</v>
      </c>
      <c r="C335" s="1"/>
      <c r="D335" s="1"/>
      <c r="E335" s="1"/>
      <c r="F335" s="1"/>
    </row>
    <row r="336" spans="2:6">
      <c r="B336" s="48">
        <v>254</v>
      </c>
      <c r="C336" s="1"/>
      <c r="D336" s="1"/>
      <c r="E336" s="1"/>
      <c r="F336" s="1"/>
    </row>
    <row r="337" spans="2:6">
      <c r="B337" s="48">
        <v>255</v>
      </c>
      <c r="C337" s="1"/>
      <c r="D337" s="1"/>
      <c r="E337" s="1"/>
      <c r="F337" s="1"/>
    </row>
    <row r="338" spans="2:6">
      <c r="B338" s="48">
        <v>256</v>
      </c>
      <c r="C338" s="1"/>
      <c r="D338" s="1"/>
      <c r="E338" s="1"/>
      <c r="F338" s="1"/>
    </row>
    <row r="339" spans="2:6">
      <c r="B339" s="48">
        <v>257</v>
      </c>
      <c r="C339" s="1"/>
      <c r="D339" s="1"/>
      <c r="E339" s="1"/>
      <c r="F339" s="1"/>
    </row>
    <row r="340" spans="2:6">
      <c r="B340" s="48">
        <v>258</v>
      </c>
      <c r="C340" s="1"/>
      <c r="D340" s="1"/>
      <c r="E340" s="1"/>
      <c r="F340" s="1"/>
    </row>
    <row r="341" spans="2:6">
      <c r="B341" s="48">
        <v>259</v>
      </c>
      <c r="C341" s="1"/>
      <c r="D341" s="1"/>
      <c r="E341" s="1"/>
      <c r="F341" s="1"/>
    </row>
    <row r="342" spans="2:6">
      <c r="B342" s="48">
        <v>260</v>
      </c>
      <c r="C342" s="1"/>
      <c r="D342" s="1"/>
      <c r="E342" s="1"/>
      <c r="F342" s="1"/>
    </row>
    <row r="343" spans="2:6">
      <c r="B343" s="48">
        <v>261</v>
      </c>
      <c r="C343" s="1"/>
      <c r="D343" s="1"/>
      <c r="E343" s="1"/>
      <c r="F343" s="1"/>
    </row>
    <row r="344" spans="2:6">
      <c r="B344" s="48">
        <v>262</v>
      </c>
      <c r="C344" s="1"/>
      <c r="D344" s="1"/>
      <c r="E344" s="1"/>
      <c r="F344" s="1"/>
    </row>
    <row r="345" spans="2:6">
      <c r="B345" s="48">
        <v>263</v>
      </c>
      <c r="C345" s="1"/>
      <c r="D345" s="1"/>
      <c r="E345" s="1"/>
      <c r="F345" s="1"/>
    </row>
    <row r="346" spans="2:6">
      <c r="B346" s="48">
        <v>264</v>
      </c>
      <c r="C346" s="1"/>
      <c r="D346" s="1"/>
      <c r="E346" s="1"/>
      <c r="F346" s="1"/>
    </row>
    <row r="347" spans="2:6">
      <c r="B347" s="48">
        <v>265</v>
      </c>
      <c r="C347" s="1"/>
      <c r="D347" s="1"/>
      <c r="E347" s="1"/>
      <c r="F347" s="1"/>
    </row>
    <row r="348" spans="2:6">
      <c r="B348" s="48">
        <v>266</v>
      </c>
      <c r="C348" s="1"/>
      <c r="D348" s="1"/>
      <c r="E348" s="1"/>
      <c r="F348" s="1"/>
    </row>
    <row r="349" spans="2:6">
      <c r="B349" s="48">
        <v>267</v>
      </c>
      <c r="C349" s="1"/>
      <c r="D349" s="1"/>
      <c r="E349" s="1"/>
      <c r="F349" s="1"/>
    </row>
    <row r="350" spans="2:6">
      <c r="B350" s="48">
        <v>268</v>
      </c>
      <c r="C350" s="1"/>
      <c r="D350" s="1"/>
      <c r="E350" s="1"/>
      <c r="F350" s="1"/>
    </row>
    <row r="351" spans="2:6">
      <c r="B351" s="48">
        <v>269</v>
      </c>
      <c r="C351" s="1"/>
      <c r="D351" s="1"/>
      <c r="E351" s="1"/>
      <c r="F351" s="1"/>
    </row>
    <row r="352" spans="2:6">
      <c r="B352" s="48">
        <v>270</v>
      </c>
      <c r="C352" s="1"/>
      <c r="D352" s="1"/>
      <c r="E352" s="1"/>
      <c r="F352" s="1"/>
    </row>
    <row r="353" spans="2:6">
      <c r="B353" s="48">
        <v>271</v>
      </c>
      <c r="C353" s="1"/>
      <c r="D353" s="1"/>
      <c r="E353" s="1"/>
      <c r="F353" s="1"/>
    </row>
    <row r="354" spans="2:6">
      <c r="B354" s="48">
        <v>272</v>
      </c>
      <c r="C354" s="1"/>
      <c r="D354" s="1"/>
      <c r="E354" s="1"/>
      <c r="F354" s="1"/>
    </row>
    <row r="355" spans="2:6">
      <c r="B355" s="48">
        <v>273</v>
      </c>
      <c r="C355" s="1"/>
      <c r="D355" s="1"/>
      <c r="E355" s="1"/>
      <c r="F355" s="1"/>
    </row>
    <row r="356" spans="2:6">
      <c r="B356" s="48">
        <v>274</v>
      </c>
      <c r="C356" s="1"/>
      <c r="D356" s="1"/>
      <c r="E356" s="1"/>
      <c r="F356" s="1"/>
    </row>
    <row r="357" spans="2:6">
      <c r="B357" s="48">
        <v>275</v>
      </c>
      <c r="C357" s="1"/>
      <c r="D357" s="1"/>
      <c r="E357" s="1"/>
      <c r="F357" s="1"/>
    </row>
    <row r="358" spans="2:6">
      <c r="B358" s="48">
        <v>276</v>
      </c>
      <c r="C358" s="1"/>
      <c r="D358" s="1"/>
      <c r="E358" s="1"/>
      <c r="F358" s="1"/>
    </row>
    <row r="359" spans="2:6">
      <c r="B359" s="48">
        <v>277</v>
      </c>
      <c r="C359" s="1"/>
      <c r="D359" s="1"/>
      <c r="E359" s="1"/>
      <c r="F359" s="1"/>
    </row>
    <row r="360" spans="2:6">
      <c r="B360" s="48">
        <v>278</v>
      </c>
      <c r="C360" s="1"/>
      <c r="D360" s="1"/>
      <c r="E360" s="1"/>
      <c r="F360" s="1"/>
    </row>
    <row r="361" spans="2:6">
      <c r="B361" s="48">
        <v>279</v>
      </c>
      <c r="C361" s="1"/>
      <c r="D361" s="1"/>
      <c r="E361" s="1"/>
      <c r="F361" s="1"/>
    </row>
    <row r="362" spans="2:6">
      <c r="B362" s="48">
        <v>280</v>
      </c>
      <c r="C362" s="1"/>
      <c r="D362" s="1"/>
      <c r="E362" s="1"/>
      <c r="F362" s="1"/>
    </row>
    <row r="363" spans="2:6">
      <c r="B363" s="48">
        <v>281</v>
      </c>
      <c r="C363" s="1"/>
      <c r="D363" s="1"/>
      <c r="E363" s="1"/>
      <c r="F363" s="1"/>
    </row>
    <row r="364" spans="2:6">
      <c r="B364" s="48">
        <v>282</v>
      </c>
      <c r="C364" s="1"/>
      <c r="D364" s="1"/>
      <c r="E364" s="1"/>
      <c r="F364" s="1"/>
    </row>
    <row r="365" spans="2:6">
      <c r="B365" s="48">
        <v>283</v>
      </c>
      <c r="C365" s="1"/>
      <c r="D365" s="1"/>
      <c r="E365" s="1"/>
      <c r="F365" s="1"/>
    </row>
    <row r="366" spans="2:6">
      <c r="B366" s="48">
        <v>284</v>
      </c>
      <c r="C366" s="1"/>
      <c r="D366" s="1"/>
      <c r="E366" s="1"/>
      <c r="F366" s="1"/>
    </row>
    <row r="367" spans="2:6">
      <c r="B367" s="48">
        <v>285</v>
      </c>
      <c r="C367" s="1"/>
      <c r="D367" s="1"/>
      <c r="E367" s="1"/>
      <c r="F367" s="1"/>
    </row>
    <row r="368" spans="2:6">
      <c r="B368" s="48">
        <v>286</v>
      </c>
      <c r="C368" s="1"/>
      <c r="D368" s="1"/>
      <c r="E368" s="1"/>
      <c r="F368" s="1"/>
    </row>
    <row r="369" spans="2:6">
      <c r="B369" s="48">
        <v>287</v>
      </c>
      <c r="C369" s="1"/>
      <c r="D369" s="1"/>
      <c r="E369" s="1"/>
      <c r="F369" s="1"/>
    </row>
    <row r="370" spans="2:6">
      <c r="B370" s="48">
        <v>288</v>
      </c>
      <c r="C370" s="1"/>
      <c r="D370" s="1"/>
      <c r="E370" s="1"/>
      <c r="F370" s="1"/>
    </row>
    <row r="371" spans="2:6">
      <c r="B371" s="48">
        <v>289</v>
      </c>
      <c r="C371" s="1"/>
      <c r="D371" s="1"/>
      <c r="E371" s="1"/>
      <c r="F371" s="1"/>
    </row>
    <row r="372" spans="2:6">
      <c r="B372" s="48">
        <v>290</v>
      </c>
      <c r="C372" s="1"/>
      <c r="D372" s="1"/>
      <c r="E372" s="1"/>
      <c r="F372" s="1"/>
    </row>
    <row r="373" spans="2:6">
      <c r="B373" s="48">
        <v>291</v>
      </c>
      <c r="C373" s="1"/>
      <c r="D373" s="1"/>
      <c r="E373" s="1"/>
      <c r="F373" s="1"/>
    </row>
    <row r="374" spans="2:6">
      <c r="B374" s="48">
        <v>292</v>
      </c>
      <c r="C374" s="1"/>
      <c r="D374" s="1"/>
      <c r="E374" s="1"/>
      <c r="F374" s="1"/>
    </row>
    <row r="375" spans="2:6">
      <c r="B375" s="48">
        <v>293</v>
      </c>
      <c r="C375" s="1"/>
      <c r="D375" s="1"/>
      <c r="E375" s="1"/>
      <c r="F375" s="1"/>
    </row>
    <row r="376" spans="2:6">
      <c r="B376" s="48">
        <v>294</v>
      </c>
      <c r="C376" s="1"/>
      <c r="D376" s="1"/>
      <c r="E376" s="1"/>
      <c r="F376" s="1"/>
    </row>
    <row r="377" spans="2:6">
      <c r="B377" s="48">
        <v>295</v>
      </c>
      <c r="C377" s="1"/>
      <c r="D377" s="1"/>
      <c r="E377" s="1"/>
      <c r="F377" s="1"/>
    </row>
    <row r="378" spans="2:6">
      <c r="B378" s="48">
        <v>296</v>
      </c>
      <c r="C378" s="1"/>
      <c r="D378" s="1"/>
      <c r="E378" s="1"/>
      <c r="F378" s="1"/>
    </row>
    <row r="379" spans="2:6">
      <c r="B379" s="48">
        <v>297</v>
      </c>
      <c r="C379" s="1"/>
      <c r="D379" s="1"/>
      <c r="E379" s="1"/>
      <c r="F379" s="1"/>
    </row>
    <row r="380" spans="2:6">
      <c r="B380" s="48">
        <v>298</v>
      </c>
      <c r="C380" s="1"/>
      <c r="D380" s="1"/>
      <c r="E380" s="1"/>
      <c r="F380" s="1"/>
    </row>
    <row r="381" spans="2:6">
      <c r="B381" s="48">
        <v>299</v>
      </c>
      <c r="C381" s="1"/>
      <c r="D381" s="1"/>
      <c r="E381" s="1"/>
      <c r="F381" s="1"/>
    </row>
    <row r="382" spans="2:6">
      <c r="B382" s="48">
        <v>300</v>
      </c>
      <c r="C382" s="1"/>
      <c r="D382" s="1"/>
      <c r="E382" s="1"/>
      <c r="F382" s="1"/>
    </row>
    <row r="383" spans="2:6">
      <c r="B383" s="48">
        <v>301</v>
      </c>
      <c r="C383" s="1"/>
      <c r="D383" s="1"/>
      <c r="E383" s="1"/>
      <c r="F383" s="1"/>
    </row>
    <row r="384" spans="2:6">
      <c r="B384" s="48">
        <v>302</v>
      </c>
      <c r="C384" s="1"/>
      <c r="D384" s="1"/>
      <c r="E384" s="1"/>
      <c r="F384" s="1"/>
    </row>
    <row r="385" spans="2:6">
      <c r="B385" s="48">
        <v>303</v>
      </c>
      <c r="C385" s="1"/>
      <c r="D385" s="1"/>
      <c r="E385" s="1"/>
      <c r="F385" s="1"/>
    </row>
    <row r="386" spans="2:6">
      <c r="B386" s="48">
        <v>304</v>
      </c>
      <c r="C386" s="1"/>
      <c r="D386" s="1"/>
      <c r="E386" s="1"/>
      <c r="F386" s="1"/>
    </row>
    <row r="387" spans="2:6">
      <c r="B387" s="48">
        <v>305</v>
      </c>
      <c r="C387" s="1"/>
      <c r="D387" s="1"/>
      <c r="E387" s="1"/>
      <c r="F387" s="1"/>
    </row>
    <row r="388" spans="2:6">
      <c r="B388" s="48">
        <v>306</v>
      </c>
      <c r="C388" s="1"/>
      <c r="D388" s="1"/>
      <c r="E388" s="1"/>
      <c r="F388" s="1"/>
    </row>
    <row r="389" spans="2:6">
      <c r="B389" s="48">
        <v>307</v>
      </c>
      <c r="C389" s="1"/>
      <c r="D389" s="1"/>
      <c r="E389" s="1"/>
      <c r="F389" s="1"/>
    </row>
    <row r="390" spans="2:6">
      <c r="B390" s="48">
        <v>308</v>
      </c>
      <c r="C390" s="1"/>
      <c r="D390" s="1"/>
      <c r="E390" s="1"/>
      <c r="F390" s="1"/>
    </row>
    <row r="391" spans="2:6">
      <c r="B391" s="48">
        <v>309</v>
      </c>
      <c r="C391" s="1"/>
      <c r="D391" s="1"/>
      <c r="E391" s="1"/>
      <c r="F391" s="1"/>
    </row>
    <row r="392" spans="2:6">
      <c r="B392" s="48">
        <v>310</v>
      </c>
      <c r="C392" s="1"/>
      <c r="D392" s="1"/>
      <c r="E392" s="1"/>
      <c r="F392" s="1"/>
    </row>
    <row r="393" spans="2:6">
      <c r="B393" s="48">
        <v>311</v>
      </c>
      <c r="C393" s="1"/>
      <c r="D393" s="1"/>
      <c r="E393" s="1"/>
      <c r="F393" s="1"/>
    </row>
    <row r="394" spans="2:6">
      <c r="B394" s="48">
        <v>312</v>
      </c>
      <c r="C394" s="1"/>
      <c r="D394" s="1"/>
      <c r="E394" s="1"/>
      <c r="F394" s="1"/>
    </row>
    <row r="395" spans="2:6">
      <c r="B395" s="48">
        <v>313</v>
      </c>
      <c r="C395" s="1"/>
      <c r="D395" s="1"/>
      <c r="E395" s="1"/>
      <c r="F395" s="1"/>
    </row>
    <row r="396" spans="2:6">
      <c r="B396" s="48">
        <v>314</v>
      </c>
      <c r="C396" s="1"/>
      <c r="D396" s="1"/>
      <c r="E396" s="1"/>
      <c r="F396" s="1"/>
    </row>
    <row r="397" spans="2:6">
      <c r="B397" s="48">
        <v>315</v>
      </c>
      <c r="C397" s="1"/>
      <c r="D397" s="1"/>
      <c r="E397" s="1"/>
      <c r="F397" s="1"/>
    </row>
    <row r="398" spans="2:6">
      <c r="B398" s="48">
        <v>316</v>
      </c>
      <c r="C398" s="1"/>
      <c r="D398" s="1"/>
      <c r="E398" s="1"/>
      <c r="F398" s="1"/>
    </row>
    <row r="399" spans="2:6">
      <c r="B399" s="48">
        <v>317</v>
      </c>
      <c r="C399" s="1"/>
      <c r="D399" s="1"/>
      <c r="E399" s="1"/>
      <c r="F399" s="1"/>
    </row>
    <row r="400" spans="2:6">
      <c r="B400" s="48">
        <v>318</v>
      </c>
      <c r="C400" s="1"/>
      <c r="D400" s="1"/>
      <c r="E400" s="1"/>
      <c r="F400" s="1"/>
    </row>
    <row r="401" spans="2:6">
      <c r="B401" s="48">
        <v>319</v>
      </c>
      <c r="C401" s="1"/>
      <c r="D401" s="1"/>
      <c r="E401" s="1"/>
      <c r="F401" s="1"/>
    </row>
    <row r="402" spans="2:6">
      <c r="B402" s="48">
        <v>320</v>
      </c>
      <c r="C402" s="1"/>
      <c r="D402" s="1"/>
      <c r="E402" s="1"/>
      <c r="F402" s="1"/>
    </row>
    <row r="403" spans="2:6">
      <c r="B403" s="1"/>
      <c r="C403" s="1"/>
      <c r="D403" s="1"/>
      <c r="E403" s="1"/>
      <c r="F403" s="1"/>
    </row>
    <row r="404" spans="2:6">
      <c r="B404" s="1"/>
      <c r="C404" s="1"/>
      <c r="D404" s="1"/>
      <c r="E404" s="1"/>
      <c r="F404" s="1"/>
    </row>
    <row r="405" spans="2:6">
      <c r="B405" s="646" t="s">
        <v>112</v>
      </c>
      <c r="C405" s="646"/>
      <c r="D405" s="646"/>
      <c r="E405" s="1"/>
      <c r="F405" s="1"/>
    </row>
    <row r="406" spans="2:6">
      <c r="B406" s="122" t="s">
        <v>113</v>
      </c>
      <c r="C406" s="122" t="s">
        <v>114</v>
      </c>
      <c r="D406" s="122" t="s">
        <v>115</v>
      </c>
      <c r="E406" s="1"/>
      <c r="F406" s="1"/>
    </row>
    <row r="407" spans="2:6">
      <c r="B407" s="49">
        <v>88</v>
      </c>
      <c r="C407" s="50">
        <v>39477</v>
      </c>
      <c r="D407" s="50">
        <v>39483</v>
      </c>
      <c r="E407" s="1"/>
      <c r="F407" s="1"/>
    </row>
    <row r="408" spans="2:6">
      <c r="B408" s="49">
        <v>89</v>
      </c>
      <c r="C408" s="50">
        <f>D407+1</f>
        <v>39484</v>
      </c>
      <c r="D408" s="50">
        <f>D407+7</f>
        <v>39490</v>
      </c>
      <c r="E408" s="1"/>
      <c r="F408" s="1"/>
    </row>
    <row r="409" spans="2:6">
      <c r="B409" s="49">
        <v>90</v>
      </c>
      <c r="C409" s="50">
        <f t="shared" ref="C409:C472" si="3">D408+1</f>
        <v>39491</v>
      </c>
      <c r="D409" s="50">
        <f t="shared" ref="D409:D472" si="4">D408+7</f>
        <v>39497</v>
      </c>
      <c r="E409" s="1"/>
      <c r="F409" s="1"/>
    </row>
    <row r="410" spans="2:6">
      <c r="B410" s="49">
        <v>91</v>
      </c>
      <c r="C410" s="50">
        <f t="shared" si="3"/>
        <v>39498</v>
      </c>
      <c r="D410" s="50">
        <f t="shared" si="4"/>
        <v>39504</v>
      </c>
      <c r="E410" s="1"/>
      <c r="F410" s="1"/>
    </row>
    <row r="411" spans="2:6">
      <c r="B411" s="49">
        <v>92</v>
      </c>
      <c r="C411" s="50">
        <f t="shared" si="3"/>
        <v>39505</v>
      </c>
      <c r="D411" s="50">
        <f t="shared" si="4"/>
        <v>39511</v>
      </c>
      <c r="E411" s="1"/>
      <c r="F411" s="1"/>
    </row>
    <row r="412" spans="2:6">
      <c r="B412" s="49">
        <v>93</v>
      </c>
      <c r="C412" s="50">
        <f t="shared" si="3"/>
        <v>39512</v>
      </c>
      <c r="D412" s="50">
        <f t="shared" si="4"/>
        <v>39518</v>
      </c>
      <c r="E412" s="1"/>
      <c r="F412" s="1"/>
    </row>
    <row r="413" spans="2:6">
      <c r="B413" s="49">
        <v>94</v>
      </c>
      <c r="C413" s="50">
        <f t="shared" si="3"/>
        <v>39519</v>
      </c>
      <c r="D413" s="50">
        <f t="shared" si="4"/>
        <v>39525</v>
      </c>
      <c r="E413" s="1"/>
      <c r="F413" s="1"/>
    </row>
    <row r="414" spans="2:6">
      <c r="B414" s="49">
        <v>95</v>
      </c>
      <c r="C414" s="50">
        <f t="shared" si="3"/>
        <v>39526</v>
      </c>
      <c r="D414" s="50">
        <f t="shared" si="4"/>
        <v>39532</v>
      </c>
      <c r="E414" s="1"/>
      <c r="F414" s="1"/>
    </row>
    <row r="415" spans="2:6">
      <c r="B415" s="49">
        <v>96</v>
      </c>
      <c r="C415" s="50">
        <f t="shared" si="3"/>
        <v>39533</v>
      </c>
      <c r="D415" s="50">
        <f t="shared" si="4"/>
        <v>39539</v>
      </c>
      <c r="E415" s="1"/>
      <c r="F415" s="1"/>
    </row>
    <row r="416" spans="2:6">
      <c r="B416" s="49">
        <v>97</v>
      </c>
      <c r="C416" s="50">
        <f t="shared" si="3"/>
        <v>39540</v>
      </c>
      <c r="D416" s="50">
        <f t="shared" si="4"/>
        <v>39546</v>
      </c>
      <c r="E416" s="1"/>
      <c r="F416" s="1"/>
    </row>
    <row r="417" spans="2:6">
      <c r="B417" s="49">
        <v>98</v>
      </c>
      <c r="C417" s="50">
        <f t="shared" si="3"/>
        <v>39547</v>
      </c>
      <c r="D417" s="50">
        <f t="shared" si="4"/>
        <v>39553</v>
      </c>
      <c r="E417" s="1"/>
      <c r="F417" s="1"/>
    </row>
    <row r="418" spans="2:6">
      <c r="B418" s="49">
        <v>99</v>
      </c>
      <c r="C418" s="50">
        <f t="shared" si="3"/>
        <v>39554</v>
      </c>
      <c r="D418" s="50">
        <f t="shared" si="4"/>
        <v>39560</v>
      </c>
      <c r="E418" s="1"/>
      <c r="F418" s="1"/>
    </row>
    <row r="419" spans="2:6">
      <c r="B419" s="49">
        <v>100</v>
      </c>
      <c r="C419" s="50">
        <f t="shared" si="3"/>
        <v>39561</v>
      </c>
      <c r="D419" s="50">
        <f t="shared" si="4"/>
        <v>39567</v>
      </c>
      <c r="E419" s="1"/>
      <c r="F419" s="1"/>
    </row>
    <row r="420" spans="2:6">
      <c r="B420" s="49">
        <v>101</v>
      </c>
      <c r="C420" s="50">
        <f t="shared" si="3"/>
        <v>39568</v>
      </c>
      <c r="D420" s="50">
        <f t="shared" si="4"/>
        <v>39574</v>
      </c>
      <c r="E420" s="1"/>
      <c r="F420" s="1"/>
    </row>
    <row r="421" spans="2:6">
      <c r="B421" s="49">
        <v>102</v>
      </c>
      <c r="C421" s="50">
        <f t="shared" si="3"/>
        <v>39575</v>
      </c>
      <c r="D421" s="50">
        <f t="shared" si="4"/>
        <v>39581</v>
      </c>
      <c r="E421" s="1"/>
      <c r="F421" s="1"/>
    </row>
    <row r="422" spans="2:6">
      <c r="B422" s="49">
        <v>103</v>
      </c>
      <c r="C422" s="50">
        <f t="shared" si="3"/>
        <v>39582</v>
      </c>
      <c r="D422" s="50">
        <f t="shared" si="4"/>
        <v>39588</v>
      </c>
      <c r="E422" s="1"/>
      <c r="F422" s="1"/>
    </row>
    <row r="423" spans="2:6">
      <c r="B423" s="49">
        <v>104</v>
      </c>
      <c r="C423" s="50">
        <f t="shared" si="3"/>
        <v>39589</v>
      </c>
      <c r="D423" s="50">
        <f t="shared" si="4"/>
        <v>39595</v>
      </c>
      <c r="E423" s="1"/>
      <c r="F423" s="1"/>
    </row>
    <row r="424" spans="2:6">
      <c r="B424" s="49">
        <v>105</v>
      </c>
      <c r="C424" s="50">
        <f t="shared" si="3"/>
        <v>39596</v>
      </c>
      <c r="D424" s="50">
        <f t="shared" si="4"/>
        <v>39602</v>
      </c>
      <c r="E424" s="1"/>
      <c r="F424" s="1"/>
    </row>
    <row r="425" spans="2:6">
      <c r="B425" s="49">
        <v>106</v>
      </c>
      <c r="C425" s="50">
        <f t="shared" si="3"/>
        <v>39603</v>
      </c>
      <c r="D425" s="50">
        <f t="shared" si="4"/>
        <v>39609</v>
      </c>
      <c r="E425" s="1"/>
      <c r="F425" s="1"/>
    </row>
    <row r="426" spans="2:6">
      <c r="B426" s="49">
        <v>107</v>
      </c>
      <c r="C426" s="50">
        <f t="shared" si="3"/>
        <v>39610</v>
      </c>
      <c r="D426" s="50">
        <f t="shared" si="4"/>
        <v>39616</v>
      </c>
      <c r="E426" s="1"/>
      <c r="F426" s="1"/>
    </row>
    <row r="427" spans="2:6">
      <c r="B427" s="49">
        <v>108</v>
      </c>
      <c r="C427" s="50">
        <f t="shared" si="3"/>
        <v>39617</v>
      </c>
      <c r="D427" s="50">
        <f t="shared" si="4"/>
        <v>39623</v>
      </c>
      <c r="E427" s="1"/>
      <c r="F427" s="1"/>
    </row>
    <row r="428" spans="2:6">
      <c r="B428" s="49">
        <v>109</v>
      </c>
      <c r="C428" s="50">
        <f t="shared" si="3"/>
        <v>39624</v>
      </c>
      <c r="D428" s="50">
        <f t="shared" si="4"/>
        <v>39630</v>
      </c>
      <c r="E428" s="1"/>
      <c r="F428" s="1"/>
    </row>
    <row r="429" spans="2:6">
      <c r="B429" s="49">
        <v>110</v>
      </c>
      <c r="C429" s="50">
        <f t="shared" si="3"/>
        <v>39631</v>
      </c>
      <c r="D429" s="50">
        <f t="shared" si="4"/>
        <v>39637</v>
      </c>
      <c r="E429" s="1"/>
      <c r="F429" s="1"/>
    </row>
    <row r="430" spans="2:6">
      <c r="B430" s="49">
        <v>111</v>
      </c>
      <c r="C430" s="50">
        <f t="shared" si="3"/>
        <v>39638</v>
      </c>
      <c r="D430" s="50">
        <f t="shared" si="4"/>
        <v>39644</v>
      </c>
      <c r="E430" s="1"/>
      <c r="F430" s="1"/>
    </row>
    <row r="431" spans="2:6">
      <c r="B431" s="49">
        <v>112</v>
      </c>
      <c r="C431" s="50">
        <f t="shared" si="3"/>
        <v>39645</v>
      </c>
      <c r="D431" s="50">
        <f t="shared" si="4"/>
        <v>39651</v>
      </c>
      <c r="E431" s="1"/>
      <c r="F431" s="1"/>
    </row>
    <row r="432" spans="2:6">
      <c r="B432" s="49">
        <v>113</v>
      </c>
      <c r="C432" s="50">
        <f t="shared" si="3"/>
        <v>39652</v>
      </c>
      <c r="D432" s="50">
        <f t="shared" si="4"/>
        <v>39658</v>
      </c>
      <c r="E432" s="1"/>
      <c r="F432" s="1"/>
    </row>
    <row r="433" spans="2:6">
      <c r="B433" s="49">
        <v>114</v>
      </c>
      <c r="C433" s="50">
        <f t="shared" si="3"/>
        <v>39659</v>
      </c>
      <c r="D433" s="50">
        <f t="shared" si="4"/>
        <v>39665</v>
      </c>
      <c r="E433" s="1"/>
      <c r="F433" s="1"/>
    </row>
    <row r="434" spans="2:6">
      <c r="B434" s="49">
        <v>115</v>
      </c>
      <c r="C434" s="50">
        <f t="shared" si="3"/>
        <v>39666</v>
      </c>
      <c r="D434" s="50">
        <f t="shared" si="4"/>
        <v>39672</v>
      </c>
      <c r="E434" s="1"/>
      <c r="F434" s="1"/>
    </row>
    <row r="435" spans="2:6">
      <c r="B435" s="49">
        <v>116</v>
      </c>
      <c r="C435" s="50">
        <f t="shared" si="3"/>
        <v>39673</v>
      </c>
      <c r="D435" s="50">
        <f t="shared" si="4"/>
        <v>39679</v>
      </c>
      <c r="E435" s="1"/>
      <c r="F435" s="1"/>
    </row>
    <row r="436" spans="2:6">
      <c r="B436" s="49">
        <v>117</v>
      </c>
      <c r="C436" s="50">
        <f t="shared" si="3"/>
        <v>39680</v>
      </c>
      <c r="D436" s="50">
        <f t="shared" si="4"/>
        <v>39686</v>
      </c>
      <c r="E436" s="1"/>
      <c r="F436" s="1"/>
    </row>
    <row r="437" spans="2:6">
      <c r="B437" s="49">
        <v>118</v>
      </c>
      <c r="C437" s="50">
        <f t="shared" si="3"/>
        <v>39687</v>
      </c>
      <c r="D437" s="50">
        <f t="shared" si="4"/>
        <v>39693</v>
      </c>
      <c r="E437" s="1"/>
      <c r="F437" s="1"/>
    </row>
    <row r="438" spans="2:6">
      <c r="B438" s="49">
        <v>119</v>
      </c>
      <c r="C438" s="50">
        <f t="shared" si="3"/>
        <v>39694</v>
      </c>
      <c r="D438" s="50">
        <f t="shared" si="4"/>
        <v>39700</v>
      </c>
      <c r="E438" s="1"/>
      <c r="F438" s="1"/>
    </row>
    <row r="439" spans="2:6">
      <c r="B439" s="49">
        <v>120</v>
      </c>
      <c r="C439" s="50">
        <f t="shared" si="3"/>
        <v>39701</v>
      </c>
      <c r="D439" s="50">
        <f t="shared" si="4"/>
        <v>39707</v>
      </c>
      <c r="E439" s="1"/>
      <c r="F439" s="1"/>
    </row>
    <row r="440" spans="2:6">
      <c r="B440" s="49">
        <v>121</v>
      </c>
      <c r="C440" s="50">
        <f t="shared" si="3"/>
        <v>39708</v>
      </c>
      <c r="D440" s="50">
        <f t="shared" si="4"/>
        <v>39714</v>
      </c>
      <c r="E440" s="1"/>
      <c r="F440" s="1"/>
    </row>
    <row r="441" spans="2:6">
      <c r="B441" s="49">
        <v>122</v>
      </c>
      <c r="C441" s="50">
        <f t="shared" si="3"/>
        <v>39715</v>
      </c>
      <c r="D441" s="50">
        <f t="shared" si="4"/>
        <v>39721</v>
      </c>
      <c r="E441" s="1"/>
      <c r="F441" s="1"/>
    </row>
    <row r="442" spans="2:6">
      <c r="B442" s="49">
        <v>123</v>
      </c>
      <c r="C442" s="50">
        <f t="shared" si="3"/>
        <v>39722</v>
      </c>
      <c r="D442" s="50">
        <f t="shared" si="4"/>
        <v>39728</v>
      </c>
      <c r="E442" s="1"/>
      <c r="F442" s="1"/>
    </row>
    <row r="443" spans="2:6">
      <c r="B443" s="49">
        <v>124</v>
      </c>
      <c r="C443" s="50">
        <f t="shared" si="3"/>
        <v>39729</v>
      </c>
      <c r="D443" s="50">
        <f t="shared" si="4"/>
        <v>39735</v>
      </c>
      <c r="E443" s="1"/>
      <c r="F443" s="1"/>
    </row>
    <row r="444" spans="2:6">
      <c r="B444" s="49">
        <v>125</v>
      </c>
      <c r="C444" s="50">
        <f t="shared" si="3"/>
        <v>39736</v>
      </c>
      <c r="D444" s="50">
        <f t="shared" si="4"/>
        <v>39742</v>
      </c>
      <c r="E444" s="1"/>
      <c r="F444" s="1"/>
    </row>
    <row r="445" spans="2:6">
      <c r="B445" s="49">
        <v>126</v>
      </c>
      <c r="C445" s="50">
        <f t="shared" si="3"/>
        <v>39743</v>
      </c>
      <c r="D445" s="50">
        <f t="shared" si="4"/>
        <v>39749</v>
      </c>
      <c r="E445" s="1"/>
      <c r="F445" s="1"/>
    </row>
    <row r="446" spans="2:6">
      <c r="B446" s="49">
        <v>127</v>
      </c>
      <c r="C446" s="50">
        <f t="shared" si="3"/>
        <v>39750</v>
      </c>
      <c r="D446" s="50">
        <f t="shared" si="4"/>
        <v>39756</v>
      </c>
      <c r="E446" s="1"/>
      <c r="F446" s="1"/>
    </row>
    <row r="447" spans="2:6">
      <c r="B447" s="49">
        <v>128</v>
      </c>
      <c r="C447" s="50">
        <f t="shared" si="3"/>
        <v>39757</v>
      </c>
      <c r="D447" s="50">
        <f t="shared" si="4"/>
        <v>39763</v>
      </c>
      <c r="E447" s="1"/>
      <c r="F447" s="1"/>
    </row>
    <row r="448" spans="2:6">
      <c r="B448" s="49">
        <v>129</v>
      </c>
      <c r="C448" s="50">
        <f t="shared" si="3"/>
        <v>39764</v>
      </c>
      <c r="D448" s="50">
        <f t="shared" si="4"/>
        <v>39770</v>
      </c>
      <c r="E448" s="1"/>
      <c r="F448" s="1"/>
    </row>
    <row r="449" spans="2:6">
      <c r="B449" s="49">
        <v>130</v>
      </c>
      <c r="C449" s="50">
        <f t="shared" si="3"/>
        <v>39771</v>
      </c>
      <c r="D449" s="50">
        <f t="shared" si="4"/>
        <v>39777</v>
      </c>
      <c r="E449" s="1"/>
      <c r="F449" s="1"/>
    </row>
    <row r="450" spans="2:6">
      <c r="B450" s="49">
        <v>131</v>
      </c>
      <c r="C450" s="50">
        <f t="shared" si="3"/>
        <v>39778</v>
      </c>
      <c r="D450" s="50">
        <f t="shared" si="4"/>
        <v>39784</v>
      </c>
      <c r="E450" s="1"/>
      <c r="F450" s="1"/>
    </row>
    <row r="451" spans="2:6">
      <c r="B451" s="49">
        <v>132</v>
      </c>
      <c r="C451" s="50">
        <f t="shared" si="3"/>
        <v>39785</v>
      </c>
      <c r="D451" s="50">
        <f t="shared" si="4"/>
        <v>39791</v>
      </c>
      <c r="E451" s="1"/>
      <c r="F451" s="1"/>
    </row>
    <row r="452" spans="2:6">
      <c r="B452" s="49">
        <v>133</v>
      </c>
      <c r="C452" s="50">
        <f t="shared" si="3"/>
        <v>39792</v>
      </c>
      <c r="D452" s="50">
        <f t="shared" si="4"/>
        <v>39798</v>
      </c>
      <c r="E452" s="1"/>
      <c r="F452" s="1"/>
    </row>
    <row r="453" spans="2:6">
      <c r="B453" s="49">
        <v>134</v>
      </c>
      <c r="C453" s="50">
        <f t="shared" si="3"/>
        <v>39799</v>
      </c>
      <c r="D453" s="50">
        <f t="shared" si="4"/>
        <v>39805</v>
      </c>
      <c r="E453" s="1"/>
      <c r="F453" s="1"/>
    </row>
    <row r="454" spans="2:6">
      <c r="B454" s="49">
        <v>135</v>
      </c>
      <c r="C454" s="50">
        <f t="shared" si="3"/>
        <v>39806</v>
      </c>
      <c r="D454" s="50">
        <f t="shared" si="4"/>
        <v>39812</v>
      </c>
      <c r="E454" s="1"/>
      <c r="F454" s="1"/>
    </row>
    <row r="455" spans="2:6">
      <c r="B455" s="49">
        <v>136</v>
      </c>
      <c r="C455" s="50">
        <f t="shared" si="3"/>
        <v>39813</v>
      </c>
      <c r="D455" s="50">
        <f t="shared" si="4"/>
        <v>39819</v>
      </c>
      <c r="E455" s="1"/>
      <c r="F455" s="1"/>
    </row>
    <row r="456" spans="2:6">
      <c r="B456" s="49">
        <v>137</v>
      </c>
      <c r="C456" s="50">
        <f t="shared" si="3"/>
        <v>39820</v>
      </c>
      <c r="D456" s="50">
        <f t="shared" si="4"/>
        <v>39826</v>
      </c>
      <c r="E456" s="1"/>
      <c r="F456" s="1"/>
    </row>
    <row r="457" spans="2:6">
      <c r="B457" s="49">
        <v>138</v>
      </c>
      <c r="C457" s="50">
        <f t="shared" si="3"/>
        <v>39827</v>
      </c>
      <c r="D457" s="50">
        <f t="shared" si="4"/>
        <v>39833</v>
      </c>
      <c r="E457" s="1"/>
      <c r="F457" s="1"/>
    </row>
    <row r="458" spans="2:6">
      <c r="B458" s="49">
        <v>139</v>
      </c>
      <c r="C458" s="50">
        <f t="shared" si="3"/>
        <v>39834</v>
      </c>
      <c r="D458" s="50">
        <f t="shared" si="4"/>
        <v>39840</v>
      </c>
      <c r="E458" s="1"/>
      <c r="F458" s="1"/>
    </row>
    <row r="459" spans="2:6">
      <c r="B459" s="49">
        <v>140</v>
      </c>
      <c r="C459" s="50">
        <f t="shared" si="3"/>
        <v>39841</v>
      </c>
      <c r="D459" s="50">
        <f t="shared" si="4"/>
        <v>39847</v>
      </c>
      <c r="E459" s="1"/>
      <c r="F459" s="1"/>
    </row>
    <row r="460" spans="2:6">
      <c r="B460" s="49">
        <v>141</v>
      </c>
      <c r="C460" s="50">
        <f t="shared" si="3"/>
        <v>39848</v>
      </c>
      <c r="D460" s="50">
        <f t="shared" si="4"/>
        <v>39854</v>
      </c>
      <c r="E460" s="1"/>
      <c r="F460" s="1"/>
    </row>
    <row r="461" spans="2:6">
      <c r="B461" s="49">
        <v>142</v>
      </c>
      <c r="C461" s="50">
        <f t="shared" si="3"/>
        <v>39855</v>
      </c>
      <c r="D461" s="50">
        <f t="shared" si="4"/>
        <v>39861</v>
      </c>
      <c r="E461" s="1"/>
      <c r="F461" s="1"/>
    </row>
    <row r="462" spans="2:6">
      <c r="B462" s="49">
        <v>143</v>
      </c>
      <c r="C462" s="50">
        <f t="shared" si="3"/>
        <v>39862</v>
      </c>
      <c r="D462" s="50">
        <f t="shared" si="4"/>
        <v>39868</v>
      </c>
      <c r="E462" s="1"/>
      <c r="F462" s="1"/>
    </row>
    <row r="463" spans="2:6">
      <c r="B463" s="49">
        <v>144</v>
      </c>
      <c r="C463" s="50">
        <f t="shared" si="3"/>
        <v>39869</v>
      </c>
      <c r="D463" s="50">
        <f t="shared" si="4"/>
        <v>39875</v>
      </c>
      <c r="E463" s="1"/>
      <c r="F463" s="1"/>
    </row>
    <row r="464" spans="2:6">
      <c r="B464" s="49">
        <v>145</v>
      </c>
      <c r="C464" s="50">
        <f t="shared" si="3"/>
        <v>39876</v>
      </c>
      <c r="D464" s="50">
        <f t="shared" si="4"/>
        <v>39882</v>
      </c>
      <c r="E464" s="1"/>
      <c r="F464" s="1"/>
    </row>
    <row r="465" spans="2:6">
      <c r="B465" s="49">
        <v>146</v>
      </c>
      <c r="C465" s="50">
        <f t="shared" si="3"/>
        <v>39883</v>
      </c>
      <c r="D465" s="50">
        <f t="shared" si="4"/>
        <v>39889</v>
      </c>
      <c r="E465" s="1"/>
      <c r="F465" s="1"/>
    </row>
    <row r="466" spans="2:6">
      <c r="B466" s="49">
        <v>147</v>
      </c>
      <c r="C466" s="50">
        <f t="shared" si="3"/>
        <v>39890</v>
      </c>
      <c r="D466" s="50">
        <f t="shared" si="4"/>
        <v>39896</v>
      </c>
      <c r="E466" s="1"/>
      <c r="F466" s="1"/>
    </row>
    <row r="467" spans="2:6">
      <c r="B467" s="49">
        <v>148</v>
      </c>
      <c r="C467" s="50">
        <f t="shared" si="3"/>
        <v>39897</v>
      </c>
      <c r="D467" s="50">
        <f t="shared" si="4"/>
        <v>39903</v>
      </c>
      <c r="E467" s="1"/>
      <c r="F467" s="1"/>
    </row>
    <row r="468" spans="2:6">
      <c r="B468" s="49">
        <v>149</v>
      </c>
      <c r="C468" s="50">
        <f t="shared" si="3"/>
        <v>39904</v>
      </c>
      <c r="D468" s="50">
        <f t="shared" si="4"/>
        <v>39910</v>
      </c>
      <c r="E468" s="1"/>
      <c r="F468" s="1"/>
    </row>
    <row r="469" spans="2:6">
      <c r="B469" s="49">
        <v>150</v>
      </c>
      <c r="C469" s="50">
        <f t="shared" si="3"/>
        <v>39911</v>
      </c>
      <c r="D469" s="50">
        <f t="shared" si="4"/>
        <v>39917</v>
      </c>
      <c r="E469" s="1"/>
      <c r="F469" s="1"/>
    </row>
    <row r="470" spans="2:6">
      <c r="B470" s="49">
        <v>151</v>
      </c>
      <c r="C470" s="50">
        <f t="shared" si="3"/>
        <v>39918</v>
      </c>
      <c r="D470" s="50">
        <f t="shared" si="4"/>
        <v>39924</v>
      </c>
      <c r="E470" s="1"/>
      <c r="F470" s="1"/>
    </row>
    <row r="471" spans="2:6">
      <c r="B471" s="49">
        <v>152</v>
      </c>
      <c r="C471" s="50">
        <f t="shared" si="3"/>
        <v>39925</v>
      </c>
      <c r="D471" s="50">
        <f t="shared" si="4"/>
        <v>39931</v>
      </c>
      <c r="E471" s="1"/>
      <c r="F471" s="1"/>
    </row>
    <row r="472" spans="2:6">
      <c r="B472" s="49">
        <v>153</v>
      </c>
      <c r="C472" s="50">
        <f t="shared" si="3"/>
        <v>39932</v>
      </c>
      <c r="D472" s="50">
        <f t="shared" si="4"/>
        <v>39938</v>
      </c>
      <c r="E472" s="1"/>
      <c r="F472" s="1"/>
    </row>
    <row r="473" spans="2:6">
      <c r="B473" s="49">
        <v>154</v>
      </c>
      <c r="C473" s="50">
        <f t="shared" ref="C473:C536" si="5">D472+1</f>
        <v>39939</v>
      </c>
      <c r="D473" s="50">
        <f t="shared" ref="D473:D536" si="6">D472+7</f>
        <v>39945</v>
      </c>
      <c r="E473" s="1"/>
      <c r="F473" s="1"/>
    </row>
    <row r="474" spans="2:6">
      <c r="B474" s="49">
        <v>155</v>
      </c>
      <c r="C474" s="50">
        <f t="shared" si="5"/>
        <v>39946</v>
      </c>
      <c r="D474" s="50">
        <f t="shared" si="6"/>
        <v>39952</v>
      </c>
      <c r="E474" s="1"/>
      <c r="F474" s="1"/>
    </row>
    <row r="475" spans="2:6">
      <c r="B475" s="49">
        <v>156</v>
      </c>
      <c r="C475" s="50">
        <f t="shared" si="5"/>
        <v>39953</v>
      </c>
      <c r="D475" s="50">
        <f t="shared" si="6"/>
        <v>39959</v>
      </c>
      <c r="E475" s="1"/>
      <c r="F475" s="1"/>
    </row>
    <row r="476" spans="2:6">
      <c r="B476" s="49">
        <v>157</v>
      </c>
      <c r="C476" s="50">
        <f t="shared" si="5"/>
        <v>39960</v>
      </c>
      <c r="D476" s="50">
        <f t="shared" si="6"/>
        <v>39966</v>
      </c>
      <c r="E476" s="1"/>
      <c r="F476" s="1"/>
    </row>
    <row r="477" spans="2:6">
      <c r="B477" s="49">
        <v>158</v>
      </c>
      <c r="C477" s="50">
        <f t="shared" si="5"/>
        <v>39967</v>
      </c>
      <c r="D477" s="50">
        <f t="shared" si="6"/>
        <v>39973</v>
      </c>
      <c r="E477" s="1"/>
      <c r="F477" s="1"/>
    </row>
    <row r="478" spans="2:6">
      <c r="B478" s="49">
        <v>159</v>
      </c>
      <c r="C478" s="50">
        <f t="shared" si="5"/>
        <v>39974</v>
      </c>
      <c r="D478" s="50">
        <f t="shared" si="6"/>
        <v>39980</v>
      </c>
      <c r="E478" s="1"/>
      <c r="F478" s="1"/>
    </row>
    <row r="479" spans="2:6">
      <c r="B479" s="49">
        <v>160</v>
      </c>
      <c r="C479" s="50">
        <f t="shared" si="5"/>
        <v>39981</v>
      </c>
      <c r="D479" s="50">
        <f t="shared" si="6"/>
        <v>39987</v>
      </c>
      <c r="E479" s="1"/>
      <c r="F479" s="1"/>
    </row>
    <row r="480" spans="2:6">
      <c r="B480" s="49">
        <v>161</v>
      </c>
      <c r="C480" s="50">
        <f t="shared" si="5"/>
        <v>39988</v>
      </c>
      <c r="D480" s="50">
        <f t="shared" si="6"/>
        <v>39994</v>
      </c>
      <c r="E480" s="1"/>
      <c r="F480" s="1"/>
    </row>
    <row r="481" spans="2:6">
      <c r="B481" s="49">
        <v>162</v>
      </c>
      <c r="C481" s="50">
        <f t="shared" si="5"/>
        <v>39995</v>
      </c>
      <c r="D481" s="50">
        <f t="shared" si="6"/>
        <v>40001</v>
      </c>
      <c r="E481" s="1"/>
      <c r="F481" s="1"/>
    </row>
    <row r="482" spans="2:6">
      <c r="B482" s="49">
        <v>163</v>
      </c>
      <c r="C482" s="50">
        <f t="shared" si="5"/>
        <v>40002</v>
      </c>
      <c r="D482" s="50">
        <f t="shared" si="6"/>
        <v>40008</v>
      </c>
      <c r="E482" s="1"/>
      <c r="F482" s="1"/>
    </row>
    <row r="483" spans="2:6">
      <c r="B483" s="49">
        <v>164</v>
      </c>
      <c r="C483" s="50">
        <f t="shared" si="5"/>
        <v>40009</v>
      </c>
      <c r="D483" s="50">
        <f t="shared" si="6"/>
        <v>40015</v>
      </c>
      <c r="E483" s="1"/>
      <c r="F483" s="1"/>
    </row>
    <row r="484" spans="2:6">
      <c r="B484" s="49">
        <v>165</v>
      </c>
      <c r="C484" s="50">
        <f t="shared" si="5"/>
        <v>40016</v>
      </c>
      <c r="D484" s="50">
        <f>D483+14</f>
        <v>40029</v>
      </c>
      <c r="E484" s="1"/>
      <c r="F484" s="1"/>
    </row>
    <row r="485" spans="2:6">
      <c r="B485" s="49">
        <v>166</v>
      </c>
      <c r="C485" s="50">
        <f t="shared" si="5"/>
        <v>40030</v>
      </c>
      <c r="D485" s="50">
        <f t="shared" si="6"/>
        <v>40036</v>
      </c>
      <c r="E485" s="1"/>
      <c r="F485" s="1"/>
    </row>
    <row r="486" spans="2:6">
      <c r="B486" s="49">
        <v>167</v>
      </c>
      <c r="C486" s="50">
        <f t="shared" si="5"/>
        <v>40037</v>
      </c>
      <c r="D486" s="50">
        <f t="shared" si="6"/>
        <v>40043</v>
      </c>
      <c r="E486" s="1"/>
      <c r="F486" s="1"/>
    </row>
    <row r="487" spans="2:6">
      <c r="B487" s="49">
        <v>168</v>
      </c>
      <c r="C487" s="50">
        <f t="shared" si="5"/>
        <v>40044</v>
      </c>
      <c r="D487" s="50">
        <f t="shared" si="6"/>
        <v>40050</v>
      </c>
      <c r="E487" s="1"/>
      <c r="F487" s="1"/>
    </row>
    <row r="488" spans="2:6">
      <c r="B488" s="49">
        <v>169</v>
      </c>
      <c r="C488" s="50">
        <f t="shared" si="5"/>
        <v>40051</v>
      </c>
      <c r="D488" s="50">
        <f t="shared" si="6"/>
        <v>40057</v>
      </c>
      <c r="E488" s="1"/>
      <c r="F488" s="1"/>
    </row>
    <row r="489" spans="2:6">
      <c r="B489" s="49">
        <v>170</v>
      </c>
      <c r="C489" s="50">
        <f t="shared" si="5"/>
        <v>40058</v>
      </c>
      <c r="D489" s="50">
        <f t="shared" si="6"/>
        <v>40064</v>
      </c>
      <c r="E489" s="1"/>
      <c r="F489" s="1"/>
    </row>
    <row r="490" spans="2:6">
      <c r="B490" s="49">
        <v>171</v>
      </c>
      <c r="C490" s="50">
        <f t="shared" si="5"/>
        <v>40065</v>
      </c>
      <c r="D490" s="50">
        <f t="shared" si="6"/>
        <v>40071</v>
      </c>
      <c r="E490" s="1"/>
      <c r="F490" s="1"/>
    </row>
    <row r="491" spans="2:6">
      <c r="B491" s="49">
        <v>172</v>
      </c>
      <c r="C491" s="50">
        <f t="shared" si="5"/>
        <v>40072</v>
      </c>
      <c r="D491" s="50">
        <f t="shared" si="6"/>
        <v>40078</v>
      </c>
      <c r="E491" s="1"/>
      <c r="F491" s="1"/>
    </row>
    <row r="492" spans="2:6">
      <c r="B492" s="49">
        <v>173</v>
      </c>
      <c r="C492" s="50">
        <f t="shared" si="5"/>
        <v>40079</v>
      </c>
      <c r="D492" s="50">
        <f t="shared" si="6"/>
        <v>40085</v>
      </c>
      <c r="E492" s="1"/>
      <c r="F492" s="1"/>
    </row>
    <row r="493" spans="2:6">
      <c r="B493" s="49">
        <v>174</v>
      </c>
      <c r="C493" s="50">
        <f t="shared" si="5"/>
        <v>40086</v>
      </c>
      <c r="D493" s="50">
        <f t="shared" si="6"/>
        <v>40092</v>
      </c>
      <c r="E493" s="1"/>
      <c r="F493" s="1"/>
    </row>
    <row r="494" spans="2:6">
      <c r="B494" s="49">
        <v>175</v>
      </c>
      <c r="C494" s="50">
        <f t="shared" si="5"/>
        <v>40093</v>
      </c>
      <c r="D494" s="50">
        <f t="shared" si="6"/>
        <v>40099</v>
      </c>
      <c r="E494" s="1"/>
      <c r="F494" s="1"/>
    </row>
    <row r="495" spans="2:6">
      <c r="B495" s="49">
        <v>176</v>
      </c>
      <c r="C495" s="50">
        <f t="shared" si="5"/>
        <v>40100</v>
      </c>
      <c r="D495" s="50">
        <f t="shared" si="6"/>
        <v>40106</v>
      </c>
      <c r="E495" s="1"/>
      <c r="F495" s="1"/>
    </row>
    <row r="496" spans="2:6">
      <c r="B496" s="49">
        <v>177</v>
      </c>
      <c r="C496" s="50">
        <f t="shared" si="5"/>
        <v>40107</v>
      </c>
      <c r="D496" s="50">
        <f t="shared" si="6"/>
        <v>40113</v>
      </c>
      <c r="E496" s="1"/>
      <c r="F496" s="1"/>
    </row>
    <row r="497" spans="2:6">
      <c r="B497" s="49">
        <v>178</v>
      </c>
      <c r="C497" s="50">
        <f t="shared" si="5"/>
        <v>40114</v>
      </c>
      <c r="D497" s="50">
        <f t="shared" si="6"/>
        <v>40120</v>
      </c>
      <c r="E497" s="1"/>
      <c r="F497" s="1"/>
    </row>
    <row r="498" spans="2:6">
      <c r="B498" s="49">
        <v>179</v>
      </c>
      <c r="C498" s="50">
        <f t="shared" si="5"/>
        <v>40121</v>
      </c>
      <c r="D498" s="50">
        <f t="shared" si="6"/>
        <v>40127</v>
      </c>
      <c r="E498" s="1"/>
      <c r="F498" s="1"/>
    </row>
    <row r="499" spans="2:6">
      <c r="B499" s="49">
        <v>180</v>
      </c>
      <c r="C499" s="50">
        <f t="shared" si="5"/>
        <v>40128</v>
      </c>
      <c r="D499" s="50">
        <f t="shared" si="6"/>
        <v>40134</v>
      </c>
      <c r="E499" s="1"/>
      <c r="F499" s="1"/>
    </row>
    <row r="500" spans="2:6">
      <c r="B500" s="49">
        <v>181</v>
      </c>
      <c r="C500" s="50">
        <f t="shared" si="5"/>
        <v>40135</v>
      </c>
      <c r="D500" s="50">
        <f t="shared" si="6"/>
        <v>40141</v>
      </c>
      <c r="E500" s="1"/>
      <c r="F500" s="1"/>
    </row>
    <row r="501" spans="2:6">
      <c r="B501" s="49">
        <v>182</v>
      </c>
      <c r="C501" s="50">
        <f t="shared" si="5"/>
        <v>40142</v>
      </c>
      <c r="D501" s="50">
        <f t="shared" si="6"/>
        <v>40148</v>
      </c>
      <c r="E501" s="1"/>
      <c r="F501" s="1"/>
    </row>
    <row r="502" spans="2:6">
      <c r="B502" s="49">
        <v>183</v>
      </c>
      <c r="C502" s="50">
        <f t="shared" si="5"/>
        <v>40149</v>
      </c>
      <c r="D502" s="50">
        <f t="shared" si="6"/>
        <v>40155</v>
      </c>
      <c r="E502" s="1"/>
      <c r="F502" s="1"/>
    </row>
    <row r="503" spans="2:6">
      <c r="B503" s="49">
        <v>184</v>
      </c>
      <c r="C503" s="50">
        <f t="shared" si="5"/>
        <v>40156</v>
      </c>
      <c r="D503" s="50">
        <f t="shared" si="6"/>
        <v>40162</v>
      </c>
      <c r="E503" s="1"/>
      <c r="F503" s="1"/>
    </row>
    <row r="504" spans="2:6">
      <c r="B504" s="49">
        <v>185</v>
      </c>
      <c r="C504" s="50">
        <f t="shared" si="5"/>
        <v>40163</v>
      </c>
      <c r="D504" s="50">
        <f t="shared" si="6"/>
        <v>40169</v>
      </c>
      <c r="E504" s="1"/>
      <c r="F504" s="1"/>
    </row>
    <row r="505" spans="2:6">
      <c r="B505" s="49">
        <v>186</v>
      </c>
      <c r="C505" s="50">
        <f t="shared" si="5"/>
        <v>40170</v>
      </c>
      <c r="D505" s="50">
        <f t="shared" si="6"/>
        <v>40176</v>
      </c>
      <c r="E505" s="1"/>
      <c r="F505" s="1"/>
    </row>
    <row r="506" spans="2:6">
      <c r="B506" s="49">
        <v>187</v>
      </c>
      <c r="C506" s="50">
        <f t="shared" si="5"/>
        <v>40177</v>
      </c>
      <c r="D506" s="50">
        <f t="shared" si="6"/>
        <v>40183</v>
      </c>
      <c r="E506" s="1"/>
      <c r="F506" s="1"/>
    </row>
    <row r="507" spans="2:6">
      <c r="B507" s="49">
        <v>188</v>
      </c>
      <c r="C507" s="50">
        <f t="shared" si="5"/>
        <v>40184</v>
      </c>
      <c r="D507" s="50">
        <f t="shared" si="6"/>
        <v>40190</v>
      </c>
      <c r="E507" s="1"/>
      <c r="F507" s="1"/>
    </row>
    <row r="508" spans="2:6">
      <c r="B508" s="49">
        <v>189</v>
      </c>
      <c r="C508" s="50">
        <f t="shared" si="5"/>
        <v>40191</v>
      </c>
      <c r="D508" s="50">
        <f t="shared" si="6"/>
        <v>40197</v>
      </c>
      <c r="E508" s="1"/>
      <c r="F508" s="1"/>
    </row>
    <row r="509" spans="2:6">
      <c r="B509" s="49">
        <v>190</v>
      </c>
      <c r="C509" s="50">
        <f t="shared" si="5"/>
        <v>40198</v>
      </c>
      <c r="D509" s="50">
        <f t="shared" si="6"/>
        <v>40204</v>
      </c>
      <c r="E509" s="1"/>
      <c r="F509" s="1"/>
    </row>
    <row r="510" spans="2:6">
      <c r="B510" s="49">
        <v>191</v>
      </c>
      <c r="C510" s="50">
        <f t="shared" si="5"/>
        <v>40205</v>
      </c>
      <c r="D510" s="50">
        <f t="shared" si="6"/>
        <v>40211</v>
      </c>
      <c r="E510" s="1"/>
      <c r="F510" s="1"/>
    </row>
    <row r="511" spans="2:6">
      <c r="B511" s="49">
        <v>192</v>
      </c>
      <c r="C511" s="50">
        <f t="shared" si="5"/>
        <v>40212</v>
      </c>
      <c r="D511" s="50">
        <f t="shared" si="6"/>
        <v>40218</v>
      </c>
      <c r="E511" s="1"/>
      <c r="F511" s="1"/>
    </row>
    <row r="512" spans="2:6">
      <c r="B512" s="49">
        <v>193</v>
      </c>
      <c r="C512" s="50">
        <f t="shared" si="5"/>
        <v>40219</v>
      </c>
      <c r="D512" s="50">
        <f t="shared" si="6"/>
        <v>40225</v>
      </c>
      <c r="E512" s="1"/>
      <c r="F512" s="1"/>
    </row>
    <row r="513" spans="2:6">
      <c r="B513" s="49">
        <v>194</v>
      </c>
      <c r="C513" s="50">
        <f t="shared" si="5"/>
        <v>40226</v>
      </c>
      <c r="D513" s="50">
        <f t="shared" si="6"/>
        <v>40232</v>
      </c>
      <c r="E513" s="1"/>
      <c r="F513" s="1"/>
    </row>
    <row r="514" spans="2:6">
      <c r="B514" s="49">
        <v>195</v>
      </c>
      <c r="C514" s="50">
        <f t="shared" si="5"/>
        <v>40233</v>
      </c>
      <c r="D514" s="50">
        <f t="shared" si="6"/>
        <v>40239</v>
      </c>
      <c r="E514" s="1"/>
      <c r="F514" s="1"/>
    </row>
    <row r="515" spans="2:6">
      <c r="B515" s="49">
        <v>196</v>
      </c>
      <c r="C515" s="50">
        <f t="shared" si="5"/>
        <v>40240</v>
      </c>
      <c r="D515" s="50">
        <f t="shared" si="6"/>
        <v>40246</v>
      </c>
      <c r="E515" s="1"/>
      <c r="F515" s="1"/>
    </row>
    <row r="516" spans="2:6">
      <c r="B516" s="49">
        <v>197</v>
      </c>
      <c r="C516" s="50">
        <f t="shared" si="5"/>
        <v>40247</v>
      </c>
      <c r="D516" s="50">
        <f t="shared" si="6"/>
        <v>40253</v>
      </c>
      <c r="E516" s="1"/>
      <c r="F516" s="1"/>
    </row>
    <row r="517" spans="2:6">
      <c r="B517" s="49">
        <v>198</v>
      </c>
      <c r="C517" s="50">
        <f t="shared" si="5"/>
        <v>40254</v>
      </c>
      <c r="D517" s="50">
        <f t="shared" si="6"/>
        <v>40260</v>
      </c>
      <c r="E517" s="1"/>
      <c r="F517" s="1"/>
    </row>
    <row r="518" spans="2:6">
      <c r="B518" s="49">
        <v>199</v>
      </c>
      <c r="C518" s="50">
        <f t="shared" si="5"/>
        <v>40261</v>
      </c>
      <c r="D518" s="50">
        <f t="shared" si="6"/>
        <v>40267</v>
      </c>
      <c r="E518" s="1"/>
      <c r="F518" s="1"/>
    </row>
    <row r="519" spans="2:6">
      <c r="B519" s="49">
        <v>200</v>
      </c>
      <c r="C519" s="50">
        <f t="shared" si="5"/>
        <v>40268</v>
      </c>
      <c r="D519" s="50">
        <f t="shared" si="6"/>
        <v>40274</v>
      </c>
      <c r="E519" s="1"/>
      <c r="F519" s="1"/>
    </row>
    <row r="520" spans="2:6">
      <c r="B520" s="49">
        <v>201</v>
      </c>
      <c r="C520" s="50">
        <f t="shared" si="5"/>
        <v>40275</v>
      </c>
      <c r="D520" s="50">
        <f t="shared" si="6"/>
        <v>40281</v>
      </c>
      <c r="E520" s="1"/>
      <c r="F520" s="1"/>
    </row>
    <row r="521" spans="2:6">
      <c r="B521" s="49">
        <v>202</v>
      </c>
      <c r="C521" s="50">
        <f t="shared" si="5"/>
        <v>40282</v>
      </c>
      <c r="D521" s="50">
        <f t="shared" si="6"/>
        <v>40288</v>
      </c>
      <c r="E521" s="1"/>
      <c r="F521" s="1"/>
    </row>
    <row r="522" spans="2:6">
      <c r="B522" s="49">
        <v>203</v>
      </c>
      <c r="C522" s="50">
        <f t="shared" si="5"/>
        <v>40289</v>
      </c>
      <c r="D522" s="50">
        <f t="shared" si="6"/>
        <v>40295</v>
      </c>
      <c r="E522" s="1"/>
      <c r="F522" s="1"/>
    </row>
    <row r="523" spans="2:6">
      <c r="B523" s="49">
        <v>204</v>
      </c>
      <c r="C523" s="50">
        <f t="shared" si="5"/>
        <v>40296</v>
      </c>
      <c r="D523" s="50">
        <f t="shared" si="6"/>
        <v>40302</v>
      </c>
      <c r="E523" s="1"/>
      <c r="F523" s="1"/>
    </row>
    <row r="524" spans="2:6">
      <c r="B524" s="49">
        <v>205</v>
      </c>
      <c r="C524" s="50">
        <f t="shared" si="5"/>
        <v>40303</v>
      </c>
      <c r="D524" s="50">
        <f t="shared" si="6"/>
        <v>40309</v>
      </c>
      <c r="E524" s="1"/>
      <c r="F524" s="1"/>
    </row>
    <row r="525" spans="2:6">
      <c r="B525" s="49">
        <v>206</v>
      </c>
      <c r="C525" s="50">
        <f t="shared" si="5"/>
        <v>40310</v>
      </c>
      <c r="D525" s="50">
        <f t="shared" si="6"/>
        <v>40316</v>
      </c>
      <c r="E525" s="1"/>
      <c r="F525" s="1"/>
    </row>
    <row r="526" spans="2:6">
      <c r="B526" s="49">
        <v>207</v>
      </c>
      <c r="C526" s="50">
        <f t="shared" si="5"/>
        <v>40317</v>
      </c>
      <c r="D526" s="50">
        <f t="shared" si="6"/>
        <v>40323</v>
      </c>
      <c r="E526" s="1"/>
      <c r="F526" s="1"/>
    </row>
    <row r="527" spans="2:6">
      <c r="B527" s="49">
        <v>208</v>
      </c>
      <c r="C527" s="50">
        <f t="shared" si="5"/>
        <v>40324</v>
      </c>
      <c r="D527" s="50">
        <f t="shared" si="6"/>
        <v>40330</v>
      </c>
      <c r="E527" s="1"/>
      <c r="F527" s="1"/>
    </row>
    <row r="528" spans="2:6">
      <c r="B528" s="49">
        <v>209</v>
      </c>
      <c r="C528" s="50">
        <f t="shared" si="5"/>
        <v>40331</v>
      </c>
      <c r="D528" s="50">
        <f t="shared" si="6"/>
        <v>40337</v>
      </c>
      <c r="E528" s="1"/>
      <c r="F528" s="1"/>
    </row>
    <row r="529" spans="2:6">
      <c r="B529" s="49">
        <v>210</v>
      </c>
      <c r="C529" s="50">
        <f t="shared" si="5"/>
        <v>40338</v>
      </c>
      <c r="D529" s="50">
        <f t="shared" si="6"/>
        <v>40344</v>
      </c>
      <c r="E529" s="1"/>
      <c r="F529" s="1"/>
    </row>
    <row r="530" spans="2:6">
      <c r="B530" s="49">
        <v>211</v>
      </c>
      <c r="C530" s="50">
        <f t="shared" si="5"/>
        <v>40345</v>
      </c>
      <c r="D530" s="50">
        <f t="shared" si="6"/>
        <v>40351</v>
      </c>
      <c r="E530" s="1"/>
      <c r="F530" s="1"/>
    </row>
    <row r="531" spans="2:6">
      <c r="B531" s="49">
        <v>212</v>
      </c>
      <c r="C531" s="50">
        <f t="shared" si="5"/>
        <v>40352</v>
      </c>
      <c r="D531" s="50">
        <f t="shared" si="6"/>
        <v>40358</v>
      </c>
      <c r="E531" s="1"/>
      <c r="F531" s="1"/>
    </row>
    <row r="532" spans="2:6">
      <c r="B532" s="49">
        <v>213</v>
      </c>
      <c r="C532" s="50">
        <f t="shared" si="5"/>
        <v>40359</v>
      </c>
      <c r="D532" s="50">
        <f t="shared" si="6"/>
        <v>40365</v>
      </c>
      <c r="E532" s="1"/>
      <c r="F532" s="1"/>
    </row>
    <row r="533" spans="2:6">
      <c r="B533" s="49">
        <v>214</v>
      </c>
      <c r="C533" s="50">
        <f t="shared" si="5"/>
        <v>40366</v>
      </c>
      <c r="D533" s="50">
        <f t="shared" si="6"/>
        <v>40372</v>
      </c>
      <c r="E533" s="1"/>
      <c r="F533" s="1"/>
    </row>
    <row r="534" spans="2:6">
      <c r="B534" s="49">
        <v>215</v>
      </c>
      <c r="C534" s="50">
        <f t="shared" si="5"/>
        <v>40373</v>
      </c>
      <c r="D534" s="50">
        <f t="shared" si="6"/>
        <v>40379</v>
      </c>
      <c r="E534" s="1"/>
      <c r="F534" s="1"/>
    </row>
    <row r="535" spans="2:6">
      <c r="B535" s="49">
        <v>216</v>
      </c>
      <c r="C535" s="50">
        <f t="shared" si="5"/>
        <v>40380</v>
      </c>
      <c r="D535" s="50">
        <f t="shared" si="6"/>
        <v>40386</v>
      </c>
      <c r="E535" s="1"/>
      <c r="F535" s="1"/>
    </row>
    <row r="536" spans="2:6">
      <c r="B536" s="49">
        <v>217</v>
      </c>
      <c r="C536" s="50">
        <f t="shared" si="5"/>
        <v>40387</v>
      </c>
      <c r="D536" s="50">
        <f t="shared" si="6"/>
        <v>40393</v>
      </c>
      <c r="E536" s="1"/>
      <c r="F536" s="1"/>
    </row>
    <row r="537" spans="2:6">
      <c r="B537" s="49">
        <v>218</v>
      </c>
      <c r="C537" s="50">
        <f t="shared" ref="C537:C600" si="7">D536+1</f>
        <v>40394</v>
      </c>
      <c r="D537" s="50">
        <f t="shared" ref="D537:D600" si="8">D536+7</f>
        <v>40400</v>
      </c>
      <c r="E537" s="1"/>
      <c r="F537" s="1"/>
    </row>
    <row r="538" spans="2:6">
      <c r="B538" s="49">
        <v>219</v>
      </c>
      <c r="C538" s="50">
        <f t="shared" si="7"/>
        <v>40401</v>
      </c>
      <c r="D538" s="50">
        <f t="shared" si="8"/>
        <v>40407</v>
      </c>
      <c r="E538" s="1"/>
      <c r="F538" s="1"/>
    </row>
    <row r="539" spans="2:6">
      <c r="B539" s="49">
        <v>220</v>
      </c>
      <c r="C539" s="50">
        <f t="shared" si="7"/>
        <v>40408</v>
      </c>
      <c r="D539" s="50">
        <f t="shared" si="8"/>
        <v>40414</v>
      </c>
      <c r="E539" s="1"/>
      <c r="F539" s="1"/>
    </row>
    <row r="540" spans="2:6">
      <c r="B540" s="49">
        <v>221</v>
      </c>
      <c r="C540" s="50">
        <f t="shared" si="7"/>
        <v>40415</v>
      </c>
      <c r="D540" s="50">
        <f t="shared" si="8"/>
        <v>40421</v>
      </c>
      <c r="E540" s="1"/>
      <c r="F540" s="1"/>
    </row>
    <row r="541" spans="2:6">
      <c r="B541" s="49">
        <v>222</v>
      </c>
      <c r="C541" s="50">
        <f t="shared" si="7"/>
        <v>40422</v>
      </c>
      <c r="D541" s="50">
        <f t="shared" si="8"/>
        <v>40428</v>
      </c>
      <c r="E541" s="1"/>
      <c r="F541" s="1"/>
    </row>
    <row r="542" spans="2:6">
      <c r="B542" s="49">
        <v>223</v>
      </c>
      <c r="C542" s="50">
        <f t="shared" si="7"/>
        <v>40429</v>
      </c>
      <c r="D542" s="50">
        <f t="shared" si="8"/>
        <v>40435</v>
      </c>
      <c r="E542" s="1"/>
      <c r="F542" s="1"/>
    </row>
    <row r="543" spans="2:6">
      <c r="B543" s="49">
        <v>224</v>
      </c>
      <c r="C543" s="50">
        <f t="shared" si="7"/>
        <v>40436</v>
      </c>
      <c r="D543" s="50">
        <f t="shared" si="8"/>
        <v>40442</v>
      </c>
      <c r="E543" s="1"/>
      <c r="F543" s="1"/>
    </row>
    <row r="544" spans="2:6">
      <c r="B544" s="49">
        <v>225</v>
      </c>
      <c r="C544" s="50">
        <f t="shared" si="7"/>
        <v>40443</v>
      </c>
      <c r="D544" s="50">
        <f t="shared" si="8"/>
        <v>40449</v>
      </c>
      <c r="E544" s="1"/>
      <c r="F544" s="1"/>
    </row>
    <row r="545" spans="2:6">
      <c r="B545" s="49">
        <v>226</v>
      </c>
      <c r="C545" s="50">
        <f t="shared" si="7"/>
        <v>40450</v>
      </c>
      <c r="D545" s="50">
        <f t="shared" si="8"/>
        <v>40456</v>
      </c>
      <c r="E545" s="1"/>
      <c r="F545" s="1"/>
    </row>
    <row r="546" spans="2:6">
      <c r="B546" s="49">
        <v>227</v>
      </c>
      <c r="C546" s="50">
        <f t="shared" si="7"/>
        <v>40457</v>
      </c>
      <c r="D546" s="50">
        <f t="shared" si="8"/>
        <v>40463</v>
      </c>
      <c r="E546" s="1"/>
      <c r="F546" s="1"/>
    </row>
    <row r="547" spans="2:6">
      <c r="B547" s="49">
        <v>228</v>
      </c>
      <c r="C547" s="50">
        <f t="shared" si="7"/>
        <v>40464</v>
      </c>
      <c r="D547" s="50">
        <f t="shared" si="8"/>
        <v>40470</v>
      </c>
      <c r="E547" s="1"/>
      <c r="F547" s="1"/>
    </row>
    <row r="548" spans="2:6">
      <c r="B548" s="49">
        <v>229</v>
      </c>
      <c r="C548" s="50">
        <f t="shared" si="7"/>
        <v>40471</v>
      </c>
      <c r="D548" s="50">
        <f t="shared" si="8"/>
        <v>40477</v>
      </c>
      <c r="E548" s="1"/>
      <c r="F548" s="1"/>
    </row>
    <row r="549" spans="2:6">
      <c r="B549" s="49">
        <v>230</v>
      </c>
      <c r="C549" s="50">
        <f t="shared" si="7"/>
        <v>40478</v>
      </c>
      <c r="D549" s="50">
        <f t="shared" si="8"/>
        <v>40484</v>
      </c>
      <c r="E549" s="1"/>
      <c r="F549" s="1"/>
    </row>
    <row r="550" spans="2:6">
      <c r="B550" s="49">
        <v>231</v>
      </c>
      <c r="C550" s="50">
        <f t="shared" si="7"/>
        <v>40485</v>
      </c>
      <c r="D550" s="50">
        <f t="shared" si="8"/>
        <v>40491</v>
      </c>
      <c r="E550" s="1"/>
      <c r="F550" s="1"/>
    </row>
    <row r="551" spans="2:6">
      <c r="B551" s="49">
        <v>232</v>
      </c>
      <c r="C551" s="50">
        <f t="shared" si="7"/>
        <v>40492</v>
      </c>
      <c r="D551" s="50">
        <f t="shared" si="8"/>
        <v>40498</v>
      </c>
      <c r="E551" s="1"/>
      <c r="F551" s="1"/>
    </row>
    <row r="552" spans="2:6">
      <c r="B552" s="49">
        <v>233</v>
      </c>
      <c r="C552" s="50">
        <f t="shared" si="7"/>
        <v>40499</v>
      </c>
      <c r="D552" s="50">
        <f t="shared" si="8"/>
        <v>40505</v>
      </c>
      <c r="E552" s="1"/>
      <c r="F552" s="1"/>
    </row>
    <row r="553" spans="2:6">
      <c r="B553" s="49">
        <v>234</v>
      </c>
      <c r="C553" s="50">
        <f t="shared" si="7"/>
        <v>40506</v>
      </c>
      <c r="D553" s="50">
        <f t="shared" si="8"/>
        <v>40512</v>
      </c>
      <c r="E553" s="1"/>
      <c r="F553" s="1"/>
    </row>
    <row r="554" spans="2:6">
      <c r="B554" s="49">
        <v>235</v>
      </c>
      <c r="C554" s="50">
        <f t="shared" si="7"/>
        <v>40513</v>
      </c>
      <c r="D554" s="50">
        <f t="shared" si="8"/>
        <v>40519</v>
      </c>
      <c r="E554" s="1"/>
      <c r="F554" s="1"/>
    </row>
    <row r="555" spans="2:6">
      <c r="B555" s="49">
        <v>236</v>
      </c>
      <c r="C555" s="50">
        <f t="shared" si="7"/>
        <v>40520</v>
      </c>
      <c r="D555" s="50">
        <f t="shared" si="8"/>
        <v>40526</v>
      </c>
      <c r="E555" s="1"/>
      <c r="F555" s="1"/>
    </row>
    <row r="556" spans="2:6">
      <c r="B556" s="49">
        <v>237</v>
      </c>
      <c r="C556" s="50">
        <f t="shared" si="7"/>
        <v>40527</v>
      </c>
      <c r="D556" s="50">
        <f t="shared" si="8"/>
        <v>40533</v>
      </c>
      <c r="E556" s="1"/>
      <c r="F556" s="1"/>
    </row>
    <row r="557" spans="2:6">
      <c r="B557" s="49">
        <v>238</v>
      </c>
      <c r="C557" s="50">
        <f t="shared" si="7"/>
        <v>40534</v>
      </c>
      <c r="D557" s="50">
        <f t="shared" si="8"/>
        <v>40540</v>
      </c>
      <c r="E557" s="1"/>
      <c r="F557" s="1"/>
    </row>
    <row r="558" spans="2:6">
      <c r="B558" s="49">
        <v>239</v>
      </c>
      <c r="C558" s="50">
        <f t="shared" si="7"/>
        <v>40541</v>
      </c>
      <c r="D558" s="50">
        <f t="shared" si="8"/>
        <v>40547</v>
      </c>
      <c r="E558" s="1"/>
      <c r="F558" s="1"/>
    </row>
    <row r="559" spans="2:6">
      <c r="B559" s="49">
        <v>240</v>
      </c>
      <c r="C559" s="50">
        <f t="shared" si="7"/>
        <v>40548</v>
      </c>
      <c r="D559" s="50">
        <f t="shared" si="8"/>
        <v>40554</v>
      </c>
      <c r="E559" s="1"/>
      <c r="F559" s="1"/>
    </row>
    <row r="560" spans="2:6">
      <c r="B560" s="49">
        <v>241</v>
      </c>
      <c r="C560" s="50">
        <f t="shared" si="7"/>
        <v>40555</v>
      </c>
      <c r="D560" s="50">
        <f t="shared" si="8"/>
        <v>40561</v>
      </c>
      <c r="E560" s="1"/>
      <c r="F560" s="1"/>
    </row>
    <row r="561" spans="2:6">
      <c r="B561" s="49">
        <v>242</v>
      </c>
      <c r="C561" s="50">
        <f t="shared" si="7"/>
        <v>40562</v>
      </c>
      <c r="D561" s="50">
        <f t="shared" si="8"/>
        <v>40568</v>
      </c>
      <c r="E561" s="1"/>
      <c r="F561" s="1"/>
    </row>
    <row r="562" spans="2:6">
      <c r="B562" s="49">
        <v>243</v>
      </c>
      <c r="C562" s="50">
        <f t="shared" si="7"/>
        <v>40569</v>
      </c>
      <c r="D562" s="50">
        <f t="shared" si="8"/>
        <v>40575</v>
      </c>
      <c r="E562" s="1"/>
      <c r="F562" s="1"/>
    </row>
    <row r="563" spans="2:6">
      <c r="B563" s="49">
        <v>244</v>
      </c>
      <c r="C563" s="50">
        <f t="shared" si="7"/>
        <v>40576</v>
      </c>
      <c r="D563" s="50">
        <f t="shared" si="8"/>
        <v>40582</v>
      </c>
      <c r="E563" s="1"/>
      <c r="F563" s="1"/>
    </row>
    <row r="564" spans="2:6">
      <c r="B564" s="49">
        <v>245</v>
      </c>
      <c r="C564" s="50">
        <f t="shared" si="7"/>
        <v>40583</v>
      </c>
      <c r="D564" s="50">
        <f t="shared" si="8"/>
        <v>40589</v>
      </c>
      <c r="E564" s="1"/>
      <c r="F564" s="1"/>
    </row>
    <row r="565" spans="2:6">
      <c r="B565" s="49">
        <v>246</v>
      </c>
      <c r="C565" s="50">
        <f t="shared" si="7"/>
        <v>40590</v>
      </c>
      <c r="D565" s="50">
        <f t="shared" si="8"/>
        <v>40596</v>
      </c>
      <c r="E565" s="1"/>
      <c r="F565" s="1"/>
    </row>
    <row r="566" spans="2:6">
      <c r="B566" s="49">
        <v>247</v>
      </c>
      <c r="C566" s="50">
        <f t="shared" si="7"/>
        <v>40597</v>
      </c>
      <c r="D566" s="50">
        <f t="shared" si="8"/>
        <v>40603</v>
      </c>
      <c r="E566" s="1"/>
      <c r="F566" s="1"/>
    </row>
    <row r="567" spans="2:6">
      <c r="B567" s="49">
        <v>248</v>
      </c>
      <c r="C567" s="50">
        <f t="shared" si="7"/>
        <v>40604</v>
      </c>
      <c r="D567" s="50">
        <f t="shared" si="8"/>
        <v>40610</v>
      </c>
      <c r="E567" s="1"/>
      <c r="F567" s="1"/>
    </row>
    <row r="568" spans="2:6">
      <c r="B568" s="49">
        <v>249</v>
      </c>
      <c r="C568" s="50">
        <f t="shared" si="7"/>
        <v>40611</v>
      </c>
      <c r="D568" s="50">
        <f t="shared" si="8"/>
        <v>40617</v>
      </c>
      <c r="E568" s="1"/>
      <c r="F568" s="1"/>
    </row>
    <row r="569" spans="2:6">
      <c r="B569" s="49">
        <v>250</v>
      </c>
      <c r="C569" s="50">
        <f t="shared" si="7"/>
        <v>40618</v>
      </c>
      <c r="D569" s="50">
        <f t="shared" si="8"/>
        <v>40624</v>
      </c>
      <c r="E569" s="1"/>
      <c r="F569" s="1"/>
    </row>
    <row r="570" spans="2:6">
      <c r="B570" s="49">
        <v>251</v>
      </c>
      <c r="C570" s="50">
        <f t="shared" si="7"/>
        <v>40625</v>
      </c>
      <c r="D570" s="50">
        <f t="shared" si="8"/>
        <v>40631</v>
      </c>
      <c r="E570" s="1"/>
      <c r="F570" s="1"/>
    </row>
    <row r="571" spans="2:6">
      <c r="B571" s="49">
        <v>252</v>
      </c>
      <c r="C571" s="50">
        <f t="shared" si="7"/>
        <v>40632</v>
      </c>
      <c r="D571" s="50">
        <f t="shared" si="8"/>
        <v>40638</v>
      </c>
      <c r="E571" s="1"/>
      <c r="F571" s="1"/>
    </row>
    <row r="572" spans="2:6">
      <c r="B572" s="49">
        <v>253</v>
      </c>
      <c r="C572" s="50">
        <f t="shared" si="7"/>
        <v>40639</v>
      </c>
      <c r="D572" s="50">
        <f t="shared" si="8"/>
        <v>40645</v>
      </c>
      <c r="E572" s="1"/>
      <c r="F572" s="1"/>
    </row>
    <row r="573" spans="2:6">
      <c r="B573" s="49">
        <v>254</v>
      </c>
      <c r="C573" s="50">
        <f t="shared" si="7"/>
        <v>40646</v>
      </c>
      <c r="D573" s="50">
        <f t="shared" si="8"/>
        <v>40652</v>
      </c>
      <c r="E573" s="1"/>
      <c r="F573" s="1"/>
    </row>
    <row r="574" spans="2:6">
      <c r="B574" s="49">
        <v>255</v>
      </c>
      <c r="C574" s="50">
        <f t="shared" si="7"/>
        <v>40653</v>
      </c>
      <c r="D574" s="50">
        <f t="shared" si="8"/>
        <v>40659</v>
      </c>
      <c r="E574" s="1"/>
      <c r="F574" s="1"/>
    </row>
    <row r="575" spans="2:6">
      <c r="B575" s="49">
        <v>256</v>
      </c>
      <c r="C575" s="50">
        <f t="shared" si="7"/>
        <v>40660</v>
      </c>
      <c r="D575" s="50">
        <f t="shared" si="8"/>
        <v>40666</v>
      </c>
      <c r="E575" s="1"/>
      <c r="F575" s="1"/>
    </row>
    <row r="576" spans="2:6">
      <c r="B576" s="49">
        <v>257</v>
      </c>
      <c r="C576" s="50">
        <f t="shared" si="7"/>
        <v>40667</v>
      </c>
      <c r="D576" s="50">
        <f t="shared" si="8"/>
        <v>40673</v>
      </c>
      <c r="E576" s="1"/>
      <c r="F576" s="1"/>
    </row>
    <row r="577" spans="2:6">
      <c r="B577" s="49">
        <v>258</v>
      </c>
      <c r="C577" s="50">
        <f t="shared" si="7"/>
        <v>40674</v>
      </c>
      <c r="D577" s="50">
        <f t="shared" si="8"/>
        <v>40680</v>
      </c>
      <c r="E577" s="1"/>
      <c r="F577" s="1"/>
    </row>
    <row r="578" spans="2:6">
      <c r="B578" s="49">
        <v>259</v>
      </c>
      <c r="C578" s="50">
        <f t="shared" si="7"/>
        <v>40681</v>
      </c>
      <c r="D578" s="50">
        <f t="shared" si="8"/>
        <v>40687</v>
      </c>
      <c r="E578" s="1"/>
      <c r="F578" s="1"/>
    </row>
    <row r="579" spans="2:6">
      <c r="B579" s="49">
        <v>260</v>
      </c>
      <c r="C579" s="50">
        <f t="shared" si="7"/>
        <v>40688</v>
      </c>
      <c r="D579" s="50">
        <f t="shared" si="8"/>
        <v>40694</v>
      </c>
      <c r="E579" s="1"/>
      <c r="F579" s="1"/>
    </row>
    <row r="580" spans="2:6">
      <c r="B580" s="49">
        <v>261</v>
      </c>
      <c r="C580" s="50">
        <f t="shared" si="7"/>
        <v>40695</v>
      </c>
      <c r="D580" s="50">
        <f t="shared" si="8"/>
        <v>40701</v>
      </c>
      <c r="E580" s="1"/>
      <c r="F580" s="1"/>
    </row>
    <row r="581" spans="2:6">
      <c r="B581" s="49">
        <v>262</v>
      </c>
      <c r="C581" s="50">
        <f t="shared" si="7"/>
        <v>40702</v>
      </c>
      <c r="D581" s="50">
        <f t="shared" si="8"/>
        <v>40708</v>
      </c>
      <c r="E581" s="1"/>
      <c r="F581" s="1"/>
    </row>
    <row r="582" spans="2:6">
      <c r="B582" s="49">
        <v>263</v>
      </c>
      <c r="C582" s="50">
        <f t="shared" si="7"/>
        <v>40709</v>
      </c>
      <c r="D582" s="50">
        <f t="shared" si="8"/>
        <v>40715</v>
      </c>
      <c r="E582" s="1"/>
      <c r="F582" s="1"/>
    </row>
    <row r="583" spans="2:6">
      <c r="B583" s="49">
        <v>264</v>
      </c>
      <c r="C583" s="50">
        <f t="shared" si="7"/>
        <v>40716</v>
      </c>
      <c r="D583" s="50">
        <f t="shared" si="8"/>
        <v>40722</v>
      </c>
      <c r="E583" s="1"/>
      <c r="F583" s="1"/>
    </row>
    <row r="584" spans="2:6">
      <c r="B584" s="49">
        <v>265</v>
      </c>
      <c r="C584" s="50">
        <f t="shared" si="7"/>
        <v>40723</v>
      </c>
      <c r="D584" s="50">
        <f t="shared" si="8"/>
        <v>40729</v>
      </c>
      <c r="E584" s="1"/>
      <c r="F584" s="1"/>
    </row>
    <row r="585" spans="2:6">
      <c r="B585" s="49">
        <v>266</v>
      </c>
      <c r="C585" s="50">
        <f t="shared" si="7"/>
        <v>40730</v>
      </c>
      <c r="D585" s="50">
        <f t="shared" si="8"/>
        <v>40736</v>
      </c>
      <c r="E585" s="1"/>
      <c r="F585" s="1"/>
    </row>
    <row r="586" spans="2:6">
      <c r="B586" s="49">
        <v>267</v>
      </c>
      <c r="C586" s="50">
        <f t="shared" si="7"/>
        <v>40737</v>
      </c>
      <c r="D586" s="50">
        <f t="shared" si="8"/>
        <v>40743</v>
      </c>
      <c r="E586" s="1"/>
      <c r="F586" s="1"/>
    </row>
    <row r="587" spans="2:6">
      <c r="B587" s="49">
        <v>268</v>
      </c>
      <c r="C587" s="50">
        <f t="shared" si="7"/>
        <v>40744</v>
      </c>
      <c r="D587" s="50">
        <f t="shared" si="8"/>
        <v>40750</v>
      </c>
      <c r="E587" s="1"/>
      <c r="F587" s="1"/>
    </row>
    <row r="588" spans="2:6">
      <c r="B588" s="49">
        <v>269</v>
      </c>
      <c r="C588" s="50">
        <f t="shared" si="7"/>
        <v>40751</v>
      </c>
      <c r="D588" s="50">
        <f t="shared" si="8"/>
        <v>40757</v>
      </c>
      <c r="E588" s="1"/>
      <c r="F588" s="1"/>
    </row>
    <row r="589" spans="2:6">
      <c r="B589" s="49">
        <v>270</v>
      </c>
      <c r="C589" s="50">
        <f t="shared" si="7"/>
        <v>40758</v>
      </c>
      <c r="D589" s="50">
        <f t="shared" si="8"/>
        <v>40764</v>
      </c>
      <c r="E589" s="1"/>
      <c r="F589" s="1"/>
    </row>
    <row r="590" spans="2:6">
      <c r="B590" s="49">
        <v>271</v>
      </c>
      <c r="C590" s="50">
        <f t="shared" si="7"/>
        <v>40765</v>
      </c>
      <c r="D590" s="50">
        <f t="shared" si="8"/>
        <v>40771</v>
      </c>
      <c r="E590" s="1"/>
      <c r="F590" s="1"/>
    </row>
    <row r="591" spans="2:6">
      <c r="B591" s="49">
        <v>272</v>
      </c>
      <c r="C591" s="50">
        <f t="shared" si="7"/>
        <v>40772</v>
      </c>
      <c r="D591" s="50">
        <f t="shared" si="8"/>
        <v>40778</v>
      </c>
      <c r="E591" s="1"/>
      <c r="F591" s="1"/>
    </row>
    <row r="592" spans="2:6">
      <c r="B592" s="49">
        <v>273</v>
      </c>
      <c r="C592" s="50">
        <f t="shared" si="7"/>
        <v>40779</v>
      </c>
      <c r="D592" s="50">
        <f t="shared" si="8"/>
        <v>40785</v>
      </c>
      <c r="E592" s="1"/>
      <c r="F592" s="1"/>
    </row>
    <row r="593" spans="2:6">
      <c r="B593" s="49">
        <v>274</v>
      </c>
      <c r="C593" s="50">
        <f t="shared" si="7"/>
        <v>40786</v>
      </c>
      <c r="D593" s="50">
        <f t="shared" si="8"/>
        <v>40792</v>
      </c>
      <c r="E593" s="1"/>
      <c r="F593" s="1"/>
    </row>
    <row r="594" spans="2:6">
      <c r="B594" s="49">
        <v>275</v>
      </c>
      <c r="C594" s="50">
        <f t="shared" si="7"/>
        <v>40793</v>
      </c>
      <c r="D594" s="50">
        <f t="shared" si="8"/>
        <v>40799</v>
      </c>
      <c r="E594" s="1"/>
      <c r="F594" s="1"/>
    </row>
    <row r="595" spans="2:6">
      <c r="B595" s="49">
        <v>276</v>
      </c>
      <c r="C595" s="50">
        <f t="shared" si="7"/>
        <v>40800</v>
      </c>
      <c r="D595" s="50">
        <f t="shared" si="8"/>
        <v>40806</v>
      </c>
      <c r="E595" s="1"/>
      <c r="F595" s="1"/>
    </row>
    <row r="596" spans="2:6">
      <c r="B596" s="49">
        <v>277</v>
      </c>
      <c r="C596" s="50">
        <f t="shared" si="7"/>
        <v>40807</v>
      </c>
      <c r="D596" s="50">
        <f t="shared" si="8"/>
        <v>40813</v>
      </c>
      <c r="E596" s="1"/>
      <c r="F596" s="1"/>
    </row>
    <row r="597" spans="2:6">
      <c r="B597" s="49">
        <v>278</v>
      </c>
      <c r="C597" s="50">
        <f t="shared" si="7"/>
        <v>40814</v>
      </c>
      <c r="D597" s="50">
        <f t="shared" si="8"/>
        <v>40820</v>
      </c>
      <c r="E597" s="1"/>
      <c r="F597" s="1"/>
    </row>
    <row r="598" spans="2:6">
      <c r="B598" s="49">
        <v>279</v>
      </c>
      <c r="C598" s="50">
        <f t="shared" si="7"/>
        <v>40821</v>
      </c>
      <c r="D598" s="50">
        <f t="shared" si="8"/>
        <v>40827</v>
      </c>
      <c r="E598" s="1"/>
      <c r="F598" s="1"/>
    </row>
    <row r="599" spans="2:6">
      <c r="B599" s="49">
        <v>280</v>
      </c>
      <c r="C599" s="50">
        <f t="shared" si="7"/>
        <v>40828</v>
      </c>
      <c r="D599" s="50">
        <f t="shared" si="8"/>
        <v>40834</v>
      </c>
      <c r="E599" s="1"/>
      <c r="F599" s="1"/>
    </row>
    <row r="600" spans="2:6">
      <c r="B600" s="49">
        <v>281</v>
      </c>
      <c r="C600" s="50">
        <f t="shared" si="7"/>
        <v>40835</v>
      </c>
      <c r="D600" s="50">
        <f t="shared" si="8"/>
        <v>40841</v>
      </c>
      <c r="E600" s="1"/>
      <c r="F600" s="1"/>
    </row>
    <row r="601" spans="2:6">
      <c r="B601" s="49">
        <v>282</v>
      </c>
      <c r="C601" s="50">
        <f t="shared" ref="C601:C664" si="9">D600+1</f>
        <v>40842</v>
      </c>
      <c r="D601" s="50">
        <f t="shared" ref="D601:D664" si="10">D600+7</f>
        <v>40848</v>
      </c>
      <c r="E601" s="1"/>
      <c r="F601" s="1"/>
    </row>
    <row r="602" spans="2:6">
      <c r="B602" s="49">
        <v>283</v>
      </c>
      <c r="C602" s="50">
        <f t="shared" si="9"/>
        <v>40849</v>
      </c>
      <c r="D602" s="50">
        <f t="shared" si="10"/>
        <v>40855</v>
      </c>
      <c r="E602" s="1"/>
      <c r="F602" s="1"/>
    </row>
    <row r="603" spans="2:6">
      <c r="B603" s="49">
        <v>284</v>
      </c>
      <c r="C603" s="50">
        <f t="shared" si="9"/>
        <v>40856</v>
      </c>
      <c r="D603" s="50">
        <f t="shared" si="10"/>
        <v>40862</v>
      </c>
      <c r="E603" s="1"/>
      <c r="F603" s="1"/>
    </row>
    <row r="604" spans="2:6">
      <c r="B604" s="49">
        <v>285</v>
      </c>
      <c r="C604" s="50">
        <f t="shared" si="9"/>
        <v>40863</v>
      </c>
      <c r="D604" s="50">
        <f t="shared" si="10"/>
        <v>40869</v>
      </c>
      <c r="E604" s="1"/>
      <c r="F604" s="1"/>
    </row>
    <row r="605" spans="2:6">
      <c r="B605" s="49">
        <v>286</v>
      </c>
      <c r="C605" s="50">
        <f t="shared" si="9"/>
        <v>40870</v>
      </c>
      <c r="D605" s="50">
        <f t="shared" si="10"/>
        <v>40876</v>
      </c>
      <c r="E605" s="1"/>
      <c r="F605" s="1"/>
    </row>
    <row r="606" spans="2:6">
      <c r="B606" s="49">
        <v>287</v>
      </c>
      <c r="C606" s="50">
        <f t="shared" si="9"/>
        <v>40877</v>
      </c>
      <c r="D606" s="50">
        <f t="shared" si="10"/>
        <v>40883</v>
      </c>
      <c r="E606" s="1"/>
      <c r="F606" s="1"/>
    </row>
    <row r="607" spans="2:6">
      <c r="B607" s="49">
        <v>288</v>
      </c>
      <c r="C607" s="50">
        <f t="shared" si="9"/>
        <v>40884</v>
      </c>
      <c r="D607" s="50">
        <f t="shared" si="10"/>
        <v>40890</v>
      </c>
      <c r="E607" s="1"/>
      <c r="F607" s="1"/>
    </row>
    <row r="608" spans="2:6">
      <c r="B608" s="49">
        <v>289</v>
      </c>
      <c r="C608" s="50">
        <f t="shared" si="9"/>
        <v>40891</v>
      </c>
      <c r="D608" s="50">
        <f t="shared" si="10"/>
        <v>40897</v>
      </c>
      <c r="E608" s="1"/>
      <c r="F608" s="1"/>
    </row>
    <row r="609" spans="2:6">
      <c r="B609" s="49">
        <v>290</v>
      </c>
      <c r="C609" s="50">
        <f t="shared" si="9"/>
        <v>40898</v>
      </c>
      <c r="D609" s="50">
        <f t="shared" si="10"/>
        <v>40904</v>
      </c>
      <c r="E609" s="1"/>
      <c r="F609" s="1"/>
    </row>
    <row r="610" spans="2:6">
      <c r="B610" s="49">
        <v>291</v>
      </c>
      <c r="C610" s="50">
        <f t="shared" si="9"/>
        <v>40905</v>
      </c>
      <c r="D610" s="50">
        <f t="shared" si="10"/>
        <v>40911</v>
      </c>
      <c r="E610" s="1"/>
      <c r="F610" s="1"/>
    </row>
    <row r="611" spans="2:6">
      <c r="B611" s="49">
        <v>292</v>
      </c>
      <c r="C611" s="50">
        <f t="shared" si="9"/>
        <v>40912</v>
      </c>
      <c r="D611" s="50">
        <f t="shared" si="10"/>
        <v>40918</v>
      </c>
      <c r="E611" s="1"/>
      <c r="F611" s="1"/>
    </row>
    <row r="612" spans="2:6">
      <c r="B612" s="49">
        <v>293</v>
      </c>
      <c r="C612" s="50">
        <f t="shared" si="9"/>
        <v>40919</v>
      </c>
      <c r="D612" s="50">
        <f t="shared" si="10"/>
        <v>40925</v>
      </c>
      <c r="E612" s="1"/>
      <c r="F612" s="1"/>
    </row>
    <row r="613" spans="2:6">
      <c r="B613" s="49">
        <v>294</v>
      </c>
      <c r="C613" s="50">
        <f t="shared" si="9"/>
        <v>40926</v>
      </c>
      <c r="D613" s="50">
        <f t="shared" si="10"/>
        <v>40932</v>
      </c>
      <c r="E613" s="1"/>
      <c r="F613" s="1"/>
    </row>
    <row r="614" spans="2:6">
      <c r="B614" s="49">
        <v>295</v>
      </c>
      <c r="C614" s="50">
        <f t="shared" si="9"/>
        <v>40933</v>
      </c>
      <c r="D614" s="50">
        <f t="shared" si="10"/>
        <v>40939</v>
      </c>
      <c r="E614" s="1"/>
      <c r="F614" s="1"/>
    </row>
    <row r="615" spans="2:6">
      <c r="B615" s="49">
        <v>296</v>
      </c>
      <c r="C615" s="50">
        <f t="shared" si="9"/>
        <v>40940</v>
      </c>
      <c r="D615" s="50">
        <f t="shared" si="10"/>
        <v>40946</v>
      </c>
      <c r="E615" s="1"/>
      <c r="F615" s="1"/>
    </row>
    <row r="616" spans="2:6">
      <c r="B616" s="49">
        <v>297</v>
      </c>
      <c r="C616" s="50">
        <f t="shared" si="9"/>
        <v>40947</v>
      </c>
      <c r="D616" s="50">
        <f t="shared" si="10"/>
        <v>40953</v>
      </c>
      <c r="E616" s="1"/>
      <c r="F616" s="1"/>
    </row>
    <row r="617" spans="2:6">
      <c r="B617" s="49">
        <v>298</v>
      </c>
      <c r="C617" s="50">
        <f t="shared" si="9"/>
        <v>40954</v>
      </c>
      <c r="D617" s="50">
        <f t="shared" si="10"/>
        <v>40960</v>
      </c>
      <c r="E617" s="1"/>
      <c r="F617" s="1"/>
    </row>
    <row r="618" spans="2:6">
      <c r="B618" s="49">
        <v>299</v>
      </c>
      <c r="C618" s="50">
        <f t="shared" si="9"/>
        <v>40961</v>
      </c>
      <c r="D618" s="50">
        <f t="shared" si="10"/>
        <v>40967</v>
      </c>
      <c r="E618" s="1"/>
      <c r="F618" s="1"/>
    </row>
    <row r="619" spans="2:6">
      <c r="B619" s="49">
        <v>300</v>
      </c>
      <c r="C619" s="50">
        <f t="shared" si="9"/>
        <v>40968</v>
      </c>
      <c r="D619" s="50">
        <f t="shared" si="10"/>
        <v>40974</v>
      </c>
      <c r="E619" s="1"/>
      <c r="F619" s="1"/>
    </row>
    <row r="620" spans="2:6">
      <c r="B620" s="49">
        <v>301</v>
      </c>
      <c r="C620" s="50">
        <f t="shared" si="9"/>
        <v>40975</v>
      </c>
      <c r="D620" s="50">
        <f t="shared" si="10"/>
        <v>40981</v>
      </c>
      <c r="E620" s="1"/>
      <c r="F620" s="1"/>
    </row>
    <row r="621" spans="2:6">
      <c r="B621" s="49">
        <v>302</v>
      </c>
      <c r="C621" s="50">
        <f t="shared" si="9"/>
        <v>40982</v>
      </c>
      <c r="D621" s="50">
        <f t="shared" si="10"/>
        <v>40988</v>
      </c>
      <c r="E621" s="1"/>
      <c r="F621" s="1"/>
    </row>
    <row r="622" spans="2:6">
      <c r="B622" s="49">
        <v>303</v>
      </c>
      <c r="C622" s="50">
        <f t="shared" si="9"/>
        <v>40989</v>
      </c>
      <c r="D622" s="50">
        <f t="shared" si="10"/>
        <v>40995</v>
      </c>
      <c r="E622" s="1"/>
      <c r="F622" s="1"/>
    </row>
    <row r="623" spans="2:6">
      <c r="B623" s="49">
        <v>304</v>
      </c>
      <c r="C623" s="50">
        <f t="shared" si="9"/>
        <v>40996</v>
      </c>
      <c r="D623" s="50">
        <f t="shared" si="10"/>
        <v>41002</v>
      </c>
      <c r="E623" s="1"/>
      <c r="F623" s="1"/>
    </row>
    <row r="624" spans="2:6">
      <c r="B624" s="49">
        <v>305</v>
      </c>
      <c r="C624" s="50">
        <f t="shared" si="9"/>
        <v>41003</v>
      </c>
      <c r="D624" s="50">
        <f t="shared" si="10"/>
        <v>41009</v>
      </c>
      <c r="E624" s="1"/>
      <c r="F624" s="1"/>
    </row>
    <row r="625" spans="2:6">
      <c r="B625" s="49">
        <v>306</v>
      </c>
      <c r="C625" s="50">
        <f t="shared" si="9"/>
        <v>41010</v>
      </c>
      <c r="D625" s="50">
        <f t="shared" si="10"/>
        <v>41016</v>
      </c>
      <c r="E625" s="1"/>
      <c r="F625" s="1"/>
    </row>
    <row r="626" spans="2:6">
      <c r="B626" s="49">
        <v>307</v>
      </c>
      <c r="C626" s="50">
        <f t="shared" si="9"/>
        <v>41017</v>
      </c>
      <c r="D626" s="50">
        <f t="shared" si="10"/>
        <v>41023</v>
      </c>
      <c r="E626" s="1"/>
      <c r="F626" s="1"/>
    </row>
    <row r="627" spans="2:6">
      <c r="B627" s="49">
        <v>308</v>
      </c>
      <c r="C627" s="50">
        <f t="shared" si="9"/>
        <v>41024</v>
      </c>
      <c r="D627" s="50">
        <f t="shared" si="10"/>
        <v>41030</v>
      </c>
      <c r="E627" s="1"/>
      <c r="F627" s="1"/>
    </row>
    <row r="628" spans="2:6">
      <c r="B628" s="49">
        <v>309</v>
      </c>
      <c r="C628" s="50">
        <f t="shared" si="9"/>
        <v>41031</v>
      </c>
      <c r="D628" s="50">
        <f t="shared" si="10"/>
        <v>41037</v>
      </c>
      <c r="E628" s="1"/>
      <c r="F628" s="1"/>
    </row>
    <row r="629" spans="2:6">
      <c r="B629" s="49">
        <v>310</v>
      </c>
      <c r="C629" s="50">
        <f t="shared" si="9"/>
        <v>41038</v>
      </c>
      <c r="D629" s="50">
        <f t="shared" si="10"/>
        <v>41044</v>
      </c>
      <c r="E629" s="1"/>
      <c r="F629" s="1"/>
    </row>
    <row r="630" spans="2:6">
      <c r="B630" s="49">
        <v>311</v>
      </c>
      <c r="C630" s="50">
        <f t="shared" si="9"/>
        <v>41045</v>
      </c>
      <c r="D630" s="50">
        <f t="shared" si="10"/>
        <v>41051</v>
      </c>
      <c r="E630" s="1"/>
      <c r="F630" s="1"/>
    </row>
    <row r="631" spans="2:6">
      <c r="B631" s="49">
        <v>312</v>
      </c>
      <c r="C631" s="50">
        <f t="shared" si="9"/>
        <v>41052</v>
      </c>
      <c r="D631" s="50">
        <f t="shared" si="10"/>
        <v>41058</v>
      </c>
      <c r="E631" s="1"/>
      <c r="F631" s="1"/>
    </row>
    <row r="632" spans="2:6">
      <c r="B632" s="49">
        <v>313</v>
      </c>
      <c r="C632" s="50">
        <f t="shared" si="9"/>
        <v>41059</v>
      </c>
      <c r="D632" s="50">
        <f t="shared" si="10"/>
        <v>41065</v>
      </c>
      <c r="E632" s="1"/>
      <c r="F632" s="1"/>
    </row>
    <row r="633" spans="2:6">
      <c r="B633" s="49">
        <v>314</v>
      </c>
      <c r="C633" s="50">
        <f t="shared" si="9"/>
        <v>41066</v>
      </c>
      <c r="D633" s="50">
        <f t="shared" si="10"/>
        <v>41072</v>
      </c>
      <c r="E633" s="1"/>
      <c r="F633" s="1"/>
    </row>
    <row r="634" spans="2:6">
      <c r="B634" s="49">
        <v>315</v>
      </c>
      <c r="C634" s="50">
        <f t="shared" si="9"/>
        <v>41073</v>
      </c>
      <c r="D634" s="50">
        <f t="shared" si="10"/>
        <v>41079</v>
      </c>
      <c r="E634" s="1"/>
      <c r="F634" s="1"/>
    </row>
    <row r="635" spans="2:6">
      <c r="B635" s="49">
        <v>316</v>
      </c>
      <c r="C635" s="50">
        <f t="shared" si="9"/>
        <v>41080</v>
      </c>
      <c r="D635" s="50">
        <f t="shared" si="10"/>
        <v>41086</v>
      </c>
      <c r="E635" s="1"/>
      <c r="F635" s="1"/>
    </row>
    <row r="636" spans="2:6">
      <c r="B636" s="49">
        <v>317</v>
      </c>
      <c r="C636" s="50">
        <f t="shared" si="9"/>
        <v>41087</v>
      </c>
      <c r="D636" s="50">
        <f t="shared" si="10"/>
        <v>41093</v>
      </c>
      <c r="E636" s="1"/>
      <c r="F636" s="1"/>
    </row>
    <row r="637" spans="2:6">
      <c r="B637" s="49">
        <v>318</v>
      </c>
      <c r="C637" s="50">
        <f t="shared" si="9"/>
        <v>41094</v>
      </c>
      <c r="D637" s="50">
        <f t="shared" si="10"/>
        <v>41100</v>
      </c>
      <c r="E637" s="1"/>
      <c r="F637" s="1"/>
    </row>
    <row r="638" spans="2:6">
      <c r="B638" s="49">
        <v>319</v>
      </c>
      <c r="C638" s="50">
        <f t="shared" si="9"/>
        <v>41101</v>
      </c>
      <c r="D638" s="50">
        <f t="shared" si="10"/>
        <v>41107</v>
      </c>
      <c r="E638" s="1"/>
      <c r="F638" s="1"/>
    </row>
    <row r="639" spans="2:6">
      <c r="B639" s="49">
        <v>320</v>
      </c>
      <c r="C639" s="50">
        <f t="shared" si="9"/>
        <v>41108</v>
      </c>
      <c r="D639" s="50">
        <f t="shared" si="10"/>
        <v>41114</v>
      </c>
      <c r="E639" s="1"/>
      <c r="F639" s="1"/>
    </row>
    <row r="640" spans="2:6">
      <c r="B640" s="49">
        <v>321</v>
      </c>
      <c r="C640" s="50">
        <f t="shared" si="9"/>
        <v>41115</v>
      </c>
      <c r="D640" s="50">
        <f t="shared" si="10"/>
        <v>41121</v>
      </c>
      <c r="E640" s="1"/>
      <c r="F640" s="1"/>
    </row>
    <row r="641" spans="2:6">
      <c r="B641" s="49">
        <v>322</v>
      </c>
      <c r="C641" s="50">
        <f t="shared" si="9"/>
        <v>41122</v>
      </c>
      <c r="D641" s="50">
        <f t="shared" si="10"/>
        <v>41128</v>
      </c>
      <c r="E641" s="1"/>
      <c r="F641" s="1"/>
    </row>
    <row r="642" spans="2:6">
      <c r="B642" s="49">
        <v>323</v>
      </c>
      <c r="C642" s="50">
        <f t="shared" si="9"/>
        <v>41129</v>
      </c>
      <c r="D642" s="50">
        <f t="shared" si="10"/>
        <v>41135</v>
      </c>
      <c r="E642" s="1"/>
      <c r="F642" s="1"/>
    </row>
    <row r="643" spans="2:6">
      <c r="B643" s="49">
        <v>324</v>
      </c>
      <c r="C643" s="50">
        <f t="shared" si="9"/>
        <v>41136</v>
      </c>
      <c r="D643" s="50">
        <f t="shared" si="10"/>
        <v>41142</v>
      </c>
      <c r="E643" s="1"/>
      <c r="F643" s="1"/>
    </row>
    <row r="644" spans="2:6">
      <c r="B644" s="49">
        <v>325</v>
      </c>
      <c r="C644" s="50">
        <f t="shared" si="9"/>
        <v>41143</v>
      </c>
      <c r="D644" s="50">
        <f t="shared" si="10"/>
        <v>41149</v>
      </c>
      <c r="E644" s="1"/>
      <c r="F644" s="1"/>
    </row>
    <row r="645" spans="2:6">
      <c r="B645" s="49">
        <v>326</v>
      </c>
      <c r="C645" s="50">
        <f t="shared" si="9"/>
        <v>41150</v>
      </c>
      <c r="D645" s="50">
        <f t="shared" si="10"/>
        <v>41156</v>
      </c>
      <c r="E645" s="1"/>
      <c r="F645" s="1"/>
    </row>
    <row r="646" spans="2:6">
      <c r="B646" s="49">
        <v>327</v>
      </c>
      <c r="C646" s="50">
        <f t="shared" si="9"/>
        <v>41157</v>
      </c>
      <c r="D646" s="50">
        <f t="shared" si="10"/>
        <v>41163</v>
      </c>
      <c r="E646" s="1"/>
      <c r="F646" s="1"/>
    </row>
    <row r="647" spans="2:6">
      <c r="B647" s="49">
        <v>328</v>
      </c>
      <c r="C647" s="50">
        <f t="shared" si="9"/>
        <v>41164</v>
      </c>
      <c r="D647" s="50">
        <f t="shared" si="10"/>
        <v>41170</v>
      </c>
      <c r="E647" s="1"/>
      <c r="F647" s="1"/>
    </row>
    <row r="648" spans="2:6">
      <c r="B648" s="49">
        <v>329</v>
      </c>
      <c r="C648" s="50">
        <f t="shared" si="9"/>
        <v>41171</v>
      </c>
      <c r="D648" s="50">
        <f t="shared" si="10"/>
        <v>41177</v>
      </c>
      <c r="E648" s="1"/>
      <c r="F648" s="1"/>
    </row>
    <row r="649" spans="2:6">
      <c r="B649" s="49">
        <v>330</v>
      </c>
      <c r="C649" s="50">
        <f t="shared" si="9"/>
        <v>41178</v>
      </c>
      <c r="D649" s="50">
        <f t="shared" si="10"/>
        <v>41184</v>
      </c>
      <c r="E649" s="1"/>
      <c r="F649" s="1"/>
    </row>
    <row r="650" spans="2:6">
      <c r="B650" s="49">
        <v>331</v>
      </c>
      <c r="C650" s="50">
        <f t="shared" si="9"/>
        <v>41185</v>
      </c>
      <c r="D650" s="50">
        <f t="shared" si="10"/>
        <v>41191</v>
      </c>
      <c r="E650" s="1"/>
      <c r="F650" s="1"/>
    </row>
    <row r="651" spans="2:6">
      <c r="B651" s="49">
        <v>332</v>
      </c>
      <c r="C651" s="50">
        <f t="shared" si="9"/>
        <v>41192</v>
      </c>
      <c r="D651" s="50">
        <f t="shared" si="10"/>
        <v>41198</v>
      </c>
      <c r="E651" s="1"/>
      <c r="F651" s="1"/>
    </row>
    <row r="652" spans="2:6">
      <c r="B652" s="49">
        <v>333</v>
      </c>
      <c r="C652" s="50">
        <f t="shared" si="9"/>
        <v>41199</v>
      </c>
      <c r="D652" s="50">
        <f t="shared" si="10"/>
        <v>41205</v>
      </c>
      <c r="E652" s="1"/>
      <c r="F652" s="1"/>
    </row>
    <row r="653" spans="2:6">
      <c r="B653" s="49">
        <v>334</v>
      </c>
      <c r="C653" s="50">
        <f t="shared" si="9"/>
        <v>41206</v>
      </c>
      <c r="D653" s="50">
        <f t="shared" si="10"/>
        <v>41212</v>
      </c>
      <c r="E653" s="1"/>
      <c r="F653" s="1"/>
    </row>
    <row r="654" spans="2:6">
      <c r="B654" s="49">
        <v>335</v>
      </c>
      <c r="C654" s="50">
        <f t="shared" si="9"/>
        <v>41213</v>
      </c>
      <c r="D654" s="50">
        <f t="shared" si="10"/>
        <v>41219</v>
      </c>
      <c r="E654" s="1"/>
      <c r="F654" s="1"/>
    </row>
    <row r="655" spans="2:6">
      <c r="B655" s="49">
        <v>336</v>
      </c>
      <c r="C655" s="50">
        <f t="shared" si="9"/>
        <v>41220</v>
      </c>
      <c r="D655" s="50">
        <f t="shared" si="10"/>
        <v>41226</v>
      </c>
      <c r="E655" s="1"/>
      <c r="F655" s="1"/>
    </row>
    <row r="656" spans="2:6">
      <c r="B656" s="49">
        <v>337</v>
      </c>
      <c r="C656" s="50">
        <f t="shared" si="9"/>
        <v>41227</v>
      </c>
      <c r="D656" s="50">
        <f t="shared" si="10"/>
        <v>41233</v>
      </c>
      <c r="E656" s="1"/>
      <c r="F656" s="1"/>
    </row>
    <row r="657" spans="2:6">
      <c r="B657" s="49">
        <v>338</v>
      </c>
      <c r="C657" s="50">
        <f t="shared" si="9"/>
        <v>41234</v>
      </c>
      <c r="D657" s="50">
        <f t="shared" si="10"/>
        <v>41240</v>
      </c>
      <c r="E657" s="1"/>
      <c r="F657" s="1"/>
    </row>
    <row r="658" spans="2:6">
      <c r="B658" s="49">
        <v>339</v>
      </c>
      <c r="C658" s="50">
        <f t="shared" si="9"/>
        <v>41241</v>
      </c>
      <c r="D658" s="50">
        <f t="shared" si="10"/>
        <v>41247</v>
      </c>
      <c r="E658" s="1"/>
      <c r="F658" s="1"/>
    </row>
    <row r="659" spans="2:6">
      <c r="B659" s="49">
        <v>340</v>
      </c>
      <c r="C659" s="50">
        <f t="shared" si="9"/>
        <v>41248</v>
      </c>
      <c r="D659" s="50">
        <f t="shared" si="10"/>
        <v>41254</v>
      </c>
      <c r="E659" s="1"/>
      <c r="F659" s="1"/>
    </row>
    <row r="660" spans="2:6">
      <c r="B660" s="49">
        <v>341</v>
      </c>
      <c r="C660" s="50">
        <f t="shared" si="9"/>
        <v>41255</v>
      </c>
      <c r="D660" s="50">
        <f t="shared" si="10"/>
        <v>41261</v>
      </c>
      <c r="E660" s="1"/>
      <c r="F660" s="1"/>
    </row>
    <row r="661" spans="2:6">
      <c r="B661" s="49">
        <v>342</v>
      </c>
      <c r="C661" s="50">
        <f t="shared" si="9"/>
        <v>41262</v>
      </c>
      <c r="D661" s="50">
        <f t="shared" si="10"/>
        <v>41268</v>
      </c>
      <c r="E661" s="1"/>
      <c r="F661" s="1"/>
    </row>
    <row r="662" spans="2:6">
      <c r="B662" s="49">
        <v>343</v>
      </c>
      <c r="C662" s="50">
        <f t="shared" si="9"/>
        <v>41269</v>
      </c>
      <c r="D662" s="50">
        <f t="shared" si="10"/>
        <v>41275</v>
      </c>
      <c r="E662" s="1"/>
      <c r="F662" s="1"/>
    </row>
    <row r="663" spans="2:6">
      <c r="B663" s="49">
        <v>344</v>
      </c>
      <c r="C663" s="50">
        <f t="shared" si="9"/>
        <v>41276</v>
      </c>
      <c r="D663" s="50">
        <f t="shared" si="10"/>
        <v>41282</v>
      </c>
      <c r="E663" s="1"/>
      <c r="F663" s="1"/>
    </row>
    <row r="664" spans="2:6">
      <c r="B664" s="49">
        <v>345</v>
      </c>
      <c r="C664" s="50">
        <f t="shared" si="9"/>
        <v>41283</v>
      </c>
      <c r="D664" s="50">
        <f t="shared" si="10"/>
        <v>41289</v>
      </c>
      <c r="E664" s="1"/>
      <c r="F664" s="1"/>
    </row>
    <row r="665" spans="2:6">
      <c r="B665" s="49">
        <v>346</v>
      </c>
      <c r="C665" s="50">
        <f t="shared" ref="C665:C728" si="11">D664+1</f>
        <v>41290</v>
      </c>
      <c r="D665" s="50">
        <f t="shared" ref="D665:D728" si="12">D664+7</f>
        <v>41296</v>
      </c>
      <c r="E665" s="1"/>
      <c r="F665" s="1"/>
    </row>
    <row r="666" spans="2:6">
      <c r="B666" s="49">
        <v>347</v>
      </c>
      <c r="C666" s="50">
        <f t="shared" si="11"/>
        <v>41297</v>
      </c>
      <c r="D666" s="50">
        <f t="shared" si="12"/>
        <v>41303</v>
      </c>
      <c r="E666" s="1"/>
      <c r="F666" s="1"/>
    </row>
    <row r="667" spans="2:6">
      <c r="B667" s="49">
        <v>348</v>
      </c>
      <c r="C667" s="50">
        <f t="shared" si="11"/>
        <v>41304</v>
      </c>
      <c r="D667" s="50">
        <f t="shared" si="12"/>
        <v>41310</v>
      </c>
      <c r="E667" s="1"/>
      <c r="F667" s="1"/>
    </row>
    <row r="668" spans="2:6">
      <c r="B668" s="49">
        <v>349</v>
      </c>
      <c r="C668" s="50">
        <f t="shared" si="11"/>
        <v>41311</v>
      </c>
      <c r="D668" s="50">
        <f t="shared" si="12"/>
        <v>41317</v>
      </c>
      <c r="E668" s="1"/>
      <c r="F668" s="1"/>
    </row>
    <row r="669" spans="2:6">
      <c r="B669" s="49">
        <v>350</v>
      </c>
      <c r="C669" s="50">
        <f t="shared" si="11"/>
        <v>41318</v>
      </c>
      <c r="D669" s="50">
        <f t="shared" si="12"/>
        <v>41324</v>
      </c>
      <c r="E669" s="1"/>
      <c r="F669" s="1"/>
    </row>
    <row r="670" spans="2:6">
      <c r="B670" s="49">
        <v>351</v>
      </c>
      <c r="C670" s="50">
        <f t="shared" si="11"/>
        <v>41325</v>
      </c>
      <c r="D670" s="50">
        <f t="shared" si="12"/>
        <v>41331</v>
      </c>
      <c r="E670" s="1"/>
      <c r="F670" s="1"/>
    </row>
    <row r="671" spans="2:6">
      <c r="B671" s="49">
        <v>352</v>
      </c>
      <c r="C671" s="50">
        <f t="shared" si="11"/>
        <v>41332</v>
      </c>
      <c r="D671" s="50">
        <f t="shared" si="12"/>
        <v>41338</v>
      </c>
      <c r="E671" s="1"/>
      <c r="F671" s="1"/>
    </row>
    <row r="672" spans="2:6">
      <c r="B672" s="49">
        <v>353</v>
      </c>
      <c r="C672" s="50">
        <f t="shared" si="11"/>
        <v>41339</v>
      </c>
      <c r="D672" s="50">
        <f t="shared" si="12"/>
        <v>41345</v>
      </c>
      <c r="E672" s="1"/>
      <c r="F672" s="1"/>
    </row>
    <row r="673" spans="2:6">
      <c r="B673" s="49">
        <v>354</v>
      </c>
      <c r="C673" s="50">
        <f t="shared" si="11"/>
        <v>41346</v>
      </c>
      <c r="D673" s="50">
        <f t="shared" si="12"/>
        <v>41352</v>
      </c>
      <c r="E673" s="1"/>
      <c r="F673" s="1"/>
    </row>
    <row r="674" spans="2:6">
      <c r="B674" s="49">
        <v>355</v>
      </c>
      <c r="C674" s="50">
        <f t="shared" si="11"/>
        <v>41353</v>
      </c>
      <c r="D674" s="50">
        <f t="shared" si="12"/>
        <v>41359</v>
      </c>
      <c r="E674" s="1"/>
      <c r="F674" s="1"/>
    </row>
    <row r="675" spans="2:6">
      <c r="B675" s="49">
        <v>356</v>
      </c>
      <c r="C675" s="50">
        <f t="shared" si="11"/>
        <v>41360</v>
      </c>
      <c r="D675" s="50">
        <f t="shared" si="12"/>
        <v>41366</v>
      </c>
      <c r="E675" s="1"/>
      <c r="F675" s="1"/>
    </row>
    <row r="676" spans="2:6">
      <c r="B676" s="49">
        <v>357</v>
      </c>
      <c r="C676" s="50">
        <f t="shared" si="11"/>
        <v>41367</v>
      </c>
      <c r="D676" s="50">
        <f t="shared" si="12"/>
        <v>41373</v>
      </c>
      <c r="E676" s="1"/>
      <c r="F676" s="1"/>
    </row>
    <row r="677" spans="2:6">
      <c r="B677" s="49">
        <v>358</v>
      </c>
      <c r="C677" s="50">
        <f t="shared" si="11"/>
        <v>41374</v>
      </c>
      <c r="D677" s="50">
        <f t="shared" si="12"/>
        <v>41380</v>
      </c>
      <c r="E677" s="1"/>
      <c r="F677" s="1"/>
    </row>
    <row r="678" spans="2:6">
      <c r="B678" s="49">
        <v>359</v>
      </c>
      <c r="C678" s="50">
        <f t="shared" si="11"/>
        <v>41381</v>
      </c>
      <c r="D678" s="50">
        <f t="shared" si="12"/>
        <v>41387</v>
      </c>
      <c r="E678" s="1"/>
      <c r="F678" s="1"/>
    </row>
    <row r="679" spans="2:6">
      <c r="B679" s="49">
        <v>360</v>
      </c>
      <c r="C679" s="50">
        <f t="shared" si="11"/>
        <v>41388</v>
      </c>
      <c r="D679" s="50">
        <f t="shared" si="12"/>
        <v>41394</v>
      </c>
      <c r="E679" s="1"/>
      <c r="F679" s="1"/>
    </row>
    <row r="680" spans="2:6">
      <c r="B680" s="49">
        <v>361</v>
      </c>
      <c r="C680" s="50">
        <f t="shared" si="11"/>
        <v>41395</v>
      </c>
      <c r="D680" s="50">
        <f t="shared" si="12"/>
        <v>41401</v>
      </c>
      <c r="E680" s="1"/>
      <c r="F680" s="1"/>
    </row>
    <row r="681" spans="2:6">
      <c r="B681" s="49">
        <v>362</v>
      </c>
      <c r="C681" s="50">
        <f t="shared" si="11"/>
        <v>41402</v>
      </c>
      <c r="D681" s="50">
        <f t="shared" si="12"/>
        <v>41408</v>
      </c>
      <c r="E681" s="1"/>
      <c r="F681" s="1"/>
    </row>
    <row r="682" spans="2:6">
      <c r="B682" s="49">
        <v>363</v>
      </c>
      <c r="C682" s="50">
        <f t="shared" si="11"/>
        <v>41409</v>
      </c>
      <c r="D682" s="50">
        <f t="shared" si="12"/>
        <v>41415</v>
      </c>
      <c r="E682" s="1"/>
      <c r="F682" s="1"/>
    </row>
    <row r="683" spans="2:6">
      <c r="B683" s="49">
        <v>364</v>
      </c>
      <c r="C683" s="50">
        <f t="shared" si="11"/>
        <v>41416</v>
      </c>
      <c r="D683" s="50">
        <f t="shared" si="12"/>
        <v>41422</v>
      </c>
      <c r="E683" s="1"/>
      <c r="F683" s="1"/>
    </row>
    <row r="684" spans="2:6">
      <c r="B684" s="49">
        <v>365</v>
      </c>
      <c r="C684" s="50">
        <f t="shared" si="11"/>
        <v>41423</v>
      </c>
      <c r="D684" s="50">
        <f t="shared" si="12"/>
        <v>41429</v>
      </c>
      <c r="E684" s="1"/>
      <c r="F684" s="1"/>
    </row>
    <row r="685" spans="2:6">
      <c r="B685" s="49">
        <v>366</v>
      </c>
      <c r="C685" s="50">
        <f t="shared" si="11"/>
        <v>41430</v>
      </c>
      <c r="D685" s="50">
        <f t="shared" si="12"/>
        <v>41436</v>
      </c>
      <c r="E685" s="1"/>
      <c r="F685" s="1"/>
    </row>
    <row r="686" spans="2:6">
      <c r="B686" s="49">
        <v>367</v>
      </c>
      <c r="C686" s="50">
        <f t="shared" si="11"/>
        <v>41437</v>
      </c>
      <c r="D686" s="50">
        <f t="shared" si="12"/>
        <v>41443</v>
      </c>
      <c r="E686" s="1"/>
      <c r="F686" s="1"/>
    </row>
    <row r="687" spans="2:6">
      <c r="B687" s="49">
        <v>368</v>
      </c>
      <c r="C687" s="50">
        <f t="shared" si="11"/>
        <v>41444</v>
      </c>
      <c r="D687" s="50">
        <f t="shared" si="12"/>
        <v>41450</v>
      </c>
      <c r="E687" s="1"/>
      <c r="F687" s="1"/>
    </row>
    <row r="688" spans="2:6">
      <c r="B688" s="49">
        <v>369</v>
      </c>
      <c r="C688" s="50">
        <f t="shared" si="11"/>
        <v>41451</v>
      </c>
      <c r="D688" s="50">
        <f t="shared" si="12"/>
        <v>41457</v>
      </c>
      <c r="E688" s="1"/>
      <c r="F688" s="1"/>
    </row>
    <row r="689" spans="2:6">
      <c r="B689" s="49">
        <v>370</v>
      </c>
      <c r="C689" s="50">
        <f t="shared" si="11"/>
        <v>41458</v>
      </c>
      <c r="D689" s="50">
        <f t="shared" si="12"/>
        <v>41464</v>
      </c>
      <c r="E689" s="1"/>
      <c r="F689" s="1"/>
    </row>
    <row r="690" spans="2:6">
      <c r="B690" s="49">
        <v>371</v>
      </c>
      <c r="C690" s="50">
        <f t="shared" si="11"/>
        <v>41465</v>
      </c>
      <c r="D690" s="50">
        <f t="shared" si="12"/>
        <v>41471</v>
      </c>
      <c r="E690" s="1"/>
      <c r="F690" s="1"/>
    </row>
    <row r="691" spans="2:6">
      <c r="B691" s="49">
        <v>372</v>
      </c>
      <c r="C691" s="50">
        <f t="shared" si="11"/>
        <v>41472</v>
      </c>
      <c r="D691" s="50">
        <f t="shared" si="12"/>
        <v>41478</v>
      </c>
      <c r="E691" s="1"/>
      <c r="F691" s="1"/>
    </row>
    <row r="692" spans="2:6">
      <c r="B692" s="49">
        <v>373</v>
      </c>
      <c r="C692" s="50">
        <f t="shared" si="11"/>
        <v>41479</v>
      </c>
      <c r="D692" s="50">
        <f t="shared" si="12"/>
        <v>41485</v>
      </c>
      <c r="E692" s="1"/>
      <c r="F692" s="1"/>
    </row>
    <row r="693" spans="2:6">
      <c r="B693" s="49">
        <v>374</v>
      </c>
      <c r="C693" s="50">
        <f t="shared" si="11"/>
        <v>41486</v>
      </c>
      <c r="D693" s="50">
        <f t="shared" si="12"/>
        <v>41492</v>
      </c>
      <c r="E693" s="1"/>
      <c r="F693" s="1"/>
    </row>
    <row r="694" spans="2:6">
      <c r="B694" s="49">
        <v>375</v>
      </c>
      <c r="C694" s="50">
        <f t="shared" si="11"/>
        <v>41493</v>
      </c>
      <c r="D694" s="50">
        <f t="shared" si="12"/>
        <v>41499</v>
      </c>
      <c r="E694" s="1"/>
      <c r="F694" s="1"/>
    </row>
    <row r="695" spans="2:6">
      <c r="B695" s="49">
        <v>376</v>
      </c>
      <c r="C695" s="50">
        <f t="shared" si="11"/>
        <v>41500</v>
      </c>
      <c r="D695" s="50">
        <f t="shared" si="12"/>
        <v>41506</v>
      </c>
      <c r="E695" s="1"/>
      <c r="F695" s="1"/>
    </row>
    <row r="696" spans="2:6">
      <c r="B696" s="49">
        <v>377</v>
      </c>
      <c r="C696" s="50">
        <f t="shared" si="11"/>
        <v>41507</v>
      </c>
      <c r="D696" s="50">
        <f t="shared" si="12"/>
        <v>41513</v>
      </c>
      <c r="E696" s="1"/>
      <c r="F696" s="1"/>
    </row>
    <row r="697" spans="2:6">
      <c r="B697" s="49">
        <v>378</v>
      </c>
      <c r="C697" s="50">
        <f t="shared" si="11"/>
        <v>41514</v>
      </c>
      <c r="D697" s="50">
        <f t="shared" si="12"/>
        <v>41520</v>
      </c>
      <c r="E697" s="1"/>
      <c r="F697" s="1"/>
    </row>
    <row r="698" spans="2:6">
      <c r="B698" s="49">
        <v>379</v>
      </c>
      <c r="C698" s="50">
        <f t="shared" si="11"/>
        <v>41521</v>
      </c>
      <c r="D698" s="50">
        <f t="shared" si="12"/>
        <v>41527</v>
      </c>
      <c r="E698" s="1"/>
      <c r="F698" s="1"/>
    </row>
    <row r="699" spans="2:6">
      <c r="B699" s="49">
        <v>380</v>
      </c>
      <c r="C699" s="50">
        <f t="shared" si="11"/>
        <v>41528</v>
      </c>
      <c r="D699" s="50">
        <f t="shared" si="12"/>
        <v>41534</v>
      </c>
      <c r="E699" s="1"/>
      <c r="F699" s="1"/>
    </row>
    <row r="700" spans="2:6">
      <c r="B700" s="49">
        <v>381</v>
      </c>
      <c r="C700" s="50">
        <f t="shared" si="11"/>
        <v>41535</v>
      </c>
      <c r="D700" s="50">
        <f t="shared" si="12"/>
        <v>41541</v>
      </c>
      <c r="E700" s="1"/>
      <c r="F700" s="1"/>
    </row>
    <row r="701" spans="2:6">
      <c r="B701" s="49">
        <v>382</v>
      </c>
      <c r="C701" s="50">
        <f t="shared" si="11"/>
        <v>41542</v>
      </c>
      <c r="D701" s="50">
        <f t="shared" si="12"/>
        <v>41548</v>
      </c>
      <c r="E701" s="1"/>
      <c r="F701" s="1"/>
    </row>
    <row r="702" spans="2:6">
      <c r="B702" s="49">
        <v>383</v>
      </c>
      <c r="C702" s="50">
        <f t="shared" si="11"/>
        <v>41549</v>
      </c>
      <c r="D702" s="50">
        <f t="shared" si="12"/>
        <v>41555</v>
      </c>
      <c r="E702" s="1"/>
      <c r="F702" s="1"/>
    </row>
    <row r="703" spans="2:6">
      <c r="B703" s="49">
        <v>384</v>
      </c>
      <c r="C703" s="50">
        <f t="shared" si="11"/>
        <v>41556</v>
      </c>
      <c r="D703" s="50">
        <f t="shared" si="12"/>
        <v>41562</v>
      </c>
      <c r="E703" s="1"/>
      <c r="F703" s="1"/>
    </row>
    <row r="704" spans="2:6">
      <c r="B704" s="49">
        <v>385</v>
      </c>
      <c r="C704" s="50">
        <f t="shared" si="11"/>
        <v>41563</v>
      </c>
      <c r="D704" s="50">
        <f t="shared" si="12"/>
        <v>41569</v>
      </c>
      <c r="E704" s="1"/>
      <c r="F704" s="1"/>
    </row>
    <row r="705" spans="2:6">
      <c r="B705" s="49">
        <v>386</v>
      </c>
      <c r="C705" s="50">
        <f t="shared" si="11"/>
        <v>41570</v>
      </c>
      <c r="D705" s="50">
        <f t="shared" si="12"/>
        <v>41576</v>
      </c>
      <c r="E705" s="1"/>
      <c r="F705" s="1"/>
    </row>
    <row r="706" spans="2:6">
      <c r="B706" s="49">
        <v>387</v>
      </c>
      <c r="C706" s="50">
        <f t="shared" si="11"/>
        <v>41577</v>
      </c>
      <c r="D706" s="50">
        <f t="shared" si="12"/>
        <v>41583</v>
      </c>
      <c r="E706" s="1"/>
      <c r="F706" s="1"/>
    </row>
    <row r="707" spans="2:6">
      <c r="B707" s="49">
        <v>388</v>
      </c>
      <c r="C707" s="50">
        <f t="shared" si="11"/>
        <v>41584</v>
      </c>
      <c r="D707" s="50">
        <f t="shared" si="12"/>
        <v>41590</v>
      </c>
      <c r="E707" s="1"/>
      <c r="F707" s="1"/>
    </row>
    <row r="708" spans="2:6">
      <c r="B708" s="49">
        <v>389</v>
      </c>
      <c r="C708" s="50">
        <f t="shared" si="11"/>
        <v>41591</v>
      </c>
      <c r="D708" s="50">
        <f t="shared" si="12"/>
        <v>41597</v>
      </c>
      <c r="E708" s="1"/>
      <c r="F708" s="1"/>
    </row>
    <row r="709" spans="2:6">
      <c r="B709" s="49">
        <v>390</v>
      </c>
      <c r="C709" s="50">
        <f t="shared" si="11"/>
        <v>41598</v>
      </c>
      <c r="D709" s="50">
        <f t="shared" si="12"/>
        <v>41604</v>
      </c>
      <c r="E709" s="1"/>
      <c r="F709" s="1"/>
    </row>
    <row r="710" spans="2:6">
      <c r="B710" s="49">
        <v>391</v>
      </c>
      <c r="C710" s="50">
        <f t="shared" si="11"/>
        <v>41605</v>
      </c>
      <c r="D710" s="50">
        <f t="shared" si="12"/>
        <v>41611</v>
      </c>
      <c r="E710" s="1"/>
      <c r="F710" s="1"/>
    </row>
    <row r="711" spans="2:6">
      <c r="B711" s="49">
        <v>392</v>
      </c>
      <c r="C711" s="50">
        <f t="shared" si="11"/>
        <v>41612</v>
      </c>
      <c r="D711" s="50">
        <f t="shared" si="12"/>
        <v>41618</v>
      </c>
      <c r="E711" s="1"/>
      <c r="F711" s="1"/>
    </row>
    <row r="712" spans="2:6">
      <c r="B712" s="49">
        <v>393</v>
      </c>
      <c r="C712" s="50">
        <f t="shared" si="11"/>
        <v>41619</v>
      </c>
      <c r="D712" s="50">
        <f t="shared" si="12"/>
        <v>41625</v>
      </c>
      <c r="E712" s="1"/>
      <c r="F712" s="1"/>
    </row>
    <row r="713" spans="2:6">
      <c r="B713" s="49">
        <v>394</v>
      </c>
      <c r="C713" s="50">
        <f t="shared" si="11"/>
        <v>41626</v>
      </c>
      <c r="D713" s="50">
        <f t="shared" si="12"/>
        <v>41632</v>
      </c>
      <c r="E713" s="1"/>
      <c r="F713" s="1"/>
    </row>
    <row r="714" spans="2:6">
      <c r="B714" s="49">
        <v>395</v>
      </c>
      <c r="C714" s="50">
        <f t="shared" si="11"/>
        <v>41633</v>
      </c>
      <c r="D714" s="50">
        <f t="shared" si="12"/>
        <v>41639</v>
      </c>
      <c r="E714" s="1"/>
      <c r="F714" s="1"/>
    </row>
    <row r="715" spans="2:6">
      <c r="B715" s="49">
        <v>396</v>
      </c>
      <c r="C715" s="50">
        <f t="shared" si="11"/>
        <v>41640</v>
      </c>
      <c r="D715" s="50">
        <f t="shared" si="12"/>
        <v>41646</v>
      </c>
      <c r="E715" s="1"/>
      <c r="F715" s="1"/>
    </row>
    <row r="716" spans="2:6">
      <c r="B716" s="49">
        <v>397</v>
      </c>
      <c r="C716" s="50">
        <f t="shared" si="11"/>
        <v>41647</v>
      </c>
      <c r="D716" s="50">
        <f t="shared" si="12"/>
        <v>41653</v>
      </c>
      <c r="E716" s="1"/>
      <c r="F716" s="1"/>
    </row>
    <row r="717" spans="2:6">
      <c r="B717" s="49">
        <v>398</v>
      </c>
      <c r="C717" s="50">
        <f t="shared" si="11"/>
        <v>41654</v>
      </c>
      <c r="D717" s="50">
        <f t="shared" si="12"/>
        <v>41660</v>
      </c>
      <c r="E717" s="1"/>
      <c r="F717" s="1"/>
    </row>
    <row r="718" spans="2:6">
      <c r="B718" s="49">
        <v>399</v>
      </c>
      <c r="C718" s="50">
        <f t="shared" si="11"/>
        <v>41661</v>
      </c>
      <c r="D718" s="50">
        <f t="shared" si="12"/>
        <v>41667</v>
      </c>
      <c r="E718" s="1"/>
      <c r="F718" s="1"/>
    </row>
    <row r="719" spans="2:6">
      <c r="B719" s="49">
        <v>400</v>
      </c>
      <c r="C719" s="50">
        <f t="shared" si="11"/>
        <v>41668</v>
      </c>
      <c r="D719" s="50">
        <f t="shared" si="12"/>
        <v>41674</v>
      </c>
      <c r="E719" s="1"/>
      <c r="F719" s="1"/>
    </row>
    <row r="720" spans="2:6">
      <c r="B720" s="49">
        <v>401</v>
      </c>
      <c r="C720" s="50">
        <f t="shared" si="11"/>
        <v>41675</v>
      </c>
      <c r="D720" s="50">
        <f t="shared" si="12"/>
        <v>41681</v>
      </c>
      <c r="E720" s="1"/>
      <c r="F720" s="1"/>
    </row>
    <row r="721" spans="2:6">
      <c r="B721" s="49">
        <v>402</v>
      </c>
      <c r="C721" s="50">
        <f t="shared" si="11"/>
        <v>41682</v>
      </c>
      <c r="D721" s="50">
        <f t="shared" si="12"/>
        <v>41688</v>
      </c>
      <c r="E721" s="1"/>
      <c r="F721" s="1"/>
    </row>
    <row r="722" spans="2:6">
      <c r="B722" s="49">
        <v>403</v>
      </c>
      <c r="C722" s="50">
        <f t="shared" si="11"/>
        <v>41689</v>
      </c>
      <c r="D722" s="50">
        <f t="shared" si="12"/>
        <v>41695</v>
      </c>
      <c r="E722" s="1"/>
      <c r="F722" s="1"/>
    </row>
    <row r="723" spans="2:6">
      <c r="B723" s="49">
        <v>404</v>
      </c>
      <c r="C723" s="50">
        <f t="shared" si="11"/>
        <v>41696</v>
      </c>
      <c r="D723" s="50">
        <f t="shared" si="12"/>
        <v>41702</v>
      </c>
      <c r="E723" s="1"/>
      <c r="F723" s="1"/>
    </row>
    <row r="724" spans="2:6">
      <c r="B724" s="49">
        <v>405</v>
      </c>
      <c r="C724" s="50">
        <f t="shared" si="11"/>
        <v>41703</v>
      </c>
      <c r="D724" s="50">
        <f t="shared" si="12"/>
        <v>41709</v>
      </c>
      <c r="E724" s="1"/>
      <c r="F724" s="1"/>
    </row>
    <row r="725" spans="2:6">
      <c r="B725" s="49">
        <v>406</v>
      </c>
      <c r="C725" s="50">
        <f t="shared" si="11"/>
        <v>41710</v>
      </c>
      <c r="D725" s="50">
        <f t="shared" si="12"/>
        <v>41716</v>
      </c>
      <c r="E725" s="1"/>
      <c r="F725" s="1"/>
    </row>
    <row r="726" spans="2:6">
      <c r="B726" s="49">
        <v>407</v>
      </c>
      <c r="C726" s="50">
        <f t="shared" si="11"/>
        <v>41717</v>
      </c>
      <c r="D726" s="50">
        <f t="shared" si="12"/>
        <v>41723</v>
      </c>
      <c r="E726" s="1"/>
      <c r="F726" s="1"/>
    </row>
    <row r="727" spans="2:6">
      <c r="B727" s="49">
        <v>408</v>
      </c>
      <c r="C727" s="50">
        <f t="shared" si="11"/>
        <v>41724</v>
      </c>
      <c r="D727" s="50">
        <f t="shared" si="12"/>
        <v>41730</v>
      </c>
      <c r="E727" s="1"/>
      <c r="F727" s="1"/>
    </row>
    <row r="728" spans="2:6">
      <c r="B728" s="49">
        <v>409</v>
      </c>
      <c r="C728" s="50">
        <f t="shared" si="11"/>
        <v>41731</v>
      </c>
      <c r="D728" s="50">
        <f t="shared" si="12"/>
        <v>41737</v>
      </c>
      <c r="E728" s="1"/>
      <c r="F728" s="1"/>
    </row>
    <row r="729" spans="2:6">
      <c r="B729" s="49">
        <v>410</v>
      </c>
      <c r="C729" s="50">
        <f t="shared" ref="C729:C792" si="13">D728+1</f>
        <v>41738</v>
      </c>
      <c r="D729" s="50">
        <f t="shared" ref="D729:D792" si="14">D728+7</f>
        <v>41744</v>
      </c>
      <c r="E729" s="1"/>
      <c r="F729" s="1"/>
    </row>
    <row r="730" spans="2:6">
      <c r="B730" s="49">
        <v>411</v>
      </c>
      <c r="C730" s="50">
        <f t="shared" si="13"/>
        <v>41745</v>
      </c>
      <c r="D730" s="50">
        <f t="shared" si="14"/>
        <v>41751</v>
      </c>
      <c r="E730" s="1"/>
      <c r="F730" s="1"/>
    </row>
    <row r="731" spans="2:6">
      <c r="B731" s="49">
        <v>412</v>
      </c>
      <c r="C731" s="50">
        <f t="shared" si="13"/>
        <v>41752</v>
      </c>
      <c r="D731" s="50">
        <f t="shared" si="14"/>
        <v>41758</v>
      </c>
      <c r="E731" s="1"/>
      <c r="F731" s="1"/>
    </row>
    <row r="732" spans="2:6">
      <c r="B732" s="49">
        <v>413</v>
      </c>
      <c r="C732" s="50">
        <f t="shared" si="13"/>
        <v>41759</v>
      </c>
      <c r="D732" s="50">
        <f t="shared" si="14"/>
        <v>41765</v>
      </c>
      <c r="E732" s="1"/>
      <c r="F732" s="1"/>
    </row>
    <row r="733" spans="2:6">
      <c r="B733" s="49">
        <v>414</v>
      </c>
      <c r="C733" s="50">
        <f t="shared" si="13"/>
        <v>41766</v>
      </c>
      <c r="D733" s="50">
        <f t="shared" si="14"/>
        <v>41772</v>
      </c>
      <c r="E733" s="1"/>
      <c r="F733" s="1"/>
    </row>
    <row r="734" spans="2:6">
      <c r="B734" s="49">
        <v>415</v>
      </c>
      <c r="C734" s="50">
        <f t="shared" si="13"/>
        <v>41773</v>
      </c>
      <c r="D734" s="50">
        <f t="shared" si="14"/>
        <v>41779</v>
      </c>
      <c r="E734" s="1"/>
      <c r="F734" s="1"/>
    </row>
    <row r="735" spans="2:6">
      <c r="B735" s="49">
        <v>416</v>
      </c>
      <c r="C735" s="50">
        <f t="shared" si="13"/>
        <v>41780</v>
      </c>
      <c r="D735" s="50">
        <f t="shared" si="14"/>
        <v>41786</v>
      </c>
      <c r="E735" s="1"/>
      <c r="F735" s="1"/>
    </row>
    <row r="736" spans="2:6">
      <c r="B736" s="49">
        <v>417</v>
      </c>
      <c r="C736" s="50">
        <f t="shared" si="13"/>
        <v>41787</v>
      </c>
      <c r="D736" s="50">
        <f t="shared" si="14"/>
        <v>41793</v>
      </c>
      <c r="E736" s="1"/>
      <c r="F736" s="1"/>
    </row>
    <row r="737" spans="2:6">
      <c r="B737" s="49">
        <v>418</v>
      </c>
      <c r="C737" s="50">
        <f t="shared" si="13"/>
        <v>41794</v>
      </c>
      <c r="D737" s="50">
        <f t="shared" si="14"/>
        <v>41800</v>
      </c>
      <c r="E737" s="1"/>
      <c r="F737" s="1"/>
    </row>
    <row r="738" spans="2:6">
      <c r="B738" s="49">
        <v>419</v>
      </c>
      <c r="C738" s="50">
        <f t="shared" si="13"/>
        <v>41801</v>
      </c>
      <c r="D738" s="50">
        <f t="shared" si="14"/>
        <v>41807</v>
      </c>
      <c r="E738" s="1"/>
      <c r="F738" s="1"/>
    </row>
    <row r="739" spans="2:6">
      <c r="B739" s="49">
        <v>420</v>
      </c>
      <c r="C739" s="50">
        <f t="shared" si="13"/>
        <v>41808</v>
      </c>
      <c r="D739" s="50">
        <f t="shared" si="14"/>
        <v>41814</v>
      </c>
      <c r="E739" s="1"/>
      <c r="F739" s="1"/>
    </row>
    <row r="740" spans="2:6">
      <c r="B740" s="49">
        <v>421</v>
      </c>
      <c r="C740" s="50">
        <f t="shared" si="13"/>
        <v>41815</v>
      </c>
      <c r="D740" s="50">
        <f t="shared" si="14"/>
        <v>41821</v>
      </c>
      <c r="E740" s="1"/>
      <c r="F740" s="1"/>
    </row>
    <row r="741" spans="2:6">
      <c r="B741" s="49">
        <v>422</v>
      </c>
      <c r="C741" s="50">
        <f t="shared" si="13"/>
        <v>41822</v>
      </c>
      <c r="D741" s="50">
        <f t="shared" si="14"/>
        <v>41828</v>
      </c>
      <c r="E741" s="1"/>
      <c r="F741" s="1"/>
    </row>
    <row r="742" spans="2:6">
      <c r="B742" s="49">
        <v>423</v>
      </c>
      <c r="C742" s="50">
        <f t="shared" si="13"/>
        <v>41829</v>
      </c>
      <c r="D742" s="50">
        <f t="shared" si="14"/>
        <v>41835</v>
      </c>
      <c r="E742" s="1"/>
      <c r="F742" s="1"/>
    </row>
    <row r="743" spans="2:6">
      <c r="B743" s="49">
        <v>424</v>
      </c>
      <c r="C743" s="50">
        <f t="shared" si="13"/>
        <v>41836</v>
      </c>
      <c r="D743" s="50">
        <f t="shared" si="14"/>
        <v>41842</v>
      </c>
      <c r="E743" s="1"/>
      <c r="F743" s="1"/>
    </row>
    <row r="744" spans="2:6">
      <c r="B744" s="49">
        <v>425</v>
      </c>
      <c r="C744" s="50">
        <f t="shared" si="13"/>
        <v>41843</v>
      </c>
      <c r="D744" s="50">
        <f t="shared" si="14"/>
        <v>41849</v>
      </c>
      <c r="E744" s="1"/>
      <c r="F744" s="1"/>
    </row>
    <row r="745" spans="2:6">
      <c r="B745" s="49">
        <v>426</v>
      </c>
      <c r="C745" s="50">
        <f t="shared" si="13"/>
        <v>41850</v>
      </c>
      <c r="D745" s="50">
        <f t="shared" si="14"/>
        <v>41856</v>
      </c>
      <c r="E745" s="1"/>
      <c r="F745" s="1"/>
    </row>
    <row r="746" spans="2:6">
      <c r="B746" s="49">
        <v>427</v>
      </c>
      <c r="C746" s="50">
        <f t="shared" si="13"/>
        <v>41857</v>
      </c>
      <c r="D746" s="50">
        <f t="shared" si="14"/>
        <v>41863</v>
      </c>
      <c r="E746" s="1"/>
      <c r="F746" s="1"/>
    </row>
    <row r="747" spans="2:6">
      <c r="B747" s="49">
        <v>428</v>
      </c>
      <c r="C747" s="50">
        <f t="shared" si="13"/>
        <v>41864</v>
      </c>
      <c r="D747" s="50">
        <f t="shared" si="14"/>
        <v>41870</v>
      </c>
      <c r="E747" s="1"/>
      <c r="F747" s="1"/>
    </row>
    <row r="748" spans="2:6">
      <c r="B748" s="49">
        <v>429</v>
      </c>
      <c r="C748" s="50">
        <f t="shared" si="13"/>
        <v>41871</v>
      </c>
      <c r="D748" s="50">
        <f t="shared" si="14"/>
        <v>41877</v>
      </c>
      <c r="E748" s="1"/>
      <c r="F748" s="1"/>
    </row>
    <row r="749" spans="2:6">
      <c r="B749" s="49">
        <v>430</v>
      </c>
      <c r="C749" s="50">
        <f t="shared" si="13"/>
        <v>41878</v>
      </c>
      <c r="D749" s="50">
        <f t="shared" si="14"/>
        <v>41884</v>
      </c>
      <c r="E749" s="1"/>
      <c r="F749" s="1"/>
    </row>
    <row r="750" spans="2:6">
      <c r="B750" s="49">
        <v>431</v>
      </c>
      <c r="C750" s="50">
        <f t="shared" si="13"/>
        <v>41885</v>
      </c>
      <c r="D750" s="50">
        <f t="shared" si="14"/>
        <v>41891</v>
      </c>
      <c r="E750" s="1"/>
      <c r="F750" s="1"/>
    </row>
    <row r="751" spans="2:6">
      <c r="B751" s="49">
        <v>432</v>
      </c>
      <c r="C751" s="50">
        <f t="shared" si="13"/>
        <v>41892</v>
      </c>
      <c r="D751" s="50">
        <f t="shared" si="14"/>
        <v>41898</v>
      </c>
      <c r="E751" s="1"/>
      <c r="F751" s="1"/>
    </row>
    <row r="752" spans="2:6">
      <c r="B752" s="49">
        <v>433</v>
      </c>
      <c r="C752" s="50">
        <f t="shared" si="13"/>
        <v>41899</v>
      </c>
      <c r="D752" s="50">
        <f t="shared" si="14"/>
        <v>41905</v>
      </c>
      <c r="E752" s="1"/>
      <c r="F752" s="1"/>
    </row>
    <row r="753" spans="2:6">
      <c r="B753" s="49">
        <v>434</v>
      </c>
      <c r="C753" s="50">
        <f t="shared" si="13"/>
        <v>41906</v>
      </c>
      <c r="D753" s="50">
        <f t="shared" si="14"/>
        <v>41912</v>
      </c>
      <c r="E753" s="1"/>
      <c r="F753" s="1"/>
    </row>
    <row r="754" spans="2:6">
      <c r="B754" s="49">
        <v>435</v>
      </c>
      <c r="C754" s="50">
        <f t="shared" si="13"/>
        <v>41913</v>
      </c>
      <c r="D754" s="50">
        <f t="shared" si="14"/>
        <v>41919</v>
      </c>
      <c r="E754" s="1"/>
      <c r="F754" s="1"/>
    </row>
    <row r="755" spans="2:6">
      <c r="B755" s="49">
        <v>436</v>
      </c>
      <c r="C755" s="50">
        <f t="shared" si="13"/>
        <v>41920</v>
      </c>
      <c r="D755" s="50">
        <f t="shared" si="14"/>
        <v>41926</v>
      </c>
      <c r="E755" s="1"/>
      <c r="F755" s="1"/>
    </row>
    <row r="756" spans="2:6">
      <c r="B756" s="49">
        <v>437</v>
      </c>
      <c r="C756" s="50">
        <f t="shared" si="13"/>
        <v>41927</v>
      </c>
      <c r="D756" s="50">
        <f t="shared" si="14"/>
        <v>41933</v>
      </c>
      <c r="E756" s="1"/>
      <c r="F756" s="1"/>
    </row>
    <row r="757" spans="2:6">
      <c r="B757" s="49">
        <v>438</v>
      </c>
      <c r="C757" s="50">
        <f t="shared" si="13"/>
        <v>41934</v>
      </c>
      <c r="D757" s="50">
        <f t="shared" si="14"/>
        <v>41940</v>
      </c>
      <c r="E757" s="1"/>
      <c r="F757" s="1"/>
    </row>
    <row r="758" spans="2:6">
      <c r="B758" s="49">
        <v>439</v>
      </c>
      <c r="C758" s="50">
        <f t="shared" si="13"/>
        <v>41941</v>
      </c>
      <c r="D758" s="50">
        <f t="shared" si="14"/>
        <v>41947</v>
      </c>
      <c r="E758" s="1"/>
      <c r="F758" s="1"/>
    </row>
    <row r="759" spans="2:6">
      <c r="B759" s="49">
        <v>440</v>
      </c>
      <c r="C759" s="50">
        <f t="shared" si="13"/>
        <v>41948</v>
      </c>
      <c r="D759" s="50">
        <f t="shared" si="14"/>
        <v>41954</v>
      </c>
      <c r="E759" s="1"/>
      <c r="F759" s="1"/>
    </row>
    <row r="760" spans="2:6">
      <c r="B760" s="49">
        <v>441</v>
      </c>
      <c r="C760" s="50">
        <f t="shared" si="13"/>
        <v>41955</v>
      </c>
      <c r="D760" s="50">
        <f t="shared" si="14"/>
        <v>41961</v>
      </c>
      <c r="E760" s="1"/>
      <c r="F760" s="1"/>
    </row>
    <row r="761" spans="2:6">
      <c r="B761" s="49">
        <v>442</v>
      </c>
      <c r="C761" s="50">
        <f t="shared" si="13"/>
        <v>41962</v>
      </c>
      <c r="D761" s="50">
        <f t="shared" si="14"/>
        <v>41968</v>
      </c>
      <c r="E761" s="1"/>
      <c r="F761" s="1"/>
    </row>
    <row r="762" spans="2:6">
      <c r="B762" s="49">
        <v>443</v>
      </c>
      <c r="C762" s="50">
        <f t="shared" si="13"/>
        <v>41969</v>
      </c>
      <c r="D762" s="50">
        <f t="shared" si="14"/>
        <v>41975</v>
      </c>
      <c r="E762" s="1"/>
      <c r="F762" s="1"/>
    </row>
    <row r="763" spans="2:6">
      <c r="B763" s="49">
        <v>444</v>
      </c>
      <c r="C763" s="50">
        <f t="shared" si="13"/>
        <v>41976</v>
      </c>
      <c r="D763" s="50">
        <f t="shared" si="14"/>
        <v>41982</v>
      </c>
      <c r="E763" s="1"/>
      <c r="F763" s="1"/>
    </row>
    <row r="764" spans="2:6">
      <c r="B764" s="49">
        <v>445</v>
      </c>
      <c r="C764" s="50">
        <f t="shared" si="13"/>
        <v>41983</v>
      </c>
      <c r="D764" s="50">
        <f t="shared" si="14"/>
        <v>41989</v>
      </c>
      <c r="E764" s="1"/>
      <c r="F764" s="1"/>
    </row>
    <row r="765" spans="2:6">
      <c r="B765" s="49">
        <v>446</v>
      </c>
      <c r="C765" s="50">
        <f t="shared" si="13"/>
        <v>41990</v>
      </c>
      <c r="D765" s="50">
        <f t="shared" si="14"/>
        <v>41996</v>
      </c>
      <c r="E765" s="1"/>
      <c r="F765" s="1"/>
    </row>
    <row r="766" spans="2:6">
      <c r="B766" s="49">
        <v>447</v>
      </c>
      <c r="C766" s="50">
        <f t="shared" si="13"/>
        <v>41997</v>
      </c>
      <c r="D766" s="50">
        <f t="shared" si="14"/>
        <v>42003</v>
      </c>
      <c r="E766" s="1"/>
      <c r="F766" s="1"/>
    </row>
    <row r="767" spans="2:6">
      <c r="B767" s="49">
        <v>448</v>
      </c>
      <c r="C767" s="50">
        <f t="shared" si="13"/>
        <v>42004</v>
      </c>
      <c r="D767" s="50">
        <f t="shared" si="14"/>
        <v>42010</v>
      </c>
      <c r="E767" s="1"/>
      <c r="F767" s="1"/>
    </row>
    <row r="768" spans="2:6">
      <c r="B768" s="49">
        <v>449</v>
      </c>
      <c r="C768" s="50">
        <f t="shared" si="13"/>
        <v>42011</v>
      </c>
      <c r="D768" s="50">
        <f t="shared" si="14"/>
        <v>42017</v>
      </c>
      <c r="E768" s="1"/>
      <c r="F768" s="1"/>
    </row>
    <row r="769" spans="2:6">
      <c r="B769" s="49">
        <v>450</v>
      </c>
      <c r="C769" s="50">
        <f t="shared" si="13"/>
        <v>42018</v>
      </c>
      <c r="D769" s="50">
        <f t="shared" si="14"/>
        <v>42024</v>
      </c>
      <c r="E769" s="1"/>
      <c r="F769" s="1"/>
    </row>
    <row r="770" spans="2:6">
      <c r="B770" s="49">
        <v>451</v>
      </c>
      <c r="C770" s="50">
        <f t="shared" si="13"/>
        <v>42025</v>
      </c>
      <c r="D770" s="50">
        <f t="shared" si="14"/>
        <v>42031</v>
      </c>
      <c r="E770" s="1"/>
      <c r="F770" s="1"/>
    </row>
    <row r="771" spans="2:6">
      <c r="B771" s="49">
        <v>452</v>
      </c>
      <c r="C771" s="50">
        <f t="shared" si="13"/>
        <v>42032</v>
      </c>
      <c r="D771" s="50">
        <f t="shared" si="14"/>
        <v>42038</v>
      </c>
      <c r="E771" s="1"/>
      <c r="F771" s="1"/>
    </row>
    <row r="772" spans="2:6">
      <c r="B772" s="49">
        <v>453</v>
      </c>
      <c r="C772" s="50">
        <f t="shared" si="13"/>
        <v>42039</v>
      </c>
      <c r="D772" s="50">
        <f t="shared" si="14"/>
        <v>42045</v>
      </c>
      <c r="E772" s="1"/>
      <c r="F772" s="1"/>
    </row>
    <row r="773" spans="2:6">
      <c r="B773" s="49">
        <v>454</v>
      </c>
      <c r="C773" s="50">
        <f t="shared" si="13"/>
        <v>42046</v>
      </c>
      <c r="D773" s="50">
        <f t="shared" si="14"/>
        <v>42052</v>
      </c>
      <c r="E773" s="1"/>
      <c r="F773" s="1"/>
    </row>
    <row r="774" spans="2:6">
      <c r="B774" s="49">
        <v>455</v>
      </c>
      <c r="C774" s="50">
        <f t="shared" si="13"/>
        <v>42053</v>
      </c>
      <c r="D774" s="50">
        <f t="shared" si="14"/>
        <v>42059</v>
      </c>
      <c r="E774" s="1"/>
      <c r="F774" s="1"/>
    </row>
    <row r="775" spans="2:6">
      <c r="B775" s="49">
        <v>456</v>
      </c>
      <c r="C775" s="50">
        <f t="shared" si="13"/>
        <v>42060</v>
      </c>
      <c r="D775" s="50">
        <f t="shared" si="14"/>
        <v>42066</v>
      </c>
      <c r="E775" s="1"/>
      <c r="F775" s="1"/>
    </row>
    <row r="776" spans="2:6">
      <c r="B776" s="49">
        <v>457</v>
      </c>
      <c r="C776" s="50">
        <f t="shared" si="13"/>
        <v>42067</v>
      </c>
      <c r="D776" s="50">
        <f t="shared" si="14"/>
        <v>42073</v>
      </c>
      <c r="E776" s="1"/>
      <c r="F776" s="1"/>
    </row>
    <row r="777" spans="2:6">
      <c r="B777" s="49">
        <v>458</v>
      </c>
      <c r="C777" s="50">
        <f t="shared" si="13"/>
        <v>42074</v>
      </c>
      <c r="D777" s="50">
        <f t="shared" si="14"/>
        <v>42080</v>
      </c>
      <c r="E777" s="1"/>
      <c r="F777" s="1"/>
    </row>
    <row r="778" spans="2:6">
      <c r="B778" s="49">
        <v>459</v>
      </c>
      <c r="C778" s="50">
        <f t="shared" si="13"/>
        <v>42081</v>
      </c>
      <c r="D778" s="50">
        <f t="shared" si="14"/>
        <v>42087</v>
      </c>
      <c r="E778" s="1"/>
      <c r="F778" s="1"/>
    </row>
    <row r="779" spans="2:6">
      <c r="B779" s="49">
        <v>460</v>
      </c>
      <c r="C779" s="50">
        <f t="shared" si="13"/>
        <v>42088</v>
      </c>
      <c r="D779" s="50">
        <f t="shared" si="14"/>
        <v>42094</v>
      </c>
      <c r="E779" s="1"/>
      <c r="F779" s="1"/>
    </row>
    <row r="780" spans="2:6">
      <c r="B780" s="49">
        <v>461</v>
      </c>
      <c r="C780" s="50">
        <f t="shared" si="13"/>
        <v>42095</v>
      </c>
      <c r="D780" s="50">
        <f t="shared" si="14"/>
        <v>42101</v>
      </c>
      <c r="E780" s="1"/>
      <c r="F780" s="1"/>
    </row>
    <row r="781" spans="2:6">
      <c r="B781" s="49">
        <v>462</v>
      </c>
      <c r="C781" s="50">
        <f t="shared" si="13"/>
        <v>42102</v>
      </c>
      <c r="D781" s="50">
        <f t="shared" si="14"/>
        <v>42108</v>
      </c>
      <c r="E781" s="1"/>
      <c r="F781" s="1"/>
    </row>
    <row r="782" spans="2:6">
      <c r="B782" s="49">
        <v>463</v>
      </c>
      <c r="C782" s="50">
        <f t="shared" si="13"/>
        <v>42109</v>
      </c>
      <c r="D782" s="50">
        <f t="shared" si="14"/>
        <v>42115</v>
      </c>
      <c r="E782" s="1"/>
      <c r="F782" s="1"/>
    </row>
    <row r="783" spans="2:6">
      <c r="B783" s="49">
        <v>464</v>
      </c>
      <c r="C783" s="50">
        <f t="shared" si="13"/>
        <v>42116</v>
      </c>
      <c r="D783" s="50">
        <f t="shared" si="14"/>
        <v>42122</v>
      </c>
      <c r="E783" s="1"/>
      <c r="F783" s="1"/>
    </row>
    <row r="784" spans="2:6">
      <c r="B784" s="49">
        <v>465</v>
      </c>
      <c r="C784" s="50">
        <f t="shared" si="13"/>
        <v>42123</v>
      </c>
      <c r="D784" s="50">
        <f t="shared" si="14"/>
        <v>42129</v>
      </c>
      <c r="E784" s="1"/>
      <c r="F784" s="1"/>
    </row>
    <row r="785" spans="2:6">
      <c r="B785" s="49">
        <v>466</v>
      </c>
      <c r="C785" s="50">
        <f t="shared" si="13"/>
        <v>42130</v>
      </c>
      <c r="D785" s="50">
        <f t="shared" si="14"/>
        <v>42136</v>
      </c>
      <c r="E785" s="1"/>
      <c r="F785" s="1"/>
    </row>
    <row r="786" spans="2:6">
      <c r="B786" s="49">
        <v>467</v>
      </c>
      <c r="C786" s="50">
        <f t="shared" si="13"/>
        <v>42137</v>
      </c>
      <c r="D786" s="50">
        <f t="shared" si="14"/>
        <v>42143</v>
      </c>
      <c r="E786" s="1"/>
      <c r="F786" s="1"/>
    </row>
    <row r="787" spans="2:6">
      <c r="B787" s="49">
        <v>468</v>
      </c>
      <c r="C787" s="50">
        <f t="shared" si="13"/>
        <v>42144</v>
      </c>
      <c r="D787" s="50">
        <f t="shared" si="14"/>
        <v>42150</v>
      </c>
      <c r="E787" s="1"/>
      <c r="F787" s="1"/>
    </row>
    <row r="788" spans="2:6">
      <c r="B788" s="49">
        <v>469</v>
      </c>
      <c r="C788" s="50">
        <f t="shared" si="13"/>
        <v>42151</v>
      </c>
      <c r="D788" s="50">
        <f t="shared" si="14"/>
        <v>42157</v>
      </c>
      <c r="E788" s="1"/>
      <c r="F788" s="1"/>
    </row>
    <row r="789" spans="2:6">
      <c r="B789" s="49">
        <v>470</v>
      </c>
      <c r="C789" s="50">
        <f t="shared" si="13"/>
        <v>42158</v>
      </c>
      <c r="D789" s="50">
        <f t="shared" si="14"/>
        <v>42164</v>
      </c>
      <c r="E789" s="1"/>
      <c r="F789" s="1"/>
    </row>
    <row r="790" spans="2:6">
      <c r="B790" s="49">
        <v>471</v>
      </c>
      <c r="C790" s="50">
        <f t="shared" si="13"/>
        <v>42165</v>
      </c>
      <c r="D790" s="50">
        <f t="shared" si="14"/>
        <v>42171</v>
      </c>
      <c r="E790" s="1"/>
      <c r="F790" s="1"/>
    </row>
    <row r="791" spans="2:6">
      <c r="B791" s="49">
        <v>472</v>
      </c>
      <c r="C791" s="50">
        <f t="shared" si="13"/>
        <v>42172</v>
      </c>
      <c r="D791" s="50">
        <f t="shared" si="14"/>
        <v>42178</v>
      </c>
      <c r="E791" s="1"/>
      <c r="F791" s="1"/>
    </row>
    <row r="792" spans="2:6">
      <c r="B792" s="49">
        <v>473</v>
      </c>
      <c r="C792" s="50">
        <f t="shared" si="13"/>
        <v>42179</v>
      </c>
      <c r="D792" s="50">
        <f t="shared" si="14"/>
        <v>42185</v>
      </c>
      <c r="E792" s="1"/>
      <c r="F792" s="1"/>
    </row>
    <row r="793" spans="2:6">
      <c r="B793" s="49">
        <v>474</v>
      </c>
      <c r="C793" s="50">
        <f t="shared" ref="C793:C815" si="15">D792+1</f>
        <v>42186</v>
      </c>
      <c r="D793" s="50">
        <f t="shared" ref="D793:D918" si="16">D792+7</f>
        <v>42192</v>
      </c>
      <c r="E793" s="1"/>
      <c r="F793" s="1"/>
    </row>
    <row r="794" spans="2:6">
      <c r="B794" s="49">
        <v>475</v>
      </c>
      <c r="C794" s="50">
        <f t="shared" si="15"/>
        <v>42193</v>
      </c>
      <c r="D794" s="50">
        <f t="shared" si="16"/>
        <v>42199</v>
      </c>
      <c r="E794" s="1"/>
      <c r="F794" s="1"/>
    </row>
    <row r="795" spans="2:6">
      <c r="B795" s="49">
        <v>476</v>
      </c>
      <c r="C795" s="50">
        <f t="shared" si="15"/>
        <v>42200</v>
      </c>
      <c r="D795" s="50">
        <f t="shared" si="16"/>
        <v>42206</v>
      </c>
      <c r="E795" s="1"/>
      <c r="F795" s="1"/>
    </row>
    <row r="796" spans="2:6">
      <c r="B796" s="49">
        <v>477</v>
      </c>
      <c r="C796" s="50">
        <f t="shared" si="15"/>
        <v>42207</v>
      </c>
      <c r="D796" s="50">
        <f t="shared" si="16"/>
        <v>42213</v>
      </c>
      <c r="E796" s="1"/>
      <c r="F796" s="1"/>
    </row>
    <row r="797" spans="2:6">
      <c r="B797" s="49">
        <v>478</v>
      </c>
      <c r="C797" s="50">
        <f t="shared" si="15"/>
        <v>42214</v>
      </c>
      <c r="D797" s="50">
        <f t="shared" si="16"/>
        <v>42220</v>
      </c>
      <c r="E797" s="1"/>
      <c r="F797" s="1"/>
    </row>
    <row r="798" spans="2:6">
      <c r="B798" s="49">
        <v>479</v>
      </c>
      <c r="C798" s="50">
        <f t="shared" si="15"/>
        <v>42221</v>
      </c>
      <c r="D798" s="50">
        <f t="shared" si="16"/>
        <v>42227</v>
      </c>
      <c r="E798" s="1"/>
      <c r="F798" s="1"/>
    </row>
    <row r="799" spans="2:6">
      <c r="B799" s="49">
        <v>480</v>
      </c>
      <c r="C799" s="50">
        <f t="shared" si="15"/>
        <v>42228</v>
      </c>
      <c r="D799" s="50">
        <f t="shared" si="16"/>
        <v>42234</v>
      </c>
      <c r="E799" s="1"/>
      <c r="F799" s="1"/>
    </row>
    <row r="800" spans="2:6">
      <c r="B800" s="49">
        <v>481</v>
      </c>
      <c r="C800" s="50">
        <f t="shared" si="15"/>
        <v>42235</v>
      </c>
      <c r="D800" s="50">
        <f t="shared" si="16"/>
        <v>42241</v>
      </c>
      <c r="E800" s="1"/>
      <c r="F800" s="1"/>
    </row>
    <row r="801" spans="2:6">
      <c r="B801" s="49">
        <v>482</v>
      </c>
      <c r="C801" s="50">
        <f t="shared" si="15"/>
        <v>42242</v>
      </c>
      <c r="D801" s="50">
        <f t="shared" si="16"/>
        <v>42248</v>
      </c>
      <c r="E801" s="1"/>
      <c r="F801" s="1"/>
    </row>
    <row r="802" spans="2:6">
      <c r="B802" s="49">
        <v>483</v>
      </c>
      <c r="C802" s="50">
        <f t="shared" si="15"/>
        <v>42249</v>
      </c>
      <c r="D802" s="50">
        <f t="shared" si="16"/>
        <v>42255</v>
      </c>
      <c r="E802" s="1"/>
      <c r="F802" s="1"/>
    </row>
    <row r="803" spans="2:6">
      <c r="B803" s="49">
        <v>484</v>
      </c>
      <c r="C803" s="50">
        <f t="shared" si="15"/>
        <v>42256</v>
      </c>
      <c r="D803" s="50">
        <f t="shared" si="16"/>
        <v>42262</v>
      </c>
      <c r="E803" s="1"/>
      <c r="F803" s="1"/>
    </row>
    <row r="804" spans="2:6">
      <c r="B804" s="49">
        <v>485</v>
      </c>
      <c r="C804" s="50">
        <f t="shared" si="15"/>
        <v>42263</v>
      </c>
      <c r="D804" s="50">
        <f t="shared" si="16"/>
        <v>42269</v>
      </c>
      <c r="E804" s="1"/>
      <c r="F804" s="1"/>
    </row>
    <row r="805" spans="2:6">
      <c r="B805" s="49">
        <v>486</v>
      </c>
      <c r="C805" s="50">
        <f t="shared" si="15"/>
        <v>42270</v>
      </c>
      <c r="D805" s="50">
        <f t="shared" si="16"/>
        <v>42276</v>
      </c>
      <c r="E805" s="1"/>
      <c r="F805" s="1"/>
    </row>
    <row r="806" spans="2:6">
      <c r="B806" s="49">
        <v>487</v>
      </c>
      <c r="C806" s="50">
        <f t="shared" si="15"/>
        <v>42277</v>
      </c>
      <c r="D806" s="50">
        <f t="shared" si="16"/>
        <v>42283</v>
      </c>
      <c r="E806" s="1"/>
      <c r="F806" s="1"/>
    </row>
    <row r="807" spans="2:6">
      <c r="B807" s="49">
        <v>488</v>
      </c>
      <c r="C807" s="50">
        <f t="shared" si="15"/>
        <v>42284</v>
      </c>
      <c r="D807" s="50">
        <f t="shared" si="16"/>
        <v>42290</v>
      </c>
      <c r="E807" s="1"/>
      <c r="F807" s="1"/>
    </row>
    <row r="808" spans="2:6">
      <c r="B808" s="49">
        <v>489</v>
      </c>
      <c r="C808" s="50">
        <f t="shared" si="15"/>
        <v>42291</v>
      </c>
      <c r="D808" s="50">
        <f t="shared" si="16"/>
        <v>42297</v>
      </c>
      <c r="E808" s="1"/>
      <c r="F808" s="1"/>
    </row>
    <row r="809" spans="2:6">
      <c r="B809" s="49">
        <v>490</v>
      </c>
      <c r="C809" s="50">
        <f t="shared" si="15"/>
        <v>42298</v>
      </c>
      <c r="D809" s="50">
        <f t="shared" si="16"/>
        <v>42304</v>
      </c>
      <c r="E809" s="1"/>
      <c r="F809" s="1"/>
    </row>
    <row r="810" spans="2:6">
      <c r="B810" s="49">
        <v>491</v>
      </c>
      <c r="C810" s="50">
        <f t="shared" si="15"/>
        <v>42305</v>
      </c>
      <c r="D810" s="50">
        <f t="shared" si="16"/>
        <v>42311</v>
      </c>
      <c r="E810" s="1"/>
      <c r="F810" s="1"/>
    </row>
    <row r="811" spans="2:6">
      <c r="B811" s="49">
        <v>492</v>
      </c>
      <c r="C811" s="50">
        <f t="shared" si="15"/>
        <v>42312</v>
      </c>
      <c r="D811" s="50">
        <f t="shared" si="16"/>
        <v>42318</v>
      </c>
      <c r="E811" s="1"/>
      <c r="F811" s="1"/>
    </row>
    <row r="812" spans="2:6">
      <c r="B812" s="49">
        <v>493</v>
      </c>
      <c r="C812" s="50">
        <f t="shared" si="15"/>
        <v>42319</v>
      </c>
      <c r="D812" s="50">
        <f t="shared" si="16"/>
        <v>42325</v>
      </c>
      <c r="E812" s="1"/>
      <c r="F812" s="1"/>
    </row>
    <row r="813" spans="2:6">
      <c r="B813" s="49">
        <v>494</v>
      </c>
      <c r="C813" s="50">
        <f t="shared" si="15"/>
        <v>42326</v>
      </c>
      <c r="D813" s="50">
        <f t="shared" si="16"/>
        <v>42332</v>
      </c>
      <c r="E813" s="1"/>
      <c r="F813" s="1"/>
    </row>
    <row r="814" spans="2:6">
      <c r="B814" s="49">
        <v>495</v>
      </c>
      <c r="C814" s="50">
        <f t="shared" si="15"/>
        <v>42333</v>
      </c>
      <c r="D814" s="50">
        <f t="shared" si="16"/>
        <v>42339</v>
      </c>
      <c r="E814" s="1"/>
      <c r="F814" s="1"/>
    </row>
    <row r="815" spans="2:6">
      <c r="B815" s="49">
        <v>496</v>
      </c>
      <c r="C815" s="50">
        <f t="shared" si="15"/>
        <v>42340</v>
      </c>
      <c r="D815" s="50">
        <f t="shared" si="16"/>
        <v>42346</v>
      </c>
      <c r="E815" s="1"/>
      <c r="F815" s="1"/>
    </row>
    <row r="816" spans="2:6">
      <c r="B816" s="49">
        <v>497</v>
      </c>
      <c r="C816" s="50">
        <f t="shared" ref="C816:C824" si="17">D815+1</f>
        <v>42347</v>
      </c>
      <c r="D816" s="50">
        <f t="shared" si="16"/>
        <v>42353</v>
      </c>
      <c r="E816" s="1"/>
      <c r="F816" s="1"/>
    </row>
    <row r="817" spans="2:6">
      <c r="B817" s="49">
        <v>498</v>
      </c>
      <c r="C817" s="50">
        <f t="shared" si="17"/>
        <v>42354</v>
      </c>
      <c r="D817" s="50">
        <f t="shared" si="16"/>
        <v>42360</v>
      </c>
      <c r="E817" s="1"/>
      <c r="F817" s="1"/>
    </row>
    <row r="818" spans="2:6">
      <c r="B818" s="49">
        <v>499</v>
      </c>
      <c r="C818" s="50">
        <f t="shared" si="17"/>
        <v>42361</v>
      </c>
      <c r="D818" s="50">
        <f t="shared" si="16"/>
        <v>42367</v>
      </c>
      <c r="E818" s="1"/>
      <c r="F818" s="1"/>
    </row>
    <row r="819" spans="2:6">
      <c r="B819" s="49">
        <v>500</v>
      </c>
      <c r="C819" s="50">
        <f t="shared" si="17"/>
        <v>42368</v>
      </c>
      <c r="D819" s="50">
        <f t="shared" si="16"/>
        <v>42374</v>
      </c>
      <c r="E819" s="1"/>
      <c r="F819" s="1"/>
    </row>
    <row r="820" spans="2:6">
      <c r="B820" s="49">
        <v>501</v>
      </c>
      <c r="C820" s="50">
        <f t="shared" si="17"/>
        <v>42375</v>
      </c>
      <c r="D820" s="50">
        <f t="shared" si="16"/>
        <v>42381</v>
      </c>
      <c r="E820" s="1"/>
      <c r="F820" s="1"/>
    </row>
    <row r="821" spans="2:6">
      <c r="B821" s="49">
        <v>502</v>
      </c>
      <c r="C821" s="50">
        <f t="shared" si="17"/>
        <v>42382</v>
      </c>
      <c r="D821" s="50">
        <f t="shared" si="16"/>
        <v>42388</v>
      </c>
      <c r="E821" s="1"/>
      <c r="F821" s="1"/>
    </row>
    <row r="822" spans="2:6">
      <c r="B822" s="49">
        <v>503</v>
      </c>
      <c r="C822" s="50">
        <f t="shared" si="17"/>
        <v>42389</v>
      </c>
      <c r="D822" s="50">
        <f t="shared" si="16"/>
        <v>42395</v>
      </c>
      <c r="E822" s="1"/>
      <c r="F822" s="1"/>
    </row>
    <row r="823" spans="2:6">
      <c r="B823" s="49">
        <v>504</v>
      </c>
      <c r="C823" s="50">
        <f t="shared" si="17"/>
        <v>42396</v>
      </c>
      <c r="D823" s="50">
        <f t="shared" si="16"/>
        <v>42402</v>
      </c>
      <c r="E823" s="1"/>
      <c r="F823" s="1"/>
    </row>
    <row r="824" spans="2:6">
      <c r="B824" s="49">
        <v>505</v>
      </c>
      <c r="C824" s="50">
        <f t="shared" si="17"/>
        <v>42403</v>
      </c>
      <c r="D824" s="50">
        <f t="shared" si="16"/>
        <v>42409</v>
      </c>
      <c r="E824" s="1"/>
      <c r="F824" s="1"/>
    </row>
    <row r="825" spans="2:6">
      <c r="B825" s="49">
        <v>506</v>
      </c>
      <c r="C825" s="50">
        <f t="shared" ref="C825:C836" si="18">D824+1</f>
        <v>42410</v>
      </c>
      <c r="D825" s="50">
        <f t="shared" si="16"/>
        <v>42416</v>
      </c>
      <c r="E825" s="1"/>
      <c r="F825" s="1"/>
    </row>
    <row r="826" spans="2:6">
      <c r="B826" s="49">
        <v>507</v>
      </c>
      <c r="C826" s="50">
        <f t="shared" si="18"/>
        <v>42417</v>
      </c>
      <c r="D826" s="50">
        <f t="shared" si="16"/>
        <v>42423</v>
      </c>
      <c r="E826" s="1"/>
      <c r="F826" s="1"/>
    </row>
    <row r="827" spans="2:6">
      <c r="B827" s="49">
        <v>508</v>
      </c>
      <c r="C827" s="50">
        <f t="shared" si="18"/>
        <v>42424</v>
      </c>
      <c r="D827" s="50">
        <f t="shared" si="16"/>
        <v>42430</v>
      </c>
      <c r="E827" s="1"/>
      <c r="F827" s="1"/>
    </row>
    <row r="828" spans="2:6">
      <c r="B828" s="49">
        <v>509</v>
      </c>
      <c r="C828" s="50">
        <f t="shared" si="18"/>
        <v>42431</v>
      </c>
      <c r="D828" s="50">
        <f t="shared" si="16"/>
        <v>42437</v>
      </c>
      <c r="E828" s="1"/>
      <c r="F828" s="1"/>
    </row>
    <row r="829" spans="2:6">
      <c r="B829" s="49">
        <v>510</v>
      </c>
      <c r="C829" s="50">
        <f t="shared" si="18"/>
        <v>42438</v>
      </c>
      <c r="D829" s="50">
        <f t="shared" si="16"/>
        <v>42444</v>
      </c>
      <c r="E829" s="1"/>
      <c r="F829" s="1"/>
    </row>
    <row r="830" spans="2:6">
      <c r="B830" s="49">
        <v>511</v>
      </c>
      <c r="C830" s="50">
        <f t="shared" si="18"/>
        <v>42445</v>
      </c>
      <c r="D830" s="50">
        <f t="shared" si="16"/>
        <v>42451</v>
      </c>
      <c r="E830" s="1"/>
      <c r="F830" s="1"/>
    </row>
    <row r="831" spans="2:6">
      <c r="B831" s="49">
        <v>512</v>
      </c>
      <c r="C831" s="50">
        <f t="shared" si="18"/>
        <v>42452</v>
      </c>
      <c r="D831" s="50">
        <f t="shared" si="16"/>
        <v>42458</v>
      </c>
      <c r="E831" s="1"/>
      <c r="F831" s="1"/>
    </row>
    <row r="832" spans="2:6">
      <c r="B832" s="49">
        <v>513</v>
      </c>
      <c r="C832" s="50">
        <f t="shared" si="18"/>
        <v>42459</v>
      </c>
      <c r="D832" s="50">
        <f t="shared" si="16"/>
        <v>42465</v>
      </c>
      <c r="E832" s="1"/>
      <c r="F832" s="1"/>
    </row>
    <row r="833" spans="2:6">
      <c r="B833" s="49">
        <v>514</v>
      </c>
      <c r="C833" s="50">
        <f t="shared" si="18"/>
        <v>42466</v>
      </c>
      <c r="D833" s="50">
        <f t="shared" si="16"/>
        <v>42472</v>
      </c>
      <c r="E833" s="1"/>
      <c r="F833" s="1"/>
    </row>
    <row r="834" spans="2:6">
      <c r="B834" s="49">
        <v>515</v>
      </c>
      <c r="C834" s="50">
        <f t="shared" si="18"/>
        <v>42473</v>
      </c>
      <c r="D834" s="50">
        <f t="shared" si="16"/>
        <v>42479</v>
      </c>
      <c r="E834" s="1"/>
      <c r="F834" s="1"/>
    </row>
    <row r="835" spans="2:6">
      <c r="B835" s="49">
        <v>516</v>
      </c>
      <c r="C835" s="50">
        <f t="shared" si="18"/>
        <v>42480</v>
      </c>
      <c r="D835" s="50">
        <f t="shared" si="16"/>
        <v>42486</v>
      </c>
      <c r="E835" s="1"/>
      <c r="F835" s="1"/>
    </row>
    <row r="836" spans="2:6">
      <c r="B836" s="49">
        <v>517</v>
      </c>
      <c r="C836" s="50">
        <f t="shared" si="18"/>
        <v>42487</v>
      </c>
      <c r="D836" s="50">
        <f t="shared" si="16"/>
        <v>42493</v>
      </c>
      <c r="E836" s="1"/>
      <c r="F836" s="1"/>
    </row>
    <row r="837" spans="2:6">
      <c r="B837" s="49">
        <v>518</v>
      </c>
      <c r="C837" s="50">
        <f t="shared" ref="C837:C861" si="19">D836+1</f>
        <v>42494</v>
      </c>
      <c r="D837" s="50">
        <f t="shared" si="16"/>
        <v>42500</v>
      </c>
      <c r="E837" s="1"/>
      <c r="F837" s="1"/>
    </row>
    <row r="838" spans="2:6">
      <c r="B838" s="49">
        <v>519</v>
      </c>
      <c r="C838" s="50">
        <f t="shared" si="19"/>
        <v>42501</v>
      </c>
      <c r="D838" s="50">
        <f t="shared" si="16"/>
        <v>42507</v>
      </c>
      <c r="E838" s="1"/>
      <c r="F838" s="1"/>
    </row>
    <row r="839" spans="2:6">
      <c r="B839" s="49">
        <v>520</v>
      </c>
      <c r="C839" s="50">
        <f t="shared" si="19"/>
        <v>42508</v>
      </c>
      <c r="D839" s="50">
        <f t="shared" si="16"/>
        <v>42514</v>
      </c>
      <c r="E839" s="1"/>
      <c r="F839" s="1"/>
    </row>
    <row r="840" spans="2:6">
      <c r="B840" s="49">
        <v>521</v>
      </c>
      <c r="C840" s="50">
        <f t="shared" si="19"/>
        <v>42515</v>
      </c>
      <c r="D840" s="50">
        <f t="shared" si="16"/>
        <v>42521</v>
      </c>
      <c r="E840" s="1"/>
      <c r="F840" s="1"/>
    </row>
    <row r="841" spans="2:6">
      <c r="B841" s="49">
        <v>522</v>
      </c>
      <c r="C841" s="50">
        <f t="shared" si="19"/>
        <v>42522</v>
      </c>
      <c r="D841" s="50">
        <f t="shared" si="16"/>
        <v>42528</v>
      </c>
      <c r="E841" s="1"/>
      <c r="F841" s="1"/>
    </row>
    <row r="842" spans="2:6">
      <c r="B842" s="49">
        <v>523</v>
      </c>
      <c r="C842" s="50">
        <f t="shared" si="19"/>
        <v>42529</v>
      </c>
      <c r="D842" s="50">
        <f t="shared" si="16"/>
        <v>42535</v>
      </c>
      <c r="E842" s="1"/>
      <c r="F842" s="1"/>
    </row>
    <row r="843" spans="2:6">
      <c r="B843" s="49">
        <v>524</v>
      </c>
      <c r="C843" s="50">
        <f t="shared" si="19"/>
        <v>42536</v>
      </c>
      <c r="D843" s="50">
        <f t="shared" si="16"/>
        <v>42542</v>
      </c>
      <c r="E843" s="1"/>
      <c r="F843" s="1"/>
    </row>
    <row r="844" spans="2:6">
      <c r="B844" s="49">
        <v>525</v>
      </c>
      <c r="C844" s="50">
        <f t="shared" si="19"/>
        <v>42543</v>
      </c>
      <c r="D844" s="50">
        <f t="shared" si="16"/>
        <v>42549</v>
      </c>
      <c r="E844" s="1"/>
      <c r="F844" s="1"/>
    </row>
    <row r="845" spans="2:6">
      <c r="B845" s="49">
        <v>526</v>
      </c>
      <c r="C845" s="50">
        <f t="shared" si="19"/>
        <v>42550</v>
      </c>
      <c r="D845" s="50">
        <f t="shared" si="16"/>
        <v>42556</v>
      </c>
      <c r="E845" s="1"/>
      <c r="F845" s="1"/>
    </row>
    <row r="846" spans="2:6">
      <c r="B846" s="49">
        <v>527</v>
      </c>
      <c r="C846" s="50">
        <f t="shared" si="19"/>
        <v>42557</v>
      </c>
      <c r="D846" s="50">
        <f t="shared" si="16"/>
        <v>42563</v>
      </c>
      <c r="E846" s="1"/>
      <c r="F846" s="1"/>
    </row>
    <row r="847" spans="2:6">
      <c r="B847" s="49">
        <v>528</v>
      </c>
      <c r="C847" s="50">
        <f t="shared" si="19"/>
        <v>42564</v>
      </c>
      <c r="D847" s="50">
        <f t="shared" si="16"/>
        <v>42570</v>
      </c>
      <c r="E847" s="1"/>
      <c r="F847" s="1"/>
    </row>
    <row r="848" spans="2:6">
      <c r="B848" s="49">
        <v>529</v>
      </c>
      <c r="C848" s="50">
        <f t="shared" si="19"/>
        <v>42571</v>
      </c>
      <c r="D848" s="50">
        <f t="shared" si="16"/>
        <v>42577</v>
      </c>
      <c r="E848" s="1"/>
      <c r="F848" s="1"/>
    </row>
    <row r="849" spans="2:6">
      <c r="B849" s="49">
        <v>530</v>
      </c>
      <c r="C849" s="50">
        <f t="shared" si="19"/>
        <v>42578</v>
      </c>
      <c r="D849" s="50">
        <f t="shared" si="16"/>
        <v>42584</v>
      </c>
      <c r="E849" s="1"/>
      <c r="F849" s="1"/>
    </row>
    <row r="850" spans="2:6">
      <c r="B850" s="49">
        <v>531</v>
      </c>
      <c r="C850" s="50">
        <f t="shared" si="19"/>
        <v>42585</v>
      </c>
      <c r="D850" s="50">
        <f t="shared" si="16"/>
        <v>42591</v>
      </c>
      <c r="E850" s="1"/>
      <c r="F850" s="1"/>
    </row>
    <row r="851" spans="2:6">
      <c r="B851" s="49">
        <v>532</v>
      </c>
      <c r="C851" s="50">
        <f t="shared" si="19"/>
        <v>42592</v>
      </c>
      <c r="D851" s="50">
        <f t="shared" si="16"/>
        <v>42598</v>
      </c>
      <c r="E851" s="1"/>
      <c r="F851" s="1"/>
    </row>
    <row r="852" spans="2:6">
      <c r="B852" s="49">
        <v>533</v>
      </c>
      <c r="C852" s="50">
        <f t="shared" si="19"/>
        <v>42599</v>
      </c>
      <c r="D852" s="50">
        <f t="shared" si="16"/>
        <v>42605</v>
      </c>
      <c r="E852" s="1"/>
      <c r="F852" s="1"/>
    </row>
    <row r="853" spans="2:6">
      <c r="B853" s="49">
        <v>534</v>
      </c>
      <c r="C853" s="50">
        <f t="shared" si="19"/>
        <v>42606</v>
      </c>
      <c r="D853" s="50">
        <f t="shared" si="16"/>
        <v>42612</v>
      </c>
      <c r="E853" s="1"/>
      <c r="F853" s="1"/>
    </row>
    <row r="854" spans="2:6">
      <c r="B854" s="49">
        <v>535</v>
      </c>
      <c r="C854" s="50">
        <f t="shared" si="19"/>
        <v>42613</v>
      </c>
      <c r="D854" s="50">
        <f t="shared" si="16"/>
        <v>42619</v>
      </c>
      <c r="E854" s="1"/>
      <c r="F854" s="1"/>
    </row>
    <row r="855" spans="2:6">
      <c r="B855" s="49">
        <v>536</v>
      </c>
      <c r="C855" s="50">
        <f t="shared" si="19"/>
        <v>42620</v>
      </c>
      <c r="D855" s="50">
        <f t="shared" si="16"/>
        <v>42626</v>
      </c>
      <c r="E855" s="1"/>
      <c r="F855" s="1"/>
    </row>
    <row r="856" spans="2:6">
      <c r="B856" s="49">
        <v>537</v>
      </c>
      <c r="C856" s="50">
        <f t="shared" si="19"/>
        <v>42627</v>
      </c>
      <c r="D856" s="50">
        <f t="shared" si="16"/>
        <v>42633</v>
      </c>
      <c r="E856" s="1"/>
      <c r="F856" s="1"/>
    </row>
    <row r="857" spans="2:6">
      <c r="B857" s="49">
        <v>538</v>
      </c>
      <c r="C857" s="50">
        <f t="shared" si="19"/>
        <v>42634</v>
      </c>
      <c r="D857" s="50">
        <f t="shared" si="16"/>
        <v>42640</v>
      </c>
      <c r="E857" s="1"/>
      <c r="F857" s="1"/>
    </row>
    <row r="858" spans="2:6">
      <c r="B858" s="49">
        <v>539</v>
      </c>
      <c r="C858" s="50">
        <f t="shared" si="19"/>
        <v>42641</v>
      </c>
      <c r="D858" s="50">
        <f t="shared" si="16"/>
        <v>42647</v>
      </c>
      <c r="E858" s="1"/>
      <c r="F858" s="1"/>
    </row>
    <row r="859" spans="2:6">
      <c r="B859" s="49">
        <v>540</v>
      </c>
      <c r="C859" s="50">
        <f t="shared" si="19"/>
        <v>42648</v>
      </c>
      <c r="D859" s="50">
        <f t="shared" si="16"/>
        <v>42654</v>
      </c>
      <c r="E859" s="1"/>
      <c r="F859" s="1"/>
    </row>
    <row r="860" spans="2:6">
      <c r="B860" s="49">
        <v>541</v>
      </c>
      <c r="C860" s="50">
        <f t="shared" si="19"/>
        <v>42655</v>
      </c>
      <c r="D860" s="50">
        <f t="shared" si="16"/>
        <v>42661</v>
      </c>
      <c r="E860" s="1"/>
      <c r="F860" s="1"/>
    </row>
    <row r="861" spans="2:6">
      <c r="B861" s="49">
        <v>542</v>
      </c>
      <c r="C861" s="50">
        <f t="shared" si="19"/>
        <v>42662</v>
      </c>
      <c r="D861" s="50">
        <f t="shared" si="16"/>
        <v>42668</v>
      </c>
      <c r="E861" s="1"/>
      <c r="F861" s="1"/>
    </row>
    <row r="862" spans="2:6">
      <c r="B862" s="49">
        <v>543</v>
      </c>
      <c r="C862" s="50">
        <f t="shared" ref="C862:C882" si="20">D861+1</f>
        <v>42669</v>
      </c>
      <c r="D862" s="50">
        <f t="shared" si="16"/>
        <v>42675</v>
      </c>
      <c r="E862" s="1"/>
      <c r="F862" s="1"/>
    </row>
    <row r="863" spans="2:6">
      <c r="B863" s="49">
        <v>544</v>
      </c>
      <c r="C863" s="50">
        <f t="shared" si="20"/>
        <v>42676</v>
      </c>
      <c r="D863" s="50">
        <f t="shared" si="16"/>
        <v>42682</v>
      </c>
      <c r="E863" s="1"/>
      <c r="F863" s="1"/>
    </row>
    <row r="864" spans="2:6">
      <c r="B864" s="49">
        <v>545</v>
      </c>
      <c r="C864" s="50">
        <f t="shared" si="20"/>
        <v>42683</v>
      </c>
      <c r="D864" s="50">
        <f t="shared" si="16"/>
        <v>42689</v>
      </c>
      <c r="E864" s="1"/>
      <c r="F864" s="1"/>
    </row>
    <row r="865" spans="2:6">
      <c r="B865" s="49">
        <v>546</v>
      </c>
      <c r="C865" s="50">
        <f t="shared" si="20"/>
        <v>42690</v>
      </c>
      <c r="D865" s="50">
        <f t="shared" si="16"/>
        <v>42696</v>
      </c>
      <c r="E865" s="1"/>
      <c r="F865" s="1"/>
    </row>
    <row r="866" spans="2:6">
      <c r="B866" s="49">
        <v>547</v>
      </c>
      <c r="C866" s="50">
        <f t="shared" si="20"/>
        <v>42697</v>
      </c>
      <c r="D866" s="50">
        <f t="shared" si="16"/>
        <v>42703</v>
      </c>
      <c r="E866" s="1"/>
      <c r="F866" s="1"/>
    </row>
    <row r="867" spans="2:6">
      <c r="B867" s="49">
        <v>548</v>
      </c>
      <c r="C867" s="50">
        <f t="shared" si="20"/>
        <v>42704</v>
      </c>
      <c r="D867" s="50">
        <f t="shared" si="16"/>
        <v>42710</v>
      </c>
      <c r="E867" s="1"/>
      <c r="F867" s="1"/>
    </row>
    <row r="868" spans="2:6">
      <c r="B868" s="49">
        <v>549</v>
      </c>
      <c r="C868" s="50">
        <f t="shared" si="20"/>
        <v>42711</v>
      </c>
      <c r="D868" s="50">
        <f t="shared" si="16"/>
        <v>42717</v>
      </c>
      <c r="E868" s="1"/>
      <c r="F868" s="1"/>
    </row>
    <row r="869" spans="2:6">
      <c r="B869" s="49">
        <v>550</v>
      </c>
      <c r="C869" s="50">
        <f t="shared" si="20"/>
        <v>42718</v>
      </c>
      <c r="D869" s="50">
        <f t="shared" si="16"/>
        <v>42724</v>
      </c>
      <c r="E869" s="1"/>
      <c r="F869" s="1"/>
    </row>
    <row r="870" spans="2:6">
      <c r="B870" s="49">
        <v>551</v>
      </c>
      <c r="C870" s="50">
        <f t="shared" si="20"/>
        <v>42725</v>
      </c>
      <c r="D870" s="50">
        <f t="shared" si="16"/>
        <v>42731</v>
      </c>
      <c r="E870" s="1"/>
      <c r="F870" s="1"/>
    </row>
    <row r="871" spans="2:6">
      <c r="B871" s="49">
        <v>552</v>
      </c>
      <c r="C871" s="50">
        <f t="shared" si="20"/>
        <v>42732</v>
      </c>
      <c r="D871" s="50">
        <f t="shared" si="16"/>
        <v>42738</v>
      </c>
      <c r="E871" s="1"/>
      <c r="F871" s="1"/>
    </row>
    <row r="872" spans="2:6">
      <c r="B872" s="49">
        <v>553</v>
      </c>
      <c r="C872" s="50">
        <f t="shared" si="20"/>
        <v>42739</v>
      </c>
      <c r="D872" s="50">
        <f t="shared" si="16"/>
        <v>42745</v>
      </c>
      <c r="E872" s="1"/>
      <c r="F872" s="1"/>
    </row>
    <row r="873" spans="2:6">
      <c r="B873" s="49">
        <v>554</v>
      </c>
      <c r="C873" s="50">
        <f t="shared" si="20"/>
        <v>42746</v>
      </c>
      <c r="D873" s="50">
        <f t="shared" si="16"/>
        <v>42752</v>
      </c>
      <c r="E873" s="1"/>
      <c r="F873" s="1"/>
    </row>
    <row r="874" spans="2:6">
      <c r="B874" s="49">
        <v>555</v>
      </c>
      <c r="C874" s="50">
        <f t="shared" si="20"/>
        <v>42753</v>
      </c>
      <c r="D874" s="50">
        <f t="shared" si="16"/>
        <v>42759</v>
      </c>
      <c r="E874" s="1"/>
      <c r="F874" s="1"/>
    </row>
    <row r="875" spans="2:6">
      <c r="B875" s="49">
        <v>556</v>
      </c>
      <c r="C875" s="50">
        <f t="shared" si="20"/>
        <v>42760</v>
      </c>
      <c r="D875" s="50">
        <f t="shared" si="16"/>
        <v>42766</v>
      </c>
      <c r="E875" s="1"/>
      <c r="F875" s="1"/>
    </row>
    <row r="876" spans="2:6">
      <c r="B876" s="49">
        <v>557</v>
      </c>
      <c r="C876" s="50">
        <f t="shared" si="20"/>
        <v>42767</v>
      </c>
      <c r="D876" s="50">
        <f t="shared" si="16"/>
        <v>42773</v>
      </c>
      <c r="E876" s="1"/>
      <c r="F876" s="1"/>
    </row>
    <row r="877" spans="2:6">
      <c r="B877" s="49">
        <v>558</v>
      </c>
      <c r="C877" s="50">
        <f t="shared" si="20"/>
        <v>42774</v>
      </c>
      <c r="D877" s="50">
        <f t="shared" si="16"/>
        <v>42780</v>
      </c>
      <c r="E877" s="1"/>
      <c r="F877" s="1"/>
    </row>
    <row r="878" spans="2:6">
      <c r="B878" s="49">
        <v>559</v>
      </c>
      <c r="C878" s="50">
        <f t="shared" si="20"/>
        <v>42781</v>
      </c>
      <c r="D878" s="50">
        <f t="shared" si="16"/>
        <v>42787</v>
      </c>
      <c r="E878" s="1"/>
      <c r="F878" s="1"/>
    </row>
    <row r="879" spans="2:6">
      <c r="B879" s="49">
        <v>560</v>
      </c>
      <c r="C879" s="50">
        <f t="shared" si="20"/>
        <v>42788</v>
      </c>
      <c r="D879" s="50">
        <f t="shared" si="16"/>
        <v>42794</v>
      </c>
      <c r="E879" s="1"/>
      <c r="F879" s="1"/>
    </row>
    <row r="880" spans="2:6">
      <c r="B880" s="49">
        <v>561</v>
      </c>
      <c r="C880" s="50">
        <f t="shared" si="20"/>
        <v>42795</v>
      </c>
      <c r="D880" s="50">
        <f t="shared" si="16"/>
        <v>42801</v>
      </c>
      <c r="E880" s="1"/>
      <c r="F880" s="1"/>
    </row>
    <row r="881" spans="2:6">
      <c r="B881" s="49">
        <v>562</v>
      </c>
      <c r="C881" s="50">
        <f t="shared" si="20"/>
        <v>42802</v>
      </c>
      <c r="D881" s="50">
        <f t="shared" si="16"/>
        <v>42808</v>
      </c>
      <c r="E881" s="1"/>
      <c r="F881" s="1"/>
    </row>
    <row r="882" spans="2:6">
      <c r="B882" s="49">
        <v>563</v>
      </c>
      <c r="C882" s="50">
        <f t="shared" si="20"/>
        <v>42809</v>
      </c>
      <c r="D882" s="50">
        <f t="shared" si="16"/>
        <v>42815</v>
      </c>
      <c r="E882" s="1"/>
      <c r="F882" s="1"/>
    </row>
    <row r="883" spans="2:6">
      <c r="B883" s="49">
        <v>564</v>
      </c>
      <c r="C883" s="50">
        <f t="shared" ref="C883:C930" si="21">D882+1</f>
        <v>42816</v>
      </c>
      <c r="D883" s="50">
        <f t="shared" si="16"/>
        <v>42822</v>
      </c>
      <c r="E883" s="1"/>
      <c r="F883" s="1"/>
    </row>
    <row r="884" spans="2:6">
      <c r="B884" s="49">
        <v>565</v>
      </c>
      <c r="C884" s="50">
        <f t="shared" si="21"/>
        <v>42823</v>
      </c>
      <c r="D884" s="50">
        <f t="shared" si="16"/>
        <v>42829</v>
      </c>
      <c r="E884" s="1"/>
      <c r="F884" s="1"/>
    </row>
    <row r="885" spans="2:6">
      <c r="B885" s="49">
        <v>566</v>
      </c>
      <c r="C885" s="50">
        <f t="shared" si="21"/>
        <v>42830</v>
      </c>
      <c r="D885" s="50">
        <f t="shared" si="16"/>
        <v>42836</v>
      </c>
      <c r="E885" s="1"/>
      <c r="F885" s="1"/>
    </row>
    <row r="886" spans="2:6">
      <c r="B886" s="49">
        <v>567</v>
      </c>
      <c r="C886" s="50">
        <f t="shared" si="21"/>
        <v>42837</v>
      </c>
      <c r="D886" s="50">
        <f t="shared" si="16"/>
        <v>42843</v>
      </c>
      <c r="E886" s="1"/>
      <c r="F886" s="1"/>
    </row>
    <row r="887" spans="2:6">
      <c r="B887" s="49">
        <v>568</v>
      </c>
      <c r="C887" s="50">
        <f t="shared" si="21"/>
        <v>42844</v>
      </c>
      <c r="D887" s="50">
        <f t="shared" si="16"/>
        <v>42850</v>
      </c>
      <c r="E887" s="1"/>
      <c r="F887" s="1"/>
    </row>
    <row r="888" spans="2:6">
      <c r="B888" s="49">
        <v>569</v>
      </c>
      <c r="C888" s="50">
        <f t="shared" si="21"/>
        <v>42851</v>
      </c>
      <c r="D888" s="50">
        <f t="shared" si="16"/>
        <v>42857</v>
      </c>
      <c r="E888" s="1"/>
      <c r="F888" s="1"/>
    </row>
    <row r="889" spans="2:6">
      <c r="B889" s="49">
        <v>570</v>
      </c>
      <c r="C889" s="50">
        <f t="shared" si="21"/>
        <v>42858</v>
      </c>
      <c r="D889" s="50">
        <f t="shared" si="16"/>
        <v>42864</v>
      </c>
      <c r="E889" s="1"/>
      <c r="F889" s="1"/>
    </row>
    <row r="890" spans="2:6">
      <c r="B890" s="49">
        <v>571</v>
      </c>
      <c r="C890" s="50">
        <f t="shared" si="21"/>
        <v>42865</v>
      </c>
      <c r="D890" s="50">
        <f t="shared" si="16"/>
        <v>42871</v>
      </c>
      <c r="E890" s="1"/>
      <c r="F890" s="1"/>
    </row>
    <row r="891" spans="2:6">
      <c r="B891" s="49">
        <v>572</v>
      </c>
      <c r="C891" s="50">
        <f t="shared" si="21"/>
        <v>42872</v>
      </c>
      <c r="D891" s="50">
        <f t="shared" si="16"/>
        <v>42878</v>
      </c>
      <c r="E891" s="1"/>
      <c r="F891" s="1"/>
    </row>
    <row r="892" spans="2:6">
      <c r="B892" s="49">
        <v>573</v>
      </c>
      <c r="C892" s="50">
        <f t="shared" si="21"/>
        <v>42879</v>
      </c>
      <c r="D892" s="50">
        <f t="shared" si="16"/>
        <v>42885</v>
      </c>
      <c r="E892" s="1"/>
      <c r="F892" s="1"/>
    </row>
    <row r="893" spans="2:6">
      <c r="B893" s="49">
        <v>574</v>
      </c>
      <c r="C893" s="50">
        <f t="shared" si="21"/>
        <v>42886</v>
      </c>
      <c r="D893" s="50">
        <f t="shared" si="16"/>
        <v>42892</v>
      </c>
      <c r="E893" s="1"/>
      <c r="F893" s="1"/>
    </row>
    <row r="894" spans="2:6">
      <c r="B894" s="49">
        <v>575</v>
      </c>
      <c r="C894" s="50">
        <f t="shared" si="21"/>
        <v>42893</v>
      </c>
      <c r="D894" s="50">
        <f t="shared" si="16"/>
        <v>42899</v>
      </c>
      <c r="E894" s="1"/>
      <c r="F894" s="1"/>
    </row>
    <row r="895" spans="2:6">
      <c r="B895" s="49">
        <v>576</v>
      </c>
      <c r="C895" s="50">
        <f t="shared" si="21"/>
        <v>42900</v>
      </c>
      <c r="D895" s="50">
        <f t="shared" si="16"/>
        <v>42906</v>
      </c>
      <c r="E895" s="1"/>
      <c r="F895" s="1"/>
    </row>
    <row r="896" spans="2:6">
      <c r="B896" s="49">
        <v>577</v>
      </c>
      <c r="C896" s="50">
        <f t="shared" si="21"/>
        <v>42907</v>
      </c>
      <c r="D896" s="50">
        <f t="shared" si="16"/>
        <v>42913</v>
      </c>
      <c r="E896" s="1"/>
      <c r="F896" s="1"/>
    </row>
    <row r="897" spans="2:6">
      <c r="B897" s="49">
        <v>578</v>
      </c>
      <c r="C897" s="50">
        <f t="shared" si="21"/>
        <v>42914</v>
      </c>
      <c r="D897" s="50">
        <f t="shared" si="16"/>
        <v>42920</v>
      </c>
      <c r="E897" s="1"/>
      <c r="F897" s="1"/>
    </row>
    <row r="898" spans="2:6">
      <c r="B898" s="49">
        <v>579</v>
      </c>
      <c r="C898" s="50">
        <f t="shared" si="21"/>
        <v>42921</v>
      </c>
      <c r="D898" s="50">
        <f t="shared" si="16"/>
        <v>42927</v>
      </c>
      <c r="E898" s="1"/>
      <c r="F898" s="1"/>
    </row>
    <row r="899" spans="2:6">
      <c r="B899" s="49">
        <v>580</v>
      </c>
      <c r="C899" s="50">
        <f t="shared" si="21"/>
        <v>42928</v>
      </c>
      <c r="D899" s="50">
        <f t="shared" si="16"/>
        <v>42934</v>
      </c>
      <c r="E899" s="1"/>
      <c r="F899" s="1"/>
    </row>
    <row r="900" spans="2:6">
      <c r="B900" s="49">
        <v>581</v>
      </c>
      <c r="C900" s="50">
        <f t="shared" si="21"/>
        <v>42935</v>
      </c>
      <c r="D900" s="50">
        <f t="shared" si="16"/>
        <v>42941</v>
      </c>
      <c r="E900" s="1"/>
      <c r="F900" s="1"/>
    </row>
    <row r="901" spans="2:6">
      <c r="B901" s="49">
        <v>582</v>
      </c>
      <c r="C901" s="50">
        <f t="shared" si="21"/>
        <v>42942</v>
      </c>
      <c r="D901" s="50">
        <f t="shared" si="16"/>
        <v>42948</v>
      </c>
      <c r="E901" s="1"/>
      <c r="F901" s="1"/>
    </row>
    <row r="902" spans="2:6">
      <c r="B902" s="49">
        <v>583</v>
      </c>
      <c r="C902" s="50">
        <f t="shared" si="21"/>
        <v>42949</v>
      </c>
      <c r="D902" s="50">
        <f t="shared" si="16"/>
        <v>42955</v>
      </c>
      <c r="E902" s="1"/>
      <c r="F902" s="1"/>
    </row>
    <row r="903" spans="2:6">
      <c r="B903" s="49">
        <v>584</v>
      </c>
      <c r="C903" s="50">
        <f t="shared" si="21"/>
        <v>42956</v>
      </c>
      <c r="D903" s="50">
        <f t="shared" si="16"/>
        <v>42962</v>
      </c>
      <c r="E903" s="1"/>
      <c r="F903" s="1"/>
    </row>
    <row r="904" spans="2:6">
      <c r="B904" s="49">
        <v>585</v>
      </c>
      <c r="C904" s="50">
        <f t="shared" si="21"/>
        <v>42963</v>
      </c>
      <c r="D904" s="50">
        <f t="shared" si="16"/>
        <v>42969</v>
      </c>
      <c r="E904" s="1"/>
      <c r="F904" s="1"/>
    </row>
    <row r="905" spans="2:6">
      <c r="B905" s="49">
        <v>586</v>
      </c>
      <c r="C905" s="50">
        <f t="shared" si="21"/>
        <v>42970</v>
      </c>
      <c r="D905" s="50">
        <f t="shared" si="16"/>
        <v>42976</v>
      </c>
      <c r="E905" s="1"/>
      <c r="F905" s="1"/>
    </row>
    <row r="906" spans="2:6">
      <c r="B906" s="49">
        <v>587</v>
      </c>
      <c r="C906" s="50">
        <f t="shared" si="21"/>
        <v>42977</v>
      </c>
      <c r="D906" s="50">
        <f t="shared" si="16"/>
        <v>42983</v>
      </c>
      <c r="E906" s="1"/>
      <c r="F906" s="1"/>
    </row>
    <row r="907" spans="2:6">
      <c r="B907" s="49">
        <v>588</v>
      </c>
      <c r="C907" s="50">
        <f t="shared" si="21"/>
        <v>42984</v>
      </c>
      <c r="D907" s="50">
        <f t="shared" si="16"/>
        <v>42990</v>
      </c>
      <c r="E907" s="1"/>
      <c r="F907" s="1"/>
    </row>
    <row r="908" spans="2:6">
      <c r="B908" s="49">
        <v>589</v>
      </c>
      <c r="C908" s="50">
        <f t="shared" si="21"/>
        <v>42991</v>
      </c>
      <c r="D908" s="50">
        <f t="shared" si="16"/>
        <v>42997</v>
      </c>
      <c r="E908" s="1"/>
      <c r="F908" s="1"/>
    </row>
    <row r="909" spans="2:6">
      <c r="B909" s="49">
        <v>590</v>
      </c>
      <c r="C909" s="50">
        <f t="shared" si="21"/>
        <v>42998</v>
      </c>
      <c r="D909" s="50">
        <f t="shared" si="16"/>
        <v>43004</v>
      </c>
      <c r="E909" s="1"/>
      <c r="F909" s="1"/>
    </row>
    <row r="910" spans="2:6">
      <c r="B910" s="49">
        <v>591</v>
      </c>
      <c r="C910" s="50">
        <f t="shared" si="21"/>
        <v>43005</v>
      </c>
      <c r="D910" s="50">
        <f t="shared" si="16"/>
        <v>43011</v>
      </c>
      <c r="E910" s="1"/>
      <c r="F910" s="1"/>
    </row>
    <row r="911" spans="2:6">
      <c r="B911" s="49">
        <v>592</v>
      </c>
      <c r="C911" s="50">
        <f t="shared" si="21"/>
        <v>43012</v>
      </c>
      <c r="D911" s="50">
        <f t="shared" si="16"/>
        <v>43018</v>
      </c>
      <c r="E911" s="1"/>
      <c r="F911" s="1"/>
    </row>
    <row r="912" spans="2:6">
      <c r="B912" s="49">
        <v>593</v>
      </c>
      <c r="C912" s="50">
        <f t="shared" si="21"/>
        <v>43019</v>
      </c>
      <c r="D912" s="50">
        <f t="shared" si="16"/>
        <v>43025</v>
      </c>
      <c r="E912" s="1"/>
      <c r="F912" s="1"/>
    </row>
    <row r="913" spans="2:6">
      <c r="B913" s="49">
        <v>594</v>
      </c>
      <c r="C913" s="50">
        <f t="shared" si="21"/>
        <v>43026</v>
      </c>
      <c r="D913" s="50">
        <f t="shared" si="16"/>
        <v>43032</v>
      </c>
      <c r="E913" s="1"/>
      <c r="F913" s="1"/>
    </row>
    <row r="914" spans="2:6">
      <c r="B914" s="49">
        <v>595</v>
      </c>
      <c r="C914" s="50">
        <f t="shared" si="21"/>
        <v>43033</v>
      </c>
      <c r="D914" s="50">
        <f t="shared" si="16"/>
        <v>43039</v>
      </c>
      <c r="E914" s="1"/>
      <c r="F914" s="1"/>
    </row>
    <row r="915" spans="2:6">
      <c r="B915" s="49">
        <v>596</v>
      </c>
      <c r="C915" s="50">
        <f t="shared" si="21"/>
        <v>43040</v>
      </c>
      <c r="D915" s="50">
        <f t="shared" si="16"/>
        <v>43046</v>
      </c>
      <c r="E915" s="1"/>
      <c r="F915" s="1"/>
    </row>
    <row r="916" spans="2:6">
      <c r="B916" s="49">
        <v>597</v>
      </c>
      <c r="C916" s="50">
        <f t="shared" si="21"/>
        <v>43047</v>
      </c>
      <c r="D916" s="50">
        <f t="shared" si="16"/>
        <v>43053</v>
      </c>
      <c r="E916" s="1"/>
      <c r="F916" s="1"/>
    </row>
    <row r="917" spans="2:6">
      <c r="B917" s="49">
        <v>598</v>
      </c>
      <c r="C917" s="50">
        <f t="shared" si="21"/>
        <v>43054</v>
      </c>
      <c r="D917" s="50">
        <f t="shared" si="16"/>
        <v>43060</v>
      </c>
      <c r="E917" s="1"/>
      <c r="F917" s="1"/>
    </row>
    <row r="918" spans="2:6">
      <c r="B918" s="49">
        <v>599</v>
      </c>
      <c r="C918" s="50">
        <f t="shared" si="21"/>
        <v>43061</v>
      </c>
      <c r="D918" s="50">
        <f t="shared" si="16"/>
        <v>43067</v>
      </c>
      <c r="E918" s="1"/>
      <c r="F918" s="1"/>
    </row>
    <row r="919" spans="2:6">
      <c r="B919" s="49">
        <v>600</v>
      </c>
      <c r="C919" s="50">
        <f t="shared" si="21"/>
        <v>43068</v>
      </c>
      <c r="D919" s="50">
        <f t="shared" ref="D919:D1003" si="22">D918+7</f>
        <v>43074</v>
      </c>
      <c r="E919" s="1"/>
      <c r="F919" s="1"/>
    </row>
    <row r="920" spans="2:6">
      <c r="B920" s="49">
        <v>601</v>
      </c>
      <c r="C920" s="50">
        <f t="shared" si="21"/>
        <v>43075</v>
      </c>
      <c r="D920" s="50">
        <f t="shared" si="22"/>
        <v>43081</v>
      </c>
      <c r="E920" s="1"/>
      <c r="F920" s="1"/>
    </row>
    <row r="921" spans="2:6">
      <c r="B921" s="49">
        <v>602</v>
      </c>
      <c r="C921" s="50">
        <f t="shared" si="21"/>
        <v>43082</v>
      </c>
      <c r="D921" s="50">
        <f t="shared" si="22"/>
        <v>43088</v>
      </c>
      <c r="E921" s="1"/>
      <c r="F921" s="1"/>
    </row>
    <row r="922" spans="2:6">
      <c r="B922" s="49">
        <v>603</v>
      </c>
      <c r="C922" s="50">
        <f t="shared" si="21"/>
        <v>43089</v>
      </c>
      <c r="D922" s="50">
        <f t="shared" si="22"/>
        <v>43095</v>
      </c>
      <c r="E922" s="1"/>
      <c r="F922" s="1"/>
    </row>
    <row r="923" spans="2:6">
      <c r="B923" s="49">
        <v>604</v>
      </c>
      <c r="C923" s="50">
        <f t="shared" si="21"/>
        <v>43096</v>
      </c>
      <c r="D923" s="50">
        <f t="shared" si="22"/>
        <v>43102</v>
      </c>
      <c r="E923" s="1"/>
      <c r="F923" s="1"/>
    </row>
    <row r="924" spans="2:6">
      <c r="B924" s="49">
        <v>605</v>
      </c>
      <c r="C924" s="50">
        <f t="shared" si="21"/>
        <v>43103</v>
      </c>
      <c r="D924" s="50">
        <f t="shared" si="22"/>
        <v>43109</v>
      </c>
      <c r="E924" s="1"/>
      <c r="F924" s="1"/>
    </row>
    <row r="925" spans="2:6">
      <c r="B925" s="49">
        <v>606</v>
      </c>
      <c r="C925" s="50">
        <f t="shared" si="21"/>
        <v>43110</v>
      </c>
      <c r="D925" s="50">
        <f t="shared" si="22"/>
        <v>43116</v>
      </c>
      <c r="E925" s="1"/>
      <c r="F925" s="1"/>
    </row>
    <row r="926" spans="2:6">
      <c r="B926" s="49">
        <v>607</v>
      </c>
      <c r="C926" s="50">
        <f t="shared" si="21"/>
        <v>43117</v>
      </c>
      <c r="D926" s="50">
        <f t="shared" si="22"/>
        <v>43123</v>
      </c>
      <c r="E926" s="1"/>
      <c r="F926" s="1"/>
    </row>
    <row r="927" spans="2:6">
      <c r="B927" s="49">
        <v>608</v>
      </c>
      <c r="C927" s="50">
        <f t="shared" si="21"/>
        <v>43124</v>
      </c>
      <c r="D927" s="50">
        <f t="shared" si="22"/>
        <v>43130</v>
      </c>
      <c r="E927" s="1"/>
      <c r="F927" s="1"/>
    </row>
    <row r="928" spans="2:6">
      <c r="B928" s="49">
        <v>609</v>
      </c>
      <c r="C928" s="50">
        <f t="shared" si="21"/>
        <v>43131</v>
      </c>
      <c r="D928" s="50">
        <f t="shared" si="22"/>
        <v>43137</v>
      </c>
      <c r="E928" s="1"/>
      <c r="F928" s="1"/>
    </row>
    <row r="929" spans="2:6">
      <c r="B929" s="49">
        <v>610</v>
      </c>
      <c r="C929" s="50">
        <f t="shared" si="21"/>
        <v>43138</v>
      </c>
      <c r="D929" s="50">
        <f t="shared" si="22"/>
        <v>43144</v>
      </c>
      <c r="E929" s="1"/>
      <c r="F929" s="1"/>
    </row>
    <row r="930" spans="2:6">
      <c r="B930" s="49">
        <v>611</v>
      </c>
      <c r="C930" s="50">
        <f t="shared" si="21"/>
        <v>43145</v>
      </c>
      <c r="D930" s="50">
        <f t="shared" si="22"/>
        <v>43151</v>
      </c>
      <c r="E930" s="1"/>
      <c r="F930" s="1"/>
    </row>
    <row r="931" spans="2:6">
      <c r="B931" s="49">
        <v>612</v>
      </c>
      <c r="C931" s="50">
        <f t="shared" ref="C931:C994" si="23">D930+1</f>
        <v>43152</v>
      </c>
      <c r="D931" s="50">
        <f t="shared" si="22"/>
        <v>43158</v>
      </c>
      <c r="E931" s="1"/>
      <c r="F931" s="1"/>
    </row>
    <row r="932" spans="2:6">
      <c r="B932" s="49">
        <v>613</v>
      </c>
      <c r="C932" s="50">
        <f t="shared" si="23"/>
        <v>43159</v>
      </c>
      <c r="D932" s="50">
        <f t="shared" si="22"/>
        <v>43165</v>
      </c>
      <c r="E932" s="1"/>
      <c r="F932" s="1"/>
    </row>
    <row r="933" spans="2:6">
      <c r="B933" s="49">
        <v>614</v>
      </c>
      <c r="C933" s="50">
        <f t="shared" si="23"/>
        <v>43166</v>
      </c>
      <c r="D933" s="50">
        <f t="shared" si="22"/>
        <v>43172</v>
      </c>
      <c r="E933" s="1"/>
      <c r="F933" s="1"/>
    </row>
    <row r="934" spans="2:6">
      <c r="B934" s="49">
        <v>615</v>
      </c>
      <c r="C934" s="50">
        <f t="shared" si="23"/>
        <v>43173</v>
      </c>
      <c r="D934" s="50">
        <f t="shared" si="22"/>
        <v>43179</v>
      </c>
      <c r="E934" s="1"/>
      <c r="F934" s="1"/>
    </row>
    <row r="935" spans="2:6">
      <c r="B935" s="49">
        <v>616</v>
      </c>
      <c r="C935" s="50">
        <f t="shared" si="23"/>
        <v>43180</v>
      </c>
      <c r="D935" s="50">
        <f t="shared" si="22"/>
        <v>43186</v>
      </c>
      <c r="E935" s="1"/>
      <c r="F935" s="1"/>
    </row>
    <row r="936" spans="2:6">
      <c r="B936" s="49">
        <v>617</v>
      </c>
      <c r="C936" s="50">
        <f t="shared" si="23"/>
        <v>43187</v>
      </c>
      <c r="D936" s="50">
        <f t="shared" si="22"/>
        <v>43193</v>
      </c>
      <c r="E936" s="1"/>
      <c r="F936" s="1"/>
    </row>
    <row r="937" spans="2:6">
      <c r="B937" s="49">
        <v>618</v>
      </c>
      <c r="C937" s="50">
        <f t="shared" si="23"/>
        <v>43194</v>
      </c>
      <c r="D937" s="50">
        <f t="shared" si="22"/>
        <v>43200</v>
      </c>
      <c r="E937" s="1"/>
      <c r="F937" s="1"/>
    </row>
    <row r="938" spans="2:6">
      <c r="B938" s="49">
        <v>619</v>
      </c>
      <c r="C938" s="50">
        <f t="shared" si="23"/>
        <v>43201</v>
      </c>
      <c r="D938" s="50">
        <f t="shared" si="22"/>
        <v>43207</v>
      </c>
      <c r="E938" s="1"/>
      <c r="F938" s="1"/>
    </row>
    <row r="939" spans="2:6">
      <c r="B939" s="49">
        <v>620</v>
      </c>
      <c r="C939" s="50">
        <f t="shared" si="23"/>
        <v>43208</v>
      </c>
      <c r="D939" s="50">
        <f t="shared" si="22"/>
        <v>43214</v>
      </c>
      <c r="E939" s="1"/>
      <c r="F939" s="1"/>
    </row>
    <row r="940" spans="2:6">
      <c r="B940" s="49">
        <v>621</v>
      </c>
      <c r="C940" s="50">
        <f t="shared" si="23"/>
        <v>43215</v>
      </c>
      <c r="D940" s="50">
        <f t="shared" si="22"/>
        <v>43221</v>
      </c>
      <c r="E940" s="1"/>
      <c r="F940" s="1"/>
    </row>
    <row r="941" spans="2:6">
      <c r="B941" s="49">
        <v>622</v>
      </c>
      <c r="C941" s="50">
        <f t="shared" si="23"/>
        <v>43222</v>
      </c>
      <c r="D941" s="50">
        <f t="shared" si="22"/>
        <v>43228</v>
      </c>
      <c r="E941" s="1"/>
      <c r="F941" s="1"/>
    </row>
    <row r="942" spans="2:6">
      <c r="B942" s="49">
        <v>623</v>
      </c>
      <c r="C942" s="50">
        <f t="shared" si="23"/>
        <v>43229</v>
      </c>
      <c r="D942" s="50">
        <f t="shared" si="22"/>
        <v>43235</v>
      </c>
      <c r="E942" s="1"/>
      <c r="F942" s="1"/>
    </row>
    <row r="943" spans="2:6">
      <c r="B943" s="49">
        <v>624</v>
      </c>
      <c r="C943" s="50">
        <f t="shared" si="23"/>
        <v>43236</v>
      </c>
      <c r="D943" s="50">
        <f t="shared" si="22"/>
        <v>43242</v>
      </c>
      <c r="E943" s="1"/>
      <c r="F943" s="1"/>
    </row>
    <row r="944" spans="2:6">
      <c r="B944" s="49">
        <v>625</v>
      </c>
      <c r="C944" s="50">
        <f t="shared" si="23"/>
        <v>43243</v>
      </c>
      <c r="D944" s="50">
        <f t="shared" si="22"/>
        <v>43249</v>
      </c>
      <c r="E944" s="1"/>
      <c r="F944" s="1"/>
    </row>
    <row r="945" spans="2:6">
      <c r="B945" s="49">
        <v>626</v>
      </c>
      <c r="C945" s="50">
        <f t="shared" si="23"/>
        <v>43250</v>
      </c>
      <c r="D945" s="50">
        <f t="shared" si="22"/>
        <v>43256</v>
      </c>
      <c r="E945" s="1"/>
      <c r="F945" s="1"/>
    </row>
    <row r="946" spans="2:6">
      <c r="B946" s="49">
        <v>627</v>
      </c>
      <c r="C946" s="50">
        <f t="shared" si="23"/>
        <v>43257</v>
      </c>
      <c r="D946" s="50">
        <f t="shared" si="22"/>
        <v>43263</v>
      </c>
      <c r="E946" s="1"/>
      <c r="F946" s="1"/>
    </row>
    <row r="947" spans="2:6">
      <c r="B947" s="49">
        <v>628</v>
      </c>
      <c r="C947" s="50">
        <f t="shared" si="23"/>
        <v>43264</v>
      </c>
      <c r="D947" s="50">
        <f t="shared" si="22"/>
        <v>43270</v>
      </c>
      <c r="E947" s="1"/>
      <c r="F947" s="1"/>
    </row>
    <row r="948" spans="2:6">
      <c r="B948" s="49">
        <v>629</v>
      </c>
      <c r="C948" s="50">
        <f t="shared" si="23"/>
        <v>43271</v>
      </c>
      <c r="D948" s="50">
        <f t="shared" si="22"/>
        <v>43277</v>
      </c>
      <c r="E948" s="1"/>
      <c r="F948" s="1"/>
    </row>
    <row r="949" spans="2:6">
      <c r="B949" s="49">
        <v>630</v>
      </c>
      <c r="C949" s="50">
        <f t="shared" si="23"/>
        <v>43278</v>
      </c>
      <c r="D949" s="50">
        <f t="shared" si="22"/>
        <v>43284</v>
      </c>
      <c r="E949" s="1"/>
      <c r="F949" s="1"/>
    </row>
    <row r="950" spans="2:6">
      <c r="B950" s="49">
        <v>631</v>
      </c>
      <c r="C950" s="50">
        <f t="shared" si="23"/>
        <v>43285</v>
      </c>
      <c r="D950" s="50">
        <f t="shared" si="22"/>
        <v>43291</v>
      </c>
      <c r="E950" s="1"/>
      <c r="F950" s="1"/>
    </row>
    <row r="951" spans="2:6">
      <c r="B951" s="49">
        <v>632</v>
      </c>
      <c r="C951" s="50">
        <f t="shared" si="23"/>
        <v>43292</v>
      </c>
      <c r="D951" s="50">
        <f t="shared" si="22"/>
        <v>43298</v>
      </c>
      <c r="E951" s="1"/>
      <c r="F951" s="1"/>
    </row>
    <row r="952" spans="2:6">
      <c r="B952" s="49">
        <v>633</v>
      </c>
      <c r="C952" s="50">
        <f t="shared" si="23"/>
        <v>43299</v>
      </c>
      <c r="D952" s="50">
        <f t="shared" si="22"/>
        <v>43305</v>
      </c>
      <c r="E952" s="1"/>
      <c r="F952" s="1"/>
    </row>
    <row r="953" spans="2:6">
      <c r="B953" s="49">
        <v>634</v>
      </c>
      <c r="C953" s="50">
        <f t="shared" si="23"/>
        <v>43306</v>
      </c>
      <c r="D953" s="50">
        <f t="shared" si="22"/>
        <v>43312</v>
      </c>
      <c r="E953" s="1"/>
      <c r="F953" s="1"/>
    </row>
    <row r="954" spans="2:6">
      <c r="B954" s="49">
        <v>635</v>
      </c>
      <c r="C954" s="50">
        <f t="shared" si="23"/>
        <v>43313</v>
      </c>
      <c r="D954" s="50">
        <f t="shared" si="22"/>
        <v>43319</v>
      </c>
      <c r="E954" s="1"/>
      <c r="F954" s="1"/>
    </row>
    <row r="955" spans="2:6">
      <c r="B955" s="49">
        <v>636</v>
      </c>
      <c r="C955" s="50">
        <f t="shared" si="23"/>
        <v>43320</v>
      </c>
      <c r="D955" s="50">
        <f t="shared" si="22"/>
        <v>43326</v>
      </c>
      <c r="E955" s="1"/>
      <c r="F955" s="1"/>
    </row>
    <row r="956" spans="2:6">
      <c r="B956" s="49">
        <v>637</v>
      </c>
      <c r="C956" s="50">
        <f t="shared" si="23"/>
        <v>43327</v>
      </c>
      <c r="D956" s="50">
        <f t="shared" si="22"/>
        <v>43333</v>
      </c>
      <c r="E956" s="1"/>
      <c r="F956" s="1"/>
    </row>
    <row r="957" spans="2:6">
      <c r="B957" s="49">
        <v>638</v>
      </c>
      <c r="C957" s="50">
        <f t="shared" si="23"/>
        <v>43334</v>
      </c>
      <c r="D957" s="50">
        <f t="shared" si="22"/>
        <v>43340</v>
      </c>
      <c r="E957" s="1"/>
      <c r="F957" s="1"/>
    </row>
    <row r="958" spans="2:6">
      <c r="B958" s="49">
        <v>639</v>
      </c>
      <c r="C958" s="50">
        <f t="shared" si="23"/>
        <v>43341</v>
      </c>
      <c r="D958" s="50">
        <f t="shared" si="22"/>
        <v>43347</v>
      </c>
      <c r="E958" s="1"/>
      <c r="F958" s="1"/>
    </row>
    <row r="959" spans="2:6">
      <c r="B959" s="49">
        <v>640</v>
      </c>
      <c r="C959" s="50">
        <f t="shared" si="23"/>
        <v>43348</v>
      </c>
      <c r="D959" s="50">
        <f t="shared" si="22"/>
        <v>43354</v>
      </c>
      <c r="E959" s="1"/>
      <c r="F959" s="1"/>
    </row>
    <row r="960" spans="2:6">
      <c r="B960" s="49">
        <v>641</v>
      </c>
      <c r="C960" s="50">
        <f t="shared" si="23"/>
        <v>43355</v>
      </c>
      <c r="D960" s="50">
        <f t="shared" si="22"/>
        <v>43361</v>
      </c>
      <c r="E960" s="1"/>
      <c r="F960" s="1"/>
    </row>
    <row r="961" spans="2:6">
      <c r="B961" s="49">
        <v>642</v>
      </c>
      <c r="C961" s="50">
        <f t="shared" si="23"/>
        <v>43362</v>
      </c>
      <c r="D961" s="50">
        <f t="shared" si="22"/>
        <v>43368</v>
      </c>
      <c r="E961" s="1"/>
      <c r="F961" s="1"/>
    </row>
    <row r="962" spans="2:6">
      <c r="B962" s="49">
        <v>643</v>
      </c>
      <c r="C962" s="50">
        <f t="shared" si="23"/>
        <v>43369</v>
      </c>
      <c r="D962" s="50">
        <f t="shared" si="22"/>
        <v>43375</v>
      </c>
      <c r="E962" s="1"/>
      <c r="F962" s="1"/>
    </row>
    <row r="963" spans="2:6">
      <c r="B963" s="49">
        <v>644</v>
      </c>
      <c r="C963" s="50">
        <f t="shared" si="23"/>
        <v>43376</v>
      </c>
      <c r="D963" s="50">
        <f t="shared" si="22"/>
        <v>43382</v>
      </c>
      <c r="E963" s="1"/>
      <c r="F963" s="1"/>
    </row>
    <row r="964" spans="2:6">
      <c r="B964" s="49">
        <v>645</v>
      </c>
      <c r="C964" s="50">
        <f t="shared" si="23"/>
        <v>43383</v>
      </c>
      <c r="D964" s="50">
        <f t="shared" si="22"/>
        <v>43389</v>
      </c>
      <c r="E964" s="1"/>
      <c r="F964" s="1"/>
    </row>
    <row r="965" spans="2:6">
      <c r="B965" s="49">
        <v>646</v>
      </c>
      <c r="C965" s="50">
        <f t="shared" si="23"/>
        <v>43390</v>
      </c>
      <c r="D965" s="50">
        <f t="shared" si="22"/>
        <v>43396</v>
      </c>
      <c r="E965" s="1"/>
      <c r="F965" s="1"/>
    </row>
    <row r="966" spans="2:6">
      <c r="B966" s="49">
        <v>647</v>
      </c>
      <c r="C966" s="50">
        <f t="shared" si="23"/>
        <v>43397</v>
      </c>
      <c r="D966" s="50">
        <f t="shared" si="22"/>
        <v>43403</v>
      </c>
      <c r="E966" s="1"/>
      <c r="F966" s="1"/>
    </row>
    <row r="967" spans="2:6">
      <c r="B967" s="49">
        <v>648</v>
      </c>
      <c r="C967" s="50">
        <f t="shared" si="23"/>
        <v>43404</v>
      </c>
      <c r="D967" s="50">
        <f t="shared" si="22"/>
        <v>43410</v>
      </c>
      <c r="E967" s="1"/>
      <c r="F967" s="1"/>
    </row>
    <row r="968" spans="2:6">
      <c r="B968" s="49">
        <v>649</v>
      </c>
      <c r="C968" s="50">
        <f t="shared" si="23"/>
        <v>43411</v>
      </c>
      <c r="D968" s="50">
        <f t="shared" si="22"/>
        <v>43417</v>
      </c>
      <c r="E968" s="1"/>
      <c r="F968" s="1"/>
    </row>
    <row r="969" spans="2:6">
      <c r="B969" s="49">
        <v>650</v>
      </c>
      <c r="C969" s="50">
        <f t="shared" si="23"/>
        <v>43418</v>
      </c>
      <c r="D969" s="50">
        <f t="shared" si="22"/>
        <v>43424</v>
      </c>
      <c r="E969" s="1"/>
      <c r="F969" s="1"/>
    </row>
    <row r="970" spans="2:6">
      <c r="B970" s="49">
        <v>651</v>
      </c>
      <c r="C970" s="50">
        <f t="shared" si="23"/>
        <v>43425</v>
      </c>
      <c r="D970" s="50">
        <f t="shared" si="22"/>
        <v>43431</v>
      </c>
      <c r="E970" s="1"/>
      <c r="F970" s="1"/>
    </row>
    <row r="971" spans="2:6">
      <c r="B971" s="49">
        <v>652</v>
      </c>
      <c r="C971" s="50">
        <f t="shared" si="23"/>
        <v>43432</v>
      </c>
      <c r="D971" s="50">
        <f t="shared" si="22"/>
        <v>43438</v>
      </c>
      <c r="E971" s="1"/>
      <c r="F971" s="1"/>
    </row>
    <row r="972" spans="2:6">
      <c r="B972" s="49">
        <v>653</v>
      </c>
      <c r="C972" s="50">
        <f t="shared" si="23"/>
        <v>43439</v>
      </c>
      <c r="D972" s="50">
        <f t="shared" si="22"/>
        <v>43445</v>
      </c>
      <c r="E972" s="1"/>
      <c r="F972" s="1"/>
    </row>
    <row r="973" spans="2:6">
      <c r="B973" s="49">
        <v>654</v>
      </c>
      <c r="C973" s="50">
        <f t="shared" si="23"/>
        <v>43446</v>
      </c>
      <c r="D973" s="50">
        <f t="shared" si="22"/>
        <v>43452</v>
      </c>
      <c r="E973" s="1"/>
      <c r="F973" s="1"/>
    </row>
    <row r="974" spans="2:6">
      <c r="B974" s="49">
        <v>655</v>
      </c>
      <c r="C974" s="50">
        <f t="shared" si="23"/>
        <v>43453</v>
      </c>
      <c r="D974" s="50">
        <f t="shared" si="22"/>
        <v>43459</v>
      </c>
      <c r="E974" s="1"/>
      <c r="F974" s="1"/>
    </row>
    <row r="975" spans="2:6">
      <c r="B975" s="49">
        <v>656</v>
      </c>
      <c r="C975" s="50">
        <f t="shared" si="23"/>
        <v>43460</v>
      </c>
      <c r="D975" s="50">
        <f t="shared" si="22"/>
        <v>43466</v>
      </c>
      <c r="E975" s="1"/>
      <c r="F975" s="1"/>
    </row>
    <row r="976" spans="2:6">
      <c r="B976" s="49">
        <v>657</v>
      </c>
      <c r="C976" s="50">
        <f t="shared" si="23"/>
        <v>43467</v>
      </c>
      <c r="D976" s="50">
        <f t="shared" si="22"/>
        <v>43473</v>
      </c>
      <c r="E976" s="1"/>
      <c r="F976" s="1"/>
    </row>
    <row r="977" spans="2:6">
      <c r="B977" s="49">
        <v>658</v>
      </c>
      <c r="C977" s="50">
        <f t="shared" si="23"/>
        <v>43474</v>
      </c>
      <c r="D977" s="50">
        <f t="shared" si="22"/>
        <v>43480</v>
      </c>
      <c r="E977" s="1"/>
      <c r="F977" s="1"/>
    </row>
    <row r="978" spans="2:6">
      <c r="B978" s="49">
        <v>659</v>
      </c>
      <c r="C978" s="50">
        <f t="shared" si="23"/>
        <v>43481</v>
      </c>
      <c r="D978" s="50">
        <f t="shared" si="22"/>
        <v>43487</v>
      </c>
      <c r="E978" s="1"/>
      <c r="F978" s="1"/>
    </row>
    <row r="979" spans="2:6">
      <c r="B979" s="49">
        <v>660</v>
      </c>
      <c r="C979" s="50">
        <f t="shared" si="23"/>
        <v>43488</v>
      </c>
      <c r="D979" s="50">
        <f t="shared" si="22"/>
        <v>43494</v>
      </c>
      <c r="E979" s="1"/>
      <c r="F979" s="1"/>
    </row>
    <row r="980" spans="2:6">
      <c r="B980" s="49">
        <v>661</v>
      </c>
      <c r="C980" s="50">
        <f t="shared" si="23"/>
        <v>43495</v>
      </c>
      <c r="D980" s="50">
        <f t="shared" si="22"/>
        <v>43501</v>
      </c>
      <c r="E980" s="1"/>
      <c r="F980" s="1"/>
    </row>
    <row r="981" spans="2:6">
      <c r="B981" s="49">
        <v>662</v>
      </c>
      <c r="C981" s="50">
        <f t="shared" si="23"/>
        <v>43502</v>
      </c>
      <c r="D981" s="50">
        <f t="shared" si="22"/>
        <v>43508</v>
      </c>
      <c r="E981" s="1"/>
      <c r="F981" s="1"/>
    </row>
    <row r="982" spans="2:6">
      <c r="B982" s="49">
        <v>663</v>
      </c>
      <c r="C982" s="50">
        <f t="shared" si="23"/>
        <v>43509</v>
      </c>
      <c r="D982" s="50">
        <f t="shared" si="22"/>
        <v>43515</v>
      </c>
      <c r="E982" s="1"/>
      <c r="F982" s="1"/>
    </row>
    <row r="983" spans="2:6">
      <c r="B983" s="49">
        <v>664</v>
      </c>
      <c r="C983" s="50">
        <f t="shared" si="23"/>
        <v>43516</v>
      </c>
      <c r="D983" s="50">
        <f t="shared" si="22"/>
        <v>43522</v>
      </c>
      <c r="E983" s="1"/>
      <c r="F983" s="1"/>
    </row>
    <row r="984" spans="2:6">
      <c r="B984" s="49">
        <v>665</v>
      </c>
      <c r="C984" s="50">
        <f t="shared" si="23"/>
        <v>43523</v>
      </c>
      <c r="D984" s="50">
        <f t="shared" si="22"/>
        <v>43529</v>
      </c>
      <c r="E984" s="1"/>
      <c r="F984" s="1"/>
    </row>
    <row r="985" spans="2:6">
      <c r="B985" s="49">
        <v>666</v>
      </c>
      <c r="C985" s="50">
        <f t="shared" si="23"/>
        <v>43530</v>
      </c>
      <c r="D985" s="50">
        <f t="shared" si="22"/>
        <v>43536</v>
      </c>
      <c r="E985" s="1"/>
      <c r="F985" s="1"/>
    </row>
    <row r="986" spans="2:6">
      <c r="B986" s="49">
        <v>667</v>
      </c>
      <c r="C986" s="50">
        <f t="shared" si="23"/>
        <v>43537</v>
      </c>
      <c r="D986" s="50">
        <f t="shared" si="22"/>
        <v>43543</v>
      </c>
      <c r="E986" s="1"/>
      <c r="F986" s="1"/>
    </row>
    <row r="987" spans="2:6">
      <c r="B987" s="49">
        <v>668</v>
      </c>
      <c r="C987" s="50">
        <f t="shared" si="23"/>
        <v>43544</v>
      </c>
      <c r="D987" s="50">
        <f t="shared" si="22"/>
        <v>43550</v>
      </c>
      <c r="E987" s="1"/>
      <c r="F987" s="1"/>
    </row>
    <row r="988" spans="2:6">
      <c r="B988" s="49">
        <v>669</v>
      </c>
      <c r="C988" s="50">
        <f t="shared" si="23"/>
        <v>43551</v>
      </c>
      <c r="D988" s="50">
        <f t="shared" si="22"/>
        <v>43557</v>
      </c>
      <c r="E988" s="1"/>
      <c r="F988" s="1"/>
    </row>
    <row r="989" spans="2:6">
      <c r="B989" s="49">
        <v>670</v>
      </c>
      <c r="C989" s="50">
        <f t="shared" si="23"/>
        <v>43558</v>
      </c>
      <c r="D989" s="50">
        <f t="shared" si="22"/>
        <v>43564</v>
      </c>
      <c r="E989" s="1"/>
      <c r="F989" s="1"/>
    </row>
    <row r="990" spans="2:6">
      <c r="B990" s="49">
        <v>671</v>
      </c>
      <c r="C990" s="50">
        <f t="shared" si="23"/>
        <v>43565</v>
      </c>
      <c r="D990" s="50">
        <f t="shared" si="22"/>
        <v>43571</v>
      </c>
      <c r="E990" s="1"/>
      <c r="F990" s="1"/>
    </row>
    <row r="991" spans="2:6">
      <c r="B991" s="49">
        <v>672</v>
      </c>
      <c r="C991" s="50">
        <f t="shared" si="23"/>
        <v>43572</v>
      </c>
      <c r="D991" s="50">
        <f t="shared" si="22"/>
        <v>43578</v>
      </c>
      <c r="E991" s="1"/>
      <c r="F991" s="1"/>
    </row>
    <row r="992" spans="2:6">
      <c r="B992" s="49">
        <v>673</v>
      </c>
      <c r="C992" s="50">
        <f t="shared" si="23"/>
        <v>43579</v>
      </c>
      <c r="D992" s="50">
        <f t="shared" si="22"/>
        <v>43585</v>
      </c>
      <c r="E992" s="1"/>
      <c r="F992" s="1"/>
    </row>
    <row r="993" spans="2:6">
      <c r="B993" s="49">
        <v>674</v>
      </c>
      <c r="C993" s="50">
        <f t="shared" si="23"/>
        <v>43586</v>
      </c>
      <c r="D993" s="50">
        <f t="shared" si="22"/>
        <v>43592</v>
      </c>
      <c r="E993" s="1"/>
      <c r="F993" s="1"/>
    </row>
    <row r="994" spans="2:6">
      <c r="B994" s="49">
        <v>675</v>
      </c>
      <c r="C994" s="50">
        <f t="shared" si="23"/>
        <v>43593</v>
      </c>
      <c r="D994" s="50">
        <f t="shared" si="22"/>
        <v>43599</v>
      </c>
      <c r="E994" s="1"/>
      <c r="F994" s="1"/>
    </row>
    <row r="995" spans="2:6">
      <c r="B995" s="49">
        <v>676</v>
      </c>
      <c r="C995" s="50">
        <f t="shared" ref="C995:C1027" si="24">D994+1</f>
        <v>43600</v>
      </c>
      <c r="D995" s="50">
        <f t="shared" si="22"/>
        <v>43606</v>
      </c>
      <c r="E995" s="1"/>
      <c r="F995" s="1"/>
    </row>
    <row r="996" spans="2:6">
      <c r="B996" s="49">
        <v>677</v>
      </c>
      <c r="C996" s="50">
        <f t="shared" si="24"/>
        <v>43607</v>
      </c>
      <c r="D996" s="50">
        <f t="shared" si="22"/>
        <v>43613</v>
      </c>
      <c r="E996" s="1"/>
      <c r="F996" s="1"/>
    </row>
    <row r="997" spans="2:6">
      <c r="B997" s="49">
        <v>678</v>
      </c>
      <c r="C997" s="50">
        <f t="shared" si="24"/>
        <v>43614</v>
      </c>
      <c r="D997" s="50">
        <f t="shared" si="22"/>
        <v>43620</v>
      </c>
      <c r="E997" s="1"/>
      <c r="F997" s="1"/>
    </row>
    <row r="998" spans="2:6">
      <c r="B998" s="49">
        <v>679</v>
      </c>
      <c r="C998" s="50">
        <f t="shared" si="24"/>
        <v>43621</v>
      </c>
      <c r="D998" s="50">
        <f t="shared" si="22"/>
        <v>43627</v>
      </c>
      <c r="E998" s="1"/>
      <c r="F998" s="1"/>
    </row>
    <row r="999" spans="2:6">
      <c r="B999" s="49">
        <v>680</v>
      </c>
      <c r="C999" s="50">
        <f t="shared" si="24"/>
        <v>43628</v>
      </c>
      <c r="D999" s="50">
        <f t="shared" si="22"/>
        <v>43634</v>
      </c>
      <c r="E999" s="1"/>
      <c r="F999" s="1"/>
    </row>
    <row r="1000" spans="2:6">
      <c r="B1000" s="49">
        <v>681</v>
      </c>
      <c r="C1000" s="50">
        <f t="shared" si="24"/>
        <v>43635</v>
      </c>
      <c r="D1000" s="50">
        <f t="shared" si="22"/>
        <v>43641</v>
      </c>
      <c r="E1000" s="1"/>
      <c r="F1000" s="1"/>
    </row>
    <row r="1001" spans="2:6">
      <c r="B1001" s="49">
        <v>682</v>
      </c>
      <c r="C1001" s="50">
        <f t="shared" si="24"/>
        <v>43642</v>
      </c>
      <c r="D1001" s="50">
        <f t="shared" si="22"/>
        <v>43648</v>
      </c>
      <c r="E1001" s="1"/>
      <c r="F1001" s="1"/>
    </row>
    <row r="1002" spans="2:6">
      <c r="B1002" s="49">
        <v>683</v>
      </c>
      <c r="C1002" s="50">
        <f t="shared" si="24"/>
        <v>43649</v>
      </c>
      <c r="D1002" s="50">
        <f t="shared" si="22"/>
        <v>43655</v>
      </c>
      <c r="E1002" s="1"/>
      <c r="F1002" s="1"/>
    </row>
    <row r="1003" spans="2:6">
      <c r="B1003" s="49">
        <v>684</v>
      </c>
      <c r="C1003" s="50">
        <f t="shared" si="24"/>
        <v>43656</v>
      </c>
      <c r="D1003" s="50">
        <f t="shared" si="22"/>
        <v>43662</v>
      </c>
      <c r="E1003" s="1"/>
      <c r="F1003" s="1"/>
    </row>
    <row r="1004" spans="2:6">
      <c r="B1004" s="49">
        <v>685</v>
      </c>
      <c r="C1004" s="50">
        <f t="shared" si="24"/>
        <v>43663</v>
      </c>
      <c r="D1004" s="50">
        <f t="shared" ref="D1004:D1027" si="25">D1003+7</f>
        <v>43669</v>
      </c>
      <c r="E1004" s="1"/>
      <c r="F1004" s="1"/>
    </row>
    <row r="1005" spans="2:6">
      <c r="B1005" s="49">
        <v>686</v>
      </c>
      <c r="C1005" s="50">
        <f t="shared" si="24"/>
        <v>43670</v>
      </c>
      <c r="D1005" s="50">
        <f t="shared" si="25"/>
        <v>43676</v>
      </c>
      <c r="E1005" s="1"/>
      <c r="F1005" s="1"/>
    </row>
    <row r="1006" spans="2:6">
      <c r="B1006" s="49">
        <v>687</v>
      </c>
      <c r="C1006" s="50">
        <f t="shared" si="24"/>
        <v>43677</v>
      </c>
      <c r="D1006" s="50">
        <f t="shared" si="25"/>
        <v>43683</v>
      </c>
      <c r="E1006" s="1"/>
      <c r="F1006" s="1"/>
    </row>
    <row r="1007" spans="2:6">
      <c r="B1007" s="49">
        <v>688</v>
      </c>
      <c r="C1007" s="50">
        <f t="shared" si="24"/>
        <v>43684</v>
      </c>
      <c r="D1007" s="50">
        <f t="shared" si="25"/>
        <v>43690</v>
      </c>
      <c r="E1007" s="1"/>
      <c r="F1007" s="1"/>
    </row>
    <row r="1008" spans="2:6">
      <c r="B1008" s="49">
        <v>689</v>
      </c>
      <c r="C1008" s="50">
        <f t="shared" si="24"/>
        <v>43691</v>
      </c>
      <c r="D1008" s="50">
        <f t="shared" si="25"/>
        <v>43697</v>
      </c>
      <c r="E1008" s="1"/>
      <c r="F1008" s="1"/>
    </row>
    <row r="1009" spans="2:6">
      <c r="B1009" s="49">
        <v>690</v>
      </c>
      <c r="C1009" s="50">
        <f t="shared" si="24"/>
        <v>43698</v>
      </c>
      <c r="D1009" s="50">
        <f t="shared" si="25"/>
        <v>43704</v>
      </c>
      <c r="E1009" s="1"/>
      <c r="F1009" s="1"/>
    </row>
    <row r="1010" spans="2:6">
      <c r="B1010" s="49">
        <v>691</v>
      </c>
      <c r="C1010" s="50">
        <f t="shared" si="24"/>
        <v>43705</v>
      </c>
      <c r="D1010" s="50">
        <f t="shared" si="25"/>
        <v>43711</v>
      </c>
      <c r="E1010" s="1"/>
      <c r="F1010" s="1"/>
    </row>
    <row r="1011" spans="2:6">
      <c r="B1011" s="49">
        <v>692</v>
      </c>
      <c r="C1011" s="50">
        <f t="shared" si="24"/>
        <v>43712</v>
      </c>
      <c r="D1011" s="50">
        <f t="shared" si="25"/>
        <v>43718</v>
      </c>
      <c r="E1011" s="1"/>
      <c r="F1011" s="1"/>
    </row>
    <row r="1012" spans="2:6">
      <c r="B1012" s="49">
        <v>693</v>
      </c>
      <c r="C1012" s="50">
        <f t="shared" si="24"/>
        <v>43719</v>
      </c>
      <c r="D1012" s="50">
        <f t="shared" si="25"/>
        <v>43725</v>
      </c>
      <c r="E1012" s="1"/>
      <c r="F1012" s="1"/>
    </row>
    <row r="1013" spans="2:6">
      <c r="B1013" s="49">
        <v>694</v>
      </c>
      <c r="C1013" s="50">
        <f t="shared" si="24"/>
        <v>43726</v>
      </c>
      <c r="D1013" s="50">
        <f t="shared" si="25"/>
        <v>43732</v>
      </c>
      <c r="E1013" s="1"/>
      <c r="F1013" s="1"/>
    </row>
    <row r="1014" spans="2:6">
      <c r="B1014" s="49">
        <v>695</v>
      </c>
      <c r="C1014" s="50">
        <f t="shared" si="24"/>
        <v>43733</v>
      </c>
      <c r="D1014" s="50">
        <f t="shared" si="25"/>
        <v>43739</v>
      </c>
      <c r="E1014" s="1"/>
      <c r="F1014" s="1"/>
    </row>
    <row r="1015" spans="2:6">
      <c r="B1015" s="49">
        <v>696</v>
      </c>
      <c r="C1015" s="50">
        <f t="shared" si="24"/>
        <v>43740</v>
      </c>
      <c r="D1015" s="50">
        <f t="shared" si="25"/>
        <v>43746</v>
      </c>
      <c r="E1015" s="1"/>
      <c r="F1015" s="1"/>
    </row>
    <row r="1016" spans="2:6">
      <c r="B1016" s="49">
        <v>697</v>
      </c>
      <c r="C1016" s="50">
        <f t="shared" si="24"/>
        <v>43747</v>
      </c>
      <c r="D1016" s="50">
        <f t="shared" si="25"/>
        <v>43753</v>
      </c>
      <c r="E1016" s="1"/>
      <c r="F1016" s="1"/>
    </row>
    <row r="1017" spans="2:6">
      <c r="B1017" s="49">
        <v>698</v>
      </c>
      <c r="C1017" s="50">
        <f t="shared" si="24"/>
        <v>43754</v>
      </c>
      <c r="D1017" s="50">
        <f t="shared" si="25"/>
        <v>43760</v>
      </c>
      <c r="E1017" s="1"/>
      <c r="F1017" s="1"/>
    </row>
    <row r="1018" spans="2:6">
      <c r="B1018" s="49">
        <v>699</v>
      </c>
      <c r="C1018" s="50">
        <f t="shared" si="24"/>
        <v>43761</v>
      </c>
      <c r="D1018" s="50">
        <f t="shared" si="25"/>
        <v>43767</v>
      </c>
      <c r="E1018" s="1"/>
      <c r="F1018" s="1"/>
    </row>
    <row r="1019" spans="2:6">
      <c r="B1019" s="49">
        <v>700</v>
      </c>
      <c r="C1019" s="50">
        <f t="shared" si="24"/>
        <v>43768</v>
      </c>
      <c r="D1019" s="50">
        <f t="shared" si="25"/>
        <v>43774</v>
      </c>
      <c r="E1019" s="1"/>
      <c r="F1019" s="1"/>
    </row>
    <row r="1020" spans="2:6">
      <c r="B1020" s="49">
        <v>701</v>
      </c>
      <c r="C1020" s="50">
        <f t="shared" si="24"/>
        <v>43775</v>
      </c>
      <c r="D1020" s="50">
        <f t="shared" si="25"/>
        <v>43781</v>
      </c>
      <c r="E1020" s="1"/>
      <c r="F1020" s="1"/>
    </row>
    <row r="1021" spans="2:6">
      <c r="B1021" s="49">
        <v>702</v>
      </c>
      <c r="C1021" s="50">
        <f t="shared" si="24"/>
        <v>43782</v>
      </c>
      <c r="D1021" s="50">
        <f t="shared" si="25"/>
        <v>43788</v>
      </c>
      <c r="E1021" s="1"/>
      <c r="F1021" s="1"/>
    </row>
    <row r="1022" spans="2:6">
      <c r="B1022" s="49">
        <v>703</v>
      </c>
      <c r="C1022" s="50">
        <f t="shared" si="24"/>
        <v>43789</v>
      </c>
      <c r="D1022" s="50">
        <f t="shared" si="25"/>
        <v>43795</v>
      </c>
      <c r="E1022" s="1"/>
      <c r="F1022" s="1"/>
    </row>
    <row r="1023" spans="2:6">
      <c r="B1023" s="49">
        <v>704</v>
      </c>
      <c r="C1023" s="50">
        <f t="shared" si="24"/>
        <v>43796</v>
      </c>
      <c r="D1023" s="50">
        <f t="shared" si="25"/>
        <v>43802</v>
      </c>
      <c r="E1023" s="1"/>
      <c r="F1023" s="1"/>
    </row>
    <row r="1024" spans="2:6">
      <c r="B1024" s="49">
        <v>705</v>
      </c>
      <c r="C1024" s="50">
        <f t="shared" si="24"/>
        <v>43803</v>
      </c>
      <c r="D1024" s="50">
        <f t="shared" si="25"/>
        <v>43809</v>
      </c>
      <c r="E1024" s="1"/>
      <c r="F1024" s="1"/>
    </row>
    <row r="1025" spans="2:6">
      <c r="B1025" s="49">
        <v>706</v>
      </c>
      <c r="C1025" s="50">
        <f t="shared" si="24"/>
        <v>43810</v>
      </c>
      <c r="D1025" s="50">
        <f t="shared" si="25"/>
        <v>43816</v>
      </c>
      <c r="E1025" s="1"/>
      <c r="F1025" s="1"/>
    </row>
    <row r="1026" spans="2:6">
      <c r="B1026" s="49">
        <v>707</v>
      </c>
      <c r="C1026" s="50">
        <f t="shared" si="24"/>
        <v>43817</v>
      </c>
      <c r="D1026" s="50">
        <f t="shared" si="25"/>
        <v>43823</v>
      </c>
      <c r="E1026" s="1"/>
      <c r="F1026" s="1"/>
    </row>
    <row r="1027" spans="2:6">
      <c r="B1027" s="49">
        <v>708</v>
      </c>
      <c r="C1027" s="50">
        <f t="shared" si="24"/>
        <v>43824</v>
      </c>
      <c r="D1027" s="50">
        <f t="shared" si="25"/>
        <v>43830</v>
      </c>
      <c r="E1027" s="1"/>
      <c r="F1027" s="1"/>
    </row>
    <row r="1028" spans="2:6">
      <c r="B1028" s="430"/>
      <c r="C1028" s="431"/>
      <c r="D1028" s="431"/>
      <c r="E1028" s="1"/>
      <c r="F1028" s="1"/>
    </row>
    <row r="1029" spans="2:6">
      <c r="B1029" s="430"/>
      <c r="C1029" s="431"/>
      <c r="D1029" s="431"/>
      <c r="E1029" s="1"/>
      <c r="F1029" s="1"/>
    </row>
    <row r="1030" spans="2:6">
      <c r="B1030" s="1"/>
      <c r="C1030" s="1"/>
      <c r="D1030" s="1"/>
      <c r="E1030" s="1"/>
      <c r="F1030" s="1"/>
    </row>
    <row r="1031" spans="2:6">
      <c r="B1031" s="121" t="s">
        <v>116</v>
      </c>
      <c r="C1031" s="1"/>
      <c r="D1031" s="1"/>
      <c r="E1031" s="1"/>
      <c r="F1031" s="1"/>
    </row>
    <row r="1032" spans="2:6" ht="36">
      <c r="B1032" s="47" t="s">
        <v>117</v>
      </c>
      <c r="C1032" s="1"/>
      <c r="D1032" s="1"/>
      <c r="E1032" s="1"/>
      <c r="F1032" s="1"/>
    </row>
    <row r="1033" spans="2:6" ht="24">
      <c r="B1033" s="47" t="s">
        <v>118</v>
      </c>
      <c r="C1033" s="1"/>
      <c r="D1033" s="1"/>
      <c r="E1033" s="1"/>
      <c r="F1033" s="1"/>
    </row>
    <row r="1034" spans="2:6">
      <c r="B1034" s="47" t="s">
        <v>99</v>
      </c>
      <c r="C1034" s="1"/>
      <c r="D1034" s="1"/>
      <c r="E1034" s="1"/>
      <c r="F1034" s="1"/>
    </row>
    <row r="1035" spans="2:6">
      <c r="B1035" s="47" t="s">
        <v>93</v>
      </c>
      <c r="C1035" s="1"/>
      <c r="D1035" s="1"/>
      <c r="E1035" s="1"/>
      <c r="F1035" s="1"/>
    </row>
    <row r="1036" spans="2:6">
      <c r="B1036" s="1"/>
      <c r="C1036" s="1"/>
      <c r="D1036" s="1"/>
      <c r="E1036" s="1"/>
      <c r="F1036" s="1"/>
    </row>
    <row r="1037" spans="2:6">
      <c r="B1037" s="1"/>
      <c r="C1037" s="1"/>
      <c r="D1037" s="1"/>
      <c r="E1037" s="1"/>
      <c r="F1037" s="1"/>
    </row>
    <row r="1038" spans="2:6">
      <c r="B1038" s="121" t="s">
        <v>119</v>
      </c>
      <c r="C1038" s="1"/>
      <c r="D1038" s="1"/>
      <c r="E1038" s="1"/>
      <c r="F1038" s="1"/>
    </row>
    <row r="1039" spans="2:6" ht="36">
      <c r="B1039" s="47" t="s">
        <v>120</v>
      </c>
      <c r="C1039" s="1"/>
      <c r="D1039" s="1"/>
      <c r="E1039" s="1"/>
      <c r="F1039" s="1"/>
    </row>
    <row r="1040" spans="2:6" ht="48">
      <c r="B1040" s="47" t="s">
        <v>121</v>
      </c>
      <c r="C1040" s="1"/>
      <c r="D1040" s="1"/>
      <c r="E1040" s="1"/>
      <c r="F1040" s="1"/>
    </row>
    <row r="1041" spans="2:6" ht="24">
      <c r="B1041" s="47" t="s">
        <v>122</v>
      </c>
      <c r="C1041" s="1"/>
      <c r="D1041" s="1"/>
      <c r="E1041" s="1"/>
      <c r="F1041" s="1"/>
    </row>
    <row r="1042" spans="2:6" ht="24">
      <c r="B1042" s="47" t="s">
        <v>123</v>
      </c>
      <c r="C1042" s="1"/>
      <c r="D1042" s="1"/>
      <c r="E1042" s="1"/>
      <c r="F1042" s="1"/>
    </row>
    <row r="1043" spans="2:6">
      <c r="B1043" s="47" t="s">
        <v>99</v>
      </c>
      <c r="C1043" s="1"/>
      <c r="D1043" s="1"/>
      <c r="E1043" s="1"/>
      <c r="F1043" s="1"/>
    </row>
    <row r="1044" spans="2:6">
      <c r="B1044" s="47" t="s">
        <v>93</v>
      </c>
      <c r="C1044" s="1"/>
      <c r="D1044" s="1"/>
      <c r="E1044" s="1"/>
      <c r="F1044" s="1"/>
    </row>
    <row r="1045" spans="2:6">
      <c r="B1045" s="1"/>
      <c r="C1045" s="1"/>
      <c r="D1045" s="1"/>
      <c r="E1045" s="1"/>
      <c r="F1045" s="1"/>
    </row>
    <row r="1046" spans="2:6">
      <c r="B1046" s="1"/>
      <c r="C1046" s="1"/>
      <c r="D1046" s="1"/>
      <c r="E1046" s="1"/>
      <c r="F1046" s="1"/>
    </row>
    <row r="1047" spans="2:6">
      <c r="B1047" s="121" t="s">
        <v>128</v>
      </c>
      <c r="C1047" s="1"/>
      <c r="D1047" s="1"/>
      <c r="E1047" s="1"/>
      <c r="F1047" s="1"/>
    </row>
    <row r="1048" spans="2:6">
      <c r="B1048" s="47" t="s">
        <v>130</v>
      </c>
      <c r="C1048" s="1"/>
      <c r="D1048" s="1"/>
      <c r="E1048" s="1"/>
      <c r="F1048" s="1"/>
    </row>
    <row r="1049" spans="2:6">
      <c r="B1049" s="47" t="s">
        <v>131</v>
      </c>
      <c r="C1049" s="1"/>
      <c r="D1049" s="1"/>
      <c r="E1049" s="1"/>
      <c r="F1049" s="1"/>
    </row>
    <row r="1050" spans="2:6">
      <c r="B1050" s="47" t="s">
        <v>129</v>
      </c>
      <c r="C1050" s="1"/>
      <c r="D1050" s="1"/>
      <c r="E1050" s="1"/>
      <c r="F1050" s="1"/>
    </row>
    <row r="1051" spans="2:6">
      <c r="B1051" s="47" t="s">
        <v>348</v>
      </c>
      <c r="C1051" s="1"/>
      <c r="D1051" s="1"/>
      <c r="E1051" s="1"/>
      <c r="F1051" s="1"/>
    </row>
    <row r="1052" spans="2:6">
      <c r="B1052" s="47" t="s">
        <v>93</v>
      </c>
      <c r="C1052" s="1"/>
      <c r="D1052" s="1"/>
      <c r="E1052" s="1"/>
      <c r="F1052" s="1"/>
    </row>
    <row r="1053" spans="2:6">
      <c r="B1053" s="1"/>
      <c r="C1053" s="1"/>
      <c r="D1053" s="1"/>
      <c r="E1053" s="1"/>
      <c r="F1053" s="1"/>
    </row>
    <row r="1054" spans="2:6">
      <c r="B1054" s="1"/>
      <c r="C1054" s="1"/>
      <c r="D1054" s="1"/>
      <c r="E1054" s="1"/>
      <c r="F1054" s="1"/>
    </row>
    <row r="1055" spans="2:6">
      <c r="B1055" s="121" t="s">
        <v>289</v>
      </c>
      <c r="C1055" s="121"/>
      <c r="D1055" s="1"/>
      <c r="E1055" s="1"/>
      <c r="F1055" s="1"/>
    </row>
    <row r="1056" spans="2:6" ht="24">
      <c r="B1056" s="47" t="s">
        <v>361</v>
      </c>
      <c r="C1056" s="47" t="s">
        <v>295</v>
      </c>
      <c r="D1056" s="1"/>
      <c r="E1056" s="1"/>
      <c r="F1056" s="1"/>
    </row>
    <row r="1057" spans="2:6" ht="24">
      <c r="B1057" s="47" t="s">
        <v>373</v>
      </c>
      <c r="C1057" s="47" t="s">
        <v>375</v>
      </c>
      <c r="D1057" s="1"/>
      <c r="E1057" s="1"/>
      <c r="F1057" s="1"/>
    </row>
    <row r="1058" spans="2:6" ht="60">
      <c r="B1058" s="47" t="s">
        <v>370</v>
      </c>
      <c r="C1058" s="47" t="s">
        <v>376</v>
      </c>
      <c r="D1058" s="1"/>
      <c r="E1058" s="1"/>
      <c r="F1058" s="1"/>
    </row>
    <row r="1059" spans="2:6" ht="84">
      <c r="B1059" s="47" t="s">
        <v>374</v>
      </c>
      <c r="C1059" s="47" t="s">
        <v>377</v>
      </c>
      <c r="D1059" s="1"/>
      <c r="E1059" s="1"/>
      <c r="F1059" s="1"/>
    </row>
    <row r="1060" spans="2:6" ht="24">
      <c r="B1060" s="47" t="s">
        <v>371</v>
      </c>
      <c r="C1060" s="47" t="s">
        <v>378</v>
      </c>
      <c r="D1060" s="1"/>
      <c r="E1060" s="1"/>
      <c r="F1060" s="1"/>
    </row>
    <row r="1061" spans="2:6" ht="24">
      <c r="B1061" s="47" t="s">
        <v>66</v>
      </c>
      <c r="C1061" s="47" t="s">
        <v>379</v>
      </c>
      <c r="D1061" s="1"/>
      <c r="E1061" s="1"/>
      <c r="F1061" s="1"/>
    </row>
    <row r="1062" spans="2:6">
      <c r="B1062" s="1"/>
      <c r="C1062" s="1"/>
      <c r="D1062" s="1"/>
      <c r="E1062" s="1"/>
      <c r="F1062" s="1"/>
    </row>
    <row r="1063" spans="2:6">
      <c r="B1063" s="1"/>
      <c r="C1063" s="1"/>
      <c r="D1063" s="1"/>
      <c r="E1063" s="1"/>
      <c r="F1063" s="1"/>
    </row>
    <row r="1064" spans="2:6">
      <c r="B1064" s="121" t="s">
        <v>290</v>
      </c>
      <c r="C1064" s="1"/>
      <c r="D1064" s="1"/>
      <c r="E1064" s="1"/>
      <c r="F1064" s="1"/>
    </row>
    <row r="1065" spans="2:6">
      <c r="B1065" s="47" t="s">
        <v>362</v>
      </c>
      <c r="C1065" s="1"/>
      <c r="D1065" s="1"/>
      <c r="E1065" s="1"/>
      <c r="F1065" s="1"/>
    </row>
    <row r="1066" spans="2:6">
      <c r="B1066" s="47" t="s">
        <v>363</v>
      </c>
      <c r="C1066" s="1"/>
      <c r="D1066" s="1"/>
      <c r="E1066" s="1"/>
      <c r="F1066" s="1"/>
    </row>
    <row r="1067" spans="2:6">
      <c r="B1067" s="47" t="s">
        <v>364</v>
      </c>
      <c r="C1067" s="1"/>
      <c r="D1067" s="1"/>
      <c r="E1067" s="1"/>
      <c r="F1067" s="1"/>
    </row>
    <row r="1068" spans="2:6">
      <c r="B1068" s="47" t="s">
        <v>366</v>
      </c>
      <c r="C1068" s="1"/>
      <c r="D1068" s="1"/>
      <c r="E1068" s="1"/>
      <c r="F1068" s="1"/>
    </row>
    <row r="1069" spans="2:6">
      <c r="B1069" s="1"/>
      <c r="C1069" s="1"/>
      <c r="D1069" s="1"/>
      <c r="E1069" s="1"/>
      <c r="F1069" s="1"/>
    </row>
    <row r="1070" spans="2:6">
      <c r="B1070" s="1"/>
      <c r="C1070" s="1"/>
      <c r="D1070" s="1"/>
      <c r="E1070" s="1"/>
      <c r="F1070" s="1"/>
    </row>
    <row r="1071" spans="2:6">
      <c r="B1071" s="1"/>
      <c r="C1071" s="1"/>
      <c r="D1071" s="1"/>
      <c r="E1071" s="1"/>
      <c r="F1071" s="1"/>
    </row>
    <row r="1072" spans="2:6">
      <c r="B1072" s="1"/>
      <c r="C1072" s="1"/>
      <c r="D1072" s="1"/>
      <c r="E1072" s="1"/>
      <c r="F1072" s="1"/>
    </row>
    <row r="1073" spans="2:6">
      <c r="B1073" s="1"/>
      <c r="C1073" s="1"/>
      <c r="D1073" s="1"/>
      <c r="E1073" s="1"/>
      <c r="F1073" s="1"/>
    </row>
    <row r="1074" spans="2:6">
      <c r="B1074" s="1"/>
      <c r="C1074" s="1"/>
      <c r="D1074" s="1"/>
      <c r="E1074" s="1"/>
      <c r="F1074" s="1"/>
    </row>
    <row r="1075" spans="2:6">
      <c r="B1075" s="1"/>
      <c r="C1075" s="1"/>
      <c r="D1075" s="1"/>
      <c r="E1075" s="1"/>
      <c r="F1075" s="1"/>
    </row>
    <row r="1076" spans="2:6">
      <c r="B1076" s="1"/>
      <c r="C1076" s="1"/>
      <c r="D1076" s="1"/>
      <c r="E1076" s="1"/>
      <c r="F1076" s="1"/>
    </row>
    <row r="1077" spans="2:6">
      <c r="B1077" s="1"/>
      <c r="C1077" s="1"/>
      <c r="D1077" s="1"/>
      <c r="E1077" s="1"/>
      <c r="F1077" s="1"/>
    </row>
    <row r="1078" spans="2:6">
      <c r="B1078" s="1"/>
      <c r="C1078" s="1"/>
      <c r="D1078" s="1"/>
      <c r="E1078" s="1"/>
      <c r="F1078" s="1"/>
    </row>
    <row r="1079" spans="2:6">
      <c r="B1079" s="1"/>
      <c r="C1079" s="1"/>
      <c r="D1079" s="1"/>
      <c r="E1079" s="1"/>
      <c r="F1079" s="1"/>
    </row>
    <row r="1080" spans="2:6">
      <c r="B1080" s="1"/>
      <c r="C1080" s="1"/>
      <c r="D1080" s="1"/>
      <c r="E1080" s="1"/>
      <c r="F1080" s="1"/>
    </row>
    <row r="1081" spans="2:6">
      <c r="B1081" s="1"/>
      <c r="C1081" s="1"/>
      <c r="D1081" s="1"/>
      <c r="E1081" s="1"/>
      <c r="F1081" s="1"/>
    </row>
    <row r="1082" spans="2:6">
      <c r="B1082" s="1"/>
      <c r="C1082" s="1"/>
      <c r="D1082" s="1"/>
      <c r="E1082" s="1"/>
      <c r="F1082" s="1"/>
    </row>
    <row r="1083" spans="2:6">
      <c r="B1083" s="1"/>
      <c r="C1083" s="1"/>
      <c r="D1083" s="1"/>
      <c r="E1083" s="1"/>
      <c r="F1083" s="1"/>
    </row>
    <row r="1084" spans="2:6">
      <c r="B1084" s="1"/>
      <c r="C1084" s="1"/>
      <c r="D1084" s="1"/>
      <c r="E1084" s="1"/>
      <c r="F1084" s="1"/>
    </row>
    <row r="1085" spans="2:6">
      <c r="B1085" s="1"/>
      <c r="C1085" s="1"/>
      <c r="D1085" s="1"/>
      <c r="E1085" s="1"/>
      <c r="F1085" s="1"/>
    </row>
    <row r="1086" spans="2:6">
      <c r="B1086" s="1"/>
      <c r="C1086" s="1"/>
      <c r="D1086" s="1"/>
      <c r="E1086" s="1"/>
      <c r="F1086" s="1"/>
    </row>
    <row r="1087" spans="2:6">
      <c r="B1087" s="1"/>
      <c r="C1087" s="1"/>
      <c r="D1087" s="1"/>
      <c r="E1087" s="1"/>
      <c r="F1087" s="1"/>
    </row>
    <row r="1088" spans="2:6">
      <c r="B1088" s="1"/>
      <c r="C1088" s="1"/>
      <c r="D1088" s="1"/>
      <c r="E1088" s="1"/>
      <c r="F1088" s="1"/>
    </row>
    <row r="1089" spans="2:6">
      <c r="B1089" s="1"/>
      <c r="C1089" s="1"/>
      <c r="D1089" s="1"/>
      <c r="E1089" s="1"/>
      <c r="F1089" s="1"/>
    </row>
    <row r="1090" spans="2:6">
      <c r="B1090" s="1"/>
      <c r="C1090" s="1"/>
      <c r="D1090" s="1"/>
      <c r="E1090" s="1"/>
      <c r="F1090" s="1"/>
    </row>
    <row r="1091" spans="2:6">
      <c r="B1091" s="1"/>
      <c r="C1091" s="1"/>
      <c r="D1091" s="1"/>
      <c r="E1091" s="1"/>
      <c r="F1091" s="1"/>
    </row>
    <row r="1092" spans="2:6">
      <c r="B1092" s="1"/>
      <c r="C1092" s="1"/>
      <c r="D1092" s="1"/>
      <c r="E1092" s="1"/>
      <c r="F1092" s="1"/>
    </row>
    <row r="1093" spans="2:6">
      <c r="B1093" s="1"/>
      <c r="C1093" s="1"/>
      <c r="D1093" s="1"/>
      <c r="E1093" s="1"/>
      <c r="F1093" s="1"/>
    </row>
    <row r="1094" spans="2:6">
      <c r="B1094" s="1"/>
      <c r="C1094" s="1"/>
      <c r="D1094" s="1"/>
      <c r="E1094" s="1"/>
      <c r="F1094" s="1"/>
    </row>
    <row r="1095" spans="2:6">
      <c r="C1095" s="1"/>
      <c r="D1095" s="1"/>
      <c r="E1095" s="1"/>
      <c r="F1095" s="1"/>
    </row>
    <row r="1096" spans="2:6">
      <c r="C1096" s="1"/>
      <c r="D1096" s="1"/>
      <c r="E1096" s="1"/>
      <c r="F1096" s="1"/>
    </row>
    <row r="1097" spans="2:6">
      <c r="C1097" s="1"/>
      <c r="D1097" s="1"/>
      <c r="E1097" s="1"/>
      <c r="F1097" s="1"/>
    </row>
    <row r="1098" spans="2:6">
      <c r="C1098" s="1"/>
      <c r="D1098" s="1"/>
      <c r="E1098" s="1"/>
      <c r="F1098" s="1"/>
    </row>
    <row r="1099" spans="2:6">
      <c r="C1099" s="1"/>
      <c r="D1099" s="1"/>
      <c r="E1099" s="1"/>
      <c r="F1099" s="1"/>
    </row>
    <row r="1100" spans="2:6">
      <c r="C1100" s="1"/>
      <c r="D1100" s="1"/>
      <c r="E1100" s="1"/>
      <c r="F1100" s="1"/>
    </row>
    <row r="1101" spans="2:6">
      <c r="C1101" s="1"/>
      <c r="D1101" s="1"/>
      <c r="E1101" s="1"/>
      <c r="F1101" s="1"/>
    </row>
    <row r="1102" spans="2:6">
      <c r="C1102" s="1"/>
      <c r="D1102" s="1"/>
      <c r="E1102" s="1"/>
      <c r="F1102" s="1"/>
    </row>
    <row r="1103" spans="2:6">
      <c r="C1103" s="1"/>
      <c r="D1103" s="1"/>
      <c r="E1103" s="1"/>
      <c r="F1103" s="1"/>
    </row>
    <row r="1104" spans="2:6">
      <c r="C1104" s="1"/>
      <c r="D1104" s="1"/>
      <c r="E1104" s="1"/>
      <c r="F1104" s="1"/>
    </row>
    <row r="1105" spans="2:6">
      <c r="C1105" s="1"/>
      <c r="D1105" s="1"/>
      <c r="E1105" s="1"/>
      <c r="F1105" s="1"/>
    </row>
    <row r="1106" spans="2:6">
      <c r="C1106" s="1"/>
      <c r="D1106" s="1"/>
      <c r="E1106" s="1"/>
      <c r="F1106" s="1"/>
    </row>
    <row r="1107" spans="2:6">
      <c r="C1107" s="1"/>
      <c r="D1107" s="1"/>
      <c r="E1107" s="1"/>
      <c r="F1107" s="1"/>
    </row>
    <row r="1108" spans="2:6">
      <c r="B1108" s="1"/>
      <c r="C1108" s="1"/>
      <c r="D1108" s="1"/>
      <c r="E1108" s="1"/>
      <c r="F1108" s="1"/>
    </row>
    <row r="1109" spans="2:6">
      <c r="B1109" s="1"/>
      <c r="C1109" s="1"/>
      <c r="D1109" s="1"/>
      <c r="E1109" s="1"/>
      <c r="F1109" s="1"/>
    </row>
    <row r="1110" spans="2:6">
      <c r="B1110" s="1"/>
      <c r="C1110" s="1"/>
      <c r="D1110" s="1"/>
      <c r="E1110" s="1"/>
      <c r="F1110" s="1"/>
    </row>
    <row r="1111" spans="2:6">
      <c r="B1111" s="1"/>
      <c r="C1111" s="1"/>
      <c r="D1111" s="1"/>
      <c r="E1111" s="1"/>
      <c r="F1111" s="1"/>
    </row>
    <row r="1112" spans="2:6">
      <c r="B1112" s="1"/>
      <c r="C1112" s="1"/>
      <c r="D1112" s="1"/>
      <c r="E1112" s="1"/>
      <c r="F1112" s="1"/>
    </row>
    <row r="1113" spans="2:6">
      <c r="B1113" s="1"/>
      <c r="C1113" s="1"/>
      <c r="D1113" s="1"/>
      <c r="E1113" s="1"/>
      <c r="F1113" s="1"/>
    </row>
    <row r="1114" spans="2:6">
      <c r="B1114" s="1"/>
      <c r="C1114" s="1"/>
      <c r="D1114" s="1"/>
      <c r="E1114" s="1"/>
      <c r="F1114" s="1"/>
    </row>
    <row r="1115" spans="2:6">
      <c r="B1115" s="1"/>
      <c r="C1115" s="1"/>
      <c r="D1115" s="1"/>
      <c r="E1115" s="1"/>
      <c r="F1115" s="1"/>
    </row>
    <row r="1116" spans="2:6">
      <c r="B1116" s="1"/>
      <c r="C1116" s="1"/>
      <c r="D1116" s="1"/>
      <c r="E1116" s="1"/>
      <c r="F1116" s="1"/>
    </row>
    <row r="1117" spans="2:6">
      <c r="B1117" s="1"/>
      <c r="C1117" s="1"/>
      <c r="D1117" s="1"/>
      <c r="E1117" s="1"/>
      <c r="F1117" s="1"/>
    </row>
    <row r="1118" spans="2:6">
      <c r="B1118" s="1"/>
      <c r="C1118" s="1"/>
      <c r="D1118" s="1"/>
      <c r="E1118" s="1"/>
      <c r="F1118" s="1"/>
    </row>
    <row r="1119" spans="2:6">
      <c r="B1119" s="1"/>
      <c r="C1119" s="1"/>
      <c r="D1119" s="1"/>
      <c r="E1119" s="1"/>
      <c r="F1119" s="1"/>
    </row>
    <row r="1120" spans="2:6">
      <c r="B1120" s="1"/>
      <c r="C1120" s="1"/>
      <c r="D1120" s="1"/>
      <c r="E1120" s="1"/>
      <c r="F1120" s="1"/>
    </row>
    <row r="1121" spans="2:6">
      <c r="B1121" s="1"/>
      <c r="C1121" s="1"/>
      <c r="D1121" s="1"/>
      <c r="E1121" s="1"/>
      <c r="F1121" s="1"/>
    </row>
    <row r="1122" spans="2:6">
      <c r="B1122" s="1"/>
      <c r="C1122" s="1"/>
      <c r="D1122" s="1"/>
      <c r="E1122" s="1"/>
      <c r="F1122" s="1"/>
    </row>
    <row r="1123" spans="2:6">
      <c r="B1123" s="1"/>
      <c r="C1123" s="1"/>
      <c r="D1123" s="1"/>
      <c r="E1123" s="1"/>
      <c r="F1123" s="1"/>
    </row>
    <row r="1124" spans="2:6">
      <c r="B1124" s="1"/>
      <c r="C1124" s="1"/>
      <c r="D1124" s="1"/>
      <c r="E1124" s="1"/>
      <c r="F1124" s="1"/>
    </row>
    <row r="1125" spans="2:6">
      <c r="B1125" s="1"/>
      <c r="C1125" s="1"/>
      <c r="D1125" s="1"/>
      <c r="E1125" s="1"/>
      <c r="F1125" s="1"/>
    </row>
    <row r="1126" spans="2:6">
      <c r="B1126" s="1"/>
      <c r="C1126" s="1"/>
      <c r="D1126" s="1"/>
      <c r="E1126" s="1"/>
      <c r="F1126" s="1"/>
    </row>
    <row r="1127" spans="2:6">
      <c r="B1127" s="1"/>
      <c r="C1127" s="1"/>
      <c r="D1127" s="1"/>
      <c r="E1127" s="1"/>
      <c r="F1127" s="1"/>
    </row>
    <row r="1128" spans="2:6">
      <c r="B1128" s="1"/>
      <c r="C1128" s="1"/>
      <c r="D1128" s="1"/>
      <c r="E1128" s="1"/>
      <c r="F1128" s="1"/>
    </row>
    <row r="1129" spans="2:6">
      <c r="B1129" s="1"/>
      <c r="C1129" s="1"/>
      <c r="D1129" s="1"/>
      <c r="E1129" s="1"/>
      <c r="F1129" s="1"/>
    </row>
    <row r="1130" spans="2:6">
      <c r="B1130" s="1"/>
      <c r="C1130" s="1"/>
      <c r="D1130" s="1"/>
      <c r="E1130" s="1"/>
      <c r="F1130" s="1"/>
    </row>
    <row r="1131" spans="2:6">
      <c r="B1131" s="1"/>
      <c r="C1131" s="1"/>
      <c r="D1131" s="1"/>
      <c r="E1131" s="1"/>
      <c r="F1131" s="1"/>
    </row>
    <row r="1132" spans="2:6">
      <c r="B1132" s="1"/>
      <c r="C1132" s="1"/>
      <c r="D1132" s="1"/>
      <c r="E1132" s="1"/>
      <c r="F1132" s="1"/>
    </row>
    <row r="1133" spans="2:6">
      <c r="B1133" s="1"/>
      <c r="C1133" s="1"/>
      <c r="D1133" s="1"/>
      <c r="E1133" s="1"/>
      <c r="F1133" s="1"/>
    </row>
    <row r="1134" spans="2:6">
      <c r="B1134" s="1"/>
      <c r="C1134" s="1"/>
      <c r="D1134" s="1"/>
      <c r="E1134" s="1"/>
      <c r="F1134" s="1"/>
    </row>
    <row r="1135" spans="2:6">
      <c r="B1135" s="1"/>
      <c r="C1135" s="1"/>
      <c r="D1135" s="1"/>
      <c r="E1135" s="1"/>
      <c r="F1135" s="1"/>
    </row>
    <row r="1136" spans="2:6">
      <c r="B1136" s="1"/>
      <c r="C1136" s="1"/>
      <c r="D1136" s="1"/>
      <c r="E1136" s="1"/>
      <c r="F1136" s="1"/>
    </row>
    <row r="1137" spans="2:6">
      <c r="B1137" s="1"/>
      <c r="C1137" s="1"/>
      <c r="D1137" s="1"/>
      <c r="E1137" s="1"/>
      <c r="F1137" s="1"/>
    </row>
    <row r="1138" spans="2:6">
      <c r="B1138" s="1"/>
      <c r="C1138" s="1"/>
      <c r="D1138" s="1"/>
      <c r="E1138" s="1"/>
      <c r="F1138" s="1"/>
    </row>
    <row r="1139" spans="2:6">
      <c r="B1139" s="1"/>
      <c r="C1139" s="1"/>
      <c r="D1139" s="1"/>
      <c r="E1139" s="1"/>
      <c r="F1139" s="1"/>
    </row>
    <row r="1140" spans="2:6">
      <c r="B1140" s="1"/>
      <c r="C1140" s="1"/>
      <c r="D1140" s="1"/>
      <c r="E1140" s="1"/>
      <c r="F1140" s="1"/>
    </row>
    <row r="1141" spans="2:6">
      <c r="B1141" s="1"/>
      <c r="C1141" s="1"/>
      <c r="D1141" s="1"/>
      <c r="E1141" s="1"/>
      <c r="F1141" s="1"/>
    </row>
    <row r="1142" spans="2:6">
      <c r="B1142" s="1"/>
      <c r="C1142" s="1"/>
      <c r="D1142" s="1"/>
      <c r="E1142" s="1"/>
      <c r="F1142" s="1"/>
    </row>
    <row r="1143" spans="2:6">
      <c r="B1143" s="1"/>
      <c r="C1143" s="1"/>
      <c r="D1143" s="1"/>
      <c r="E1143" s="1"/>
      <c r="F1143" s="1"/>
    </row>
    <row r="1144" spans="2:6">
      <c r="B1144" s="1"/>
      <c r="C1144" s="1"/>
      <c r="D1144" s="1"/>
      <c r="E1144" s="1"/>
      <c r="F1144" s="1"/>
    </row>
    <row r="1145" spans="2:6">
      <c r="B1145" s="1"/>
      <c r="C1145" s="1"/>
      <c r="D1145" s="1"/>
      <c r="E1145" s="1"/>
      <c r="F1145" s="1"/>
    </row>
    <row r="1146" spans="2:6">
      <c r="B1146" s="1"/>
      <c r="C1146" s="1"/>
      <c r="D1146" s="1"/>
      <c r="E1146" s="1"/>
      <c r="F1146" s="1"/>
    </row>
    <row r="1147" spans="2:6">
      <c r="B1147" s="1"/>
      <c r="C1147" s="1"/>
      <c r="D1147" s="1"/>
      <c r="E1147" s="1"/>
      <c r="F1147" s="1"/>
    </row>
    <row r="1148" spans="2:6">
      <c r="B1148" s="1"/>
      <c r="C1148" s="1"/>
      <c r="D1148" s="1"/>
      <c r="E1148" s="1"/>
      <c r="F1148" s="1"/>
    </row>
    <row r="1149" spans="2:6">
      <c r="B1149" s="1"/>
      <c r="C1149" s="1"/>
      <c r="D1149" s="1"/>
      <c r="E1149" s="1"/>
      <c r="F1149" s="1"/>
    </row>
    <row r="1150" spans="2:6">
      <c r="B1150" s="1"/>
      <c r="C1150" s="1"/>
      <c r="D1150" s="1"/>
      <c r="E1150" s="1"/>
      <c r="F1150" s="1"/>
    </row>
    <row r="1151" spans="2:6">
      <c r="B1151" s="1"/>
      <c r="C1151" s="1"/>
      <c r="D1151" s="1"/>
      <c r="E1151" s="1"/>
      <c r="F1151" s="1"/>
    </row>
    <row r="1152" spans="2:6">
      <c r="B1152" s="1"/>
      <c r="C1152" s="1"/>
      <c r="D1152" s="1"/>
      <c r="E1152" s="1"/>
      <c r="F1152" s="1"/>
    </row>
    <row r="1153" spans="2:6">
      <c r="B1153" s="1"/>
      <c r="C1153" s="1"/>
      <c r="D1153" s="1"/>
      <c r="E1153" s="1"/>
      <c r="F1153" s="1"/>
    </row>
    <row r="1154" spans="2:6">
      <c r="B1154" s="1"/>
      <c r="C1154" s="1"/>
      <c r="D1154" s="1"/>
      <c r="E1154" s="1"/>
      <c r="F1154" s="1"/>
    </row>
    <row r="1155" spans="2:6">
      <c r="B1155" s="1"/>
      <c r="C1155" s="1"/>
      <c r="D1155" s="1"/>
      <c r="E1155" s="1"/>
      <c r="F1155" s="1"/>
    </row>
    <row r="1156" spans="2:6">
      <c r="B1156" s="1"/>
      <c r="C1156" s="1"/>
      <c r="D1156" s="1"/>
      <c r="E1156" s="1"/>
      <c r="F1156" s="1"/>
    </row>
    <row r="1157" spans="2:6">
      <c r="B1157" s="1"/>
      <c r="C1157" s="1"/>
      <c r="D1157" s="1"/>
      <c r="E1157" s="1"/>
      <c r="F1157" s="1"/>
    </row>
    <row r="1158" spans="2:6">
      <c r="B1158" s="1"/>
      <c r="C1158" s="1"/>
      <c r="D1158" s="1"/>
      <c r="E1158" s="1"/>
      <c r="F1158" s="1"/>
    </row>
    <row r="1159" spans="2:6">
      <c r="B1159" s="1"/>
      <c r="C1159" s="1"/>
      <c r="D1159" s="1"/>
      <c r="E1159" s="1"/>
      <c r="F1159" s="1"/>
    </row>
    <row r="1160" spans="2:6">
      <c r="B1160" s="1"/>
      <c r="C1160" s="1"/>
      <c r="D1160" s="1"/>
      <c r="E1160" s="1"/>
      <c r="F1160" s="1"/>
    </row>
    <row r="1161" spans="2:6">
      <c r="B1161" s="1"/>
      <c r="C1161" s="1"/>
      <c r="D1161" s="1"/>
      <c r="E1161" s="1"/>
      <c r="F1161" s="1"/>
    </row>
    <row r="1162" spans="2:6">
      <c r="B1162" s="1"/>
      <c r="C1162" s="1"/>
      <c r="D1162" s="1"/>
      <c r="E1162" s="1"/>
      <c r="F1162" s="1"/>
    </row>
    <row r="1163" spans="2:6">
      <c r="B1163" s="1"/>
      <c r="C1163" s="1"/>
      <c r="D1163" s="1"/>
      <c r="E1163" s="1"/>
      <c r="F1163" s="1"/>
    </row>
    <row r="1164" spans="2:6">
      <c r="B1164" s="1"/>
      <c r="C1164" s="1"/>
      <c r="D1164" s="1"/>
      <c r="E1164" s="1"/>
      <c r="F1164" s="1"/>
    </row>
    <row r="1165" spans="2:6">
      <c r="B1165" s="1"/>
      <c r="C1165" s="1"/>
      <c r="D1165" s="1"/>
      <c r="E1165" s="1"/>
      <c r="F1165" s="1"/>
    </row>
    <row r="1166" spans="2:6">
      <c r="B1166" s="1"/>
      <c r="C1166" s="1"/>
      <c r="D1166" s="1"/>
      <c r="E1166" s="1"/>
      <c r="F1166" s="1"/>
    </row>
    <row r="1167" spans="2:6">
      <c r="B1167" s="1"/>
      <c r="C1167" s="1"/>
      <c r="D1167" s="1"/>
      <c r="E1167" s="1"/>
      <c r="F1167" s="1"/>
    </row>
    <row r="1168" spans="2:6">
      <c r="B1168" s="1"/>
      <c r="C1168" s="1"/>
      <c r="D1168" s="1"/>
      <c r="E1168" s="1"/>
      <c r="F1168" s="1"/>
    </row>
    <row r="1169" spans="2:6">
      <c r="B1169" s="1"/>
      <c r="C1169" s="1"/>
      <c r="D1169" s="1"/>
      <c r="E1169" s="1"/>
      <c r="F1169" s="1"/>
    </row>
    <row r="1170" spans="2:6">
      <c r="B1170" s="1"/>
      <c r="C1170" s="1"/>
      <c r="D1170" s="1"/>
      <c r="E1170" s="1"/>
      <c r="F1170" s="1"/>
    </row>
    <row r="1171" spans="2:6">
      <c r="B1171" s="1"/>
      <c r="C1171" s="1"/>
      <c r="D1171" s="1"/>
      <c r="E1171" s="1"/>
      <c r="F1171" s="1"/>
    </row>
    <row r="1172" spans="2:6">
      <c r="B1172" s="1"/>
      <c r="C1172" s="1"/>
      <c r="D1172" s="1"/>
      <c r="E1172" s="1"/>
      <c r="F1172" s="1"/>
    </row>
    <row r="1173" spans="2:6">
      <c r="B1173" s="1"/>
      <c r="C1173" s="1"/>
      <c r="D1173" s="1"/>
      <c r="E1173" s="1"/>
      <c r="F1173" s="1"/>
    </row>
    <row r="1174" spans="2:6">
      <c r="B1174" s="1"/>
      <c r="C1174" s="1"/>
      <c r="D1174" s="1"/>
      <c r="E1174" s="1"/>
      <c r="F1174" s="1"/>
    </row>
    <row r="1175" spans="2:6">
      <c r="B1175" s="1"/>
      <c r="C1175" s="1"/>
      <c r="D1175" s="1"/>
      <c r="E1175" s="1"/>
      <c r="F1175" s="1"/>
    </row>
    <row r="1176" spans="2:6">
      <c r="B1176" s="1"/>
      <c r="C1176" s="1"/>
      <c r="D1176" s="1"/>
      <c r="E1176" s="1"/>
      <c r="F1176" s="1"/>
    </row>
    <row r="1177" spans="2:6">
      <c r="B1177" s="1"/>
      <c r="C1177" s="1"/>
      <c r="D1177" s="1"/>
      <c r="E1177" s="1"/>
      <c r="F1177" s="1"/>
    </row>
    <row r="1178" spans="2:6">
      <c r="B1178" s="1"/>
      <c r="C1178" s="1"/>
      <c r="D1178" s="1"/>
      <c r="E1178" s="1"/>
      <c r="F1178" s="1"/>
    </row>
    <row r="1179" spans="2:6">
      <c r="B1179" s="1"/>
      <c r="C1179" s="1"/>
      <c r="D1179" s="1"/>
      <c r="E1179" s="1"/>
      <c r="F1179" s="1"/>
    </row>
    <row r="1180" spans="2:6">
      <c r="B1180" s="1"/>
      <c r="C1180" s="1"/>
      <c r="D1180" s="1"/>
      <c r="E1180" s="1"/>
      <c r="F1180" s="1"/>
    </row>
    <row r="1181" spans="2:6">
      <c r="B1181" s="1"/>
      <c r="C1181" s="1"/>
      <c r="D1181" s="1"/>
      <c r="E1181" s="1"/>
      <c r="F1181" s="1"/>
    </row>
    <row r="1182" spans="2:6">
      <c r="B1182" s="1"/>
      <c r="C1182" s="1"/>
      <c r="D1182" s="1"/>
      <c r="E1182" s="1"/>
      <c r="F1182" s="1"/>
    </row>
    <row r="1183" spans="2:6">
      <c r="B1183" s="1"/>
      <c r="C1183" s="1"/>
      <c r="D1183" s="1"/>
      <c r="E1183" s="1"/>
      <c r="F1183" s="1"/>
    </row>
    <row r="1184" spans="2:6">
      <c r="B1184" s="1"/>
      <c r="C1184" s="1"/>
      <c r="D1184" s="1"/>
      <c r="E1184" s="1"/>
      <c r="F1184" s="1"/>
    </row>
    <row r="1185" spans="2:6">
      <c r="B1185" s="1"/>
      <c r="C1185" s="1"/>
      <c r="D1185" s="1"/>
      <c r="E1185" s="1"/>
      <c r="F1185" s="1"/>
    </row>
    <row r="1186" spans="2:6">
      <c r="B1186" s="1"/>
      <c r="C1186" s="1"/>
      <c r="D1186" s="1"/>
      <c r="E1186" s="1"/>
      <c r="F1186" s="1"/>
    </row>
    <row r="1187" spans="2:6">
      <c r="B1187" s="1"/>
      <c r="C1187" s="1"/>
      <c r="D1187" s="1"/>
      <c r="E1187" s="1"/>
      <c r="F1187" s="1"/>
    </row>
    <row r="1188" spans="2:6">
      <c r="B1188" s="1"/>
      <c r="C1188" s="1"/>
      <c r="D1188" s="1"/>
      <c r="E1188" s="1"/>
      <c r="F1188" s="1"/>
    </row>
    <row r="1189" spans="2:6">
      <c r="B1189" s="1"/>
      <c r="C1189" s="1"/>
      <c r="D1189" s="1"/>
      <c r="E1189" s="1"/>
      <c r="F1189" s="1"/>
    </row>
    <row r="1190" spans="2:6">
      <c r="B1190" s="1"/>
      <c r="C1190" s="1"/>
      <c r="D1190" s="1"/>
      <c r="E1190" s="1"/>
      <c r="F1190" s="1"/>
    </row>
    <row r="1191" spans="2:6">
      <c r="B1191" s="1"/>
      <c r="C1191" s="1"/>
      <c r="D1191" s="1"/>
      <c r="E1191" s="1"/>
      <c r="F1191" s="1"/>
    </row>
    <row r="1192" spans="2:6">
      <c r="B1192" s="1"/>
      <c r="C1192" s="1"/>
      <c r="D1192" s="1"/>
      <c r="E1192" s="1"/>
      <c r="F1192" s="1"/>
    </row>
    <row r="1193" spans="2:6">
      <c r="B1193" s="1"/>
      <c r="C1193" s="1"/>
      <c r="D1193" s="1"/>
      <c r="E1193" s="1"/>
      <c r="F1193" s="1"/>
    </row>
    <row r="1194" spans="2:6">
      <c r="B1194" s="1"/>
      <c r="C1194" s="1"/>
      <c r="D1194" s="1"/>
      <c r="E1194" s="1"/>
      <c r="F1194" s="1"/>
    </row>
    <row r="1195" spans="2:6">
      <c r="B1195" s="1"/>
      <c r="C1195" s="1"/>
      <c r="D1195" s="1"/>
      <c r="E1195" s="1"/>
      <c r="F1195" s="1"/>
    </row>
    <row r="1196" spans="2:6">
      <c r="B1196" s="1"/>
      <c r="C1196" s="1"/>
      <c r="D1196" s="1"/>
      <c r="E1196" s="1"/>
      <c r="F1196" s="1"/>
    </row>
    <row r="1197" spans="2:6">
      <c r="B1197" s="1"/>
      <c r="C1197" s="1"/>
      <c r="D1197" s="1"/>
      <c r="E1197" s="1"/>
      <c r="F1197" s="1"/>
    </row>
    <row r="1198" spans="2:6">
      <c r="B1198" s="1"/>
      <c r="C1198" s="1"/>
      <c r="D1198" s="1"/>
      <c r="E1198" s="1"/>
      <c r="F1198" s="1"/>
    </row>
    <row r="1199" spans="2:6">
      <c r="B1199" s="1"/>
      <c r="C1199" s="1"/>
      <c r="D1199" s="1"/>
      <c r="E1199" s="1"/>
      <c r="F1199" s="1"/>
    </row>
    <row r="1200" spans="2:6">
      <c r="B1200" s="1"/>
      <c r="C1200" s="1"/>
      <c r="D1200" s="1"/>
      <c r="E1200" s="1"/>
      <c r="F1200" s="1"/>
    </row>
    <row r="1201" spans="2:6">
      <c r="B1201" s="1"/>
      <c r="C1201" s="1"/>
      <c r="D1201" s="1"/>
      <c r="E1201" s="1"/>
      <c r="F1201" s="1"/>
    </row>
    <row r="1202" spans="2:6">
      <c r="B1202" s="1"/>
      <c r="C1202" s="1"/>
      <c r="D1202" s="1"/>
      <c r="E1202" s="1"/>
      <c r="F1202" s="1"/>
    </row>
    <row r="1203" spans="2:6">
      <c r="B1203" s="1"/>
      <c r="C1203" s="1"/>
      <c r="D1203" s="1"/>
      <c r="E1203" s="1"/>
      <c r="F1203" s="1"/>
    </row>
    <row r="1204" spans="2:6">
      <c r="B1204" s="1"/>
      <c r="C1204" s="1"/>
      <c r="D1204" s="1"/>
      <c r="E1204" s="1"/>
      <c r="F1204" s="1"/>
    </row>
    <row r="1205" spans="2:6">
      <c r="B1205" s="1"/>
      <c r="C1205" s="1"/>
      <c r="D1205" s="1"/>
      <c r="E1205" s="1"/>
      <c r="F1205" s="1"/>
    </row>
    <row r="1206" spans="2:6">
      <c r="B1206" s="1"/>
      <c r="C1206" s="1"/>
      <c r="D1206" s="1"/>
      <c r="E1206" s="1"/>
      <c r="F1206" s="1"/>
    </row>
    <row r="1207" spans="2:6">
      <c r="B1207" s="1"/>
      <c r="C1207" s="1"/>
      <c r="D1207" s="1"/>
      <c r="E1207" s="1"/>
      <c r="F1207" s="1"/>
    </row>
    <row r="1208" spans="2:6">
      <c r="B1208" s="1"/>
      <c r="C1208" s="1"/>
      <c r="D1208" s="1"/>
      <c r="E1208" s="1"/>
      <c r="F1208" s="1"/>
    </row>
    <row r="1209" spans="2:6">
      <c r="B1209" s="1"/>
      <c r="C1209" s="1"/>
      <c r="D1209" s="1"/>
      <c r="E1209" s="1"/>
      <c r="F1209" s="1"/>
    </row>
    <row r="1210" spans="2:6">
      <c r="B1210" s="1"/>
      <c r="C1210" s="1"/>
      <c r="D1210" s="1"/>
      <c r="E1210" s="1"/>
      <c r="F1210" s="1"/>
    </row>
    <row r="1211" spans="2:6">
      <c r="B1211" s="1"/>
      <c r="C1211" s="1"/>
      <c r="D1211" s="1"/>
      <c r="E1211" s="1"/>
      <c r="F1211" s="1"/>
    </row>
    <row r="1212" spans="2:6">
      <c r="B1212" s="1"/>
      <c r="C1212" s="1"/>
      <c r="D1212" s="1"/>
      <c r="E1212" s="1"/>
      <c r="F1212" s="1"/>
    </row>
    <row r="1213" spans="2:6">
      <c r="B1213" s="1"/>
      <c r="C1213" s="1"/>
      <c r="D1213" s="1"/>
      <c r="E1213" s="1"/>
      <c r="F1213" s="1"/>
    </row>
    <row r="1214" spans="2:6">
      <c r="B1214" s="1"/>
      <c r="C1214" s="1"/>
      <c r="D1214" s="1"/>
      <c r="E1214" s="1"/>
      <c r="F1214" s="1"/>
    </row>
    <row r="1215" spans="2:6">
      <c r="B1215" s="1"/>
      <c r="C1215" s="1"/>
      <c r="D1215" s="1"/>
      <c r="E1215" s="1"/>
      <c r="F1215" s="1"/>
    </row>
    <row r="1216" spans="2:6">
      <c r="B1216" s="1"/>
      <c r="C1216" s="1"/>
      <c r="D1216" s="1"/>
      <c r="E1216" s="1"/>
      <c r="F1216" s="1"/>
    </row>
    <row r="1217" spans="2:6">
      <c r="B1217" s="1"/>
      <c r="C1217" s="1"/>
      <c r="D1217" s="1"/>
      <c r="E1217" s="1"/>
      <c r="F1217" s="1"/>
    </row>
    <row r="1218" spans="2:6">
      <c r="B1218" s="1"/>
      <c r="C1218" s="1"/>
      <c r="D1218" s="1"/>
      <c r="E1218" s="1"/>
      <c r="F1218" s="1"/>
    </row>
    <row r="1219" spans="2:6">
      <c r="B1219" s="1"/>
      <c r="C1219" s="1"/>
      <c r="D1219" s="1"/>
      <c r="E1219" s="1"/>
      <c r="F1219" s="1"/>
    </row>
    <row r="1220" spans="2:6">
      <c r="B1220" s="1"/>
      <c r="C1220" s="1"/>
      <c r="D1220" s="1"/>
      <c r="E1220" s="1"/>
      <c r="F1220" s="1"/>
    </row>
    <row r="1221" spans="2:6">
      <c r="B1221" s="1"/>
      <c r="C1221" s="1"/>
      <c r="D1221" s="1"/>
      <c r="E1221" s="1"/>
      <c r="F1221" s="1"/>
    </row>
    <row r="1222" spans="2:6">
      <c r="B1222" s="1"/>
      <c r="C1222" s="1"/>
      <c r="D1222" s="1"/>
      <c r="E1222" s="1"/>
      <c r="F1222" s="1"/>
    </row>
    <row r="1223" spans="2:6">
      <c r="B1223" s="1"/>
      <c r="C1223" s="1"/>
      <c r="D1223" s="1"/>
      <c r="E1223" s="1"/>
      <c r="F1223" s="1"/>
    </row>
    <row r="1224" spans="2:6">
      <c r="B1224" s="1"/>
      <c r="C1224" s="1"/>
      <c r="D1224" s="1"/>
      <c r="E1224" s="1"/>
      <c r="F1224" s="1"/>
    </row>
    <row r="1225" spans="2:6">
      <c r="B1225" s="1"/>
      <c r="C1225" s="1"/>
      <c r="D1225" s="1"/>
      <c r="E1225" s="1"/>
      <c r="F1225" s="1"/>
    </row>
    <row r="1226" spans="2:6">
      <c r="B1226" s="1"/>
      <c r="C1226" s="1"/>
      <c r="D1226" s="1"/>
      <c r="E1226" s="1"/>
      <c r="F1226" s="1"/>
    </row>
    <row r="1227" spans="2:6">
      <c r="B1227" s="1"/>
      <c r="C1227" s="1"/>
      <c r="D1227" s="1"/>
      <c r="E1227" s="1"/>
      <c r="F1227" s="1"/>
    </row>
    <row r="1228" spans="2:6">
      <c r="B1228" s="1"/>
      <c r="C1228" s="1"/>
      <c r="D1228" s="1"/>
      <c r="E1228" s="1"/>
      <c r="F1228" s="1"/>
    </row>
    <row r="1229" spans="2:6">
      <c r="B1229" s="1"/>
      <c r="C1229" s="1"/>
      <c r="D1229" s="1"/>
      <c r="E1229" s="1"/>
      <c r="F1229" s="1"/>
    </row>
    <row r="1230" spans="2:6">
      <c r="B1230" s="1"/>
      <c r="C1230" s="1"/>
      <c r="D1230" s="1"/>
      <c r="E1230" s="1"/>
      <c r="F1230" s="1"/>
    </row>
    <row r="1231" spans="2:6">
      <c r="B1231" s="1"/>
      <c r="C1231" s="1"/>
      <c r="D1231" s="1"/>
      <c r="E1231" s="1"/>
      <c r="F1231" s="1"/>
    </row>
    <row r="1232" spans="2:6">
      <c r="B1232" s="1"/>
      <c r="C1232" s="1"/>
      <c r="D1232" s="1"/>
      <c r="E1232" s="1"/>
      <c r="F1232" s="1"/>
    </row>
    <row r="1233" spans="2:6">
      <c r="B1233" s="1"/>
      <c r="C1233" s="1"/>
      <c r="D1233" s="1"/>
      <c r="E1233" s="1"/>
      <c r="F1233" s="1"/>
    </row>
    <row r="1234" spans="2:6">
      <c r="B1234" s="1"/>
      <c r="C1234" s="1"/>
      <c r="D1234" s="1"/>
      <c r="E1234" s="1"/>
      <c r="F1234" s="1"/>
    </row>
    <row r="1235" spans="2:6">
      <c r="B1235" s="1"/>
      <c r="C1235" s="1"/>
      <c r="D1235" s="1"/>
      <c r="E1235" s="1"/>
      <c r="F1235" s="1"/>
    </row>
    <row r="1236" spans="2:6">
      <c r="B1236" s="1"/>
      <c r="C1236" s="1"/>
      <c r="D1236" s="1"/>
      <c r="E1236" s="1"/>
      <c r="F1236" s="1"/>
    </row>
    <row r="1237" spans="2:6">
      <c r="B1237" s="1"/>
      <c r="C1237" s="1"/>
      <c r="D1237" s="1"/>
      <c r="E1237" s="1"/>
      <c r="F1237" s="1"/>
    </row>
    <row r="1238" spans="2:6">
      <c r="B1238" s="1"/>
      <c r="C1238" s="1"/>
      <c r="D1238" s="1"/>
      <c r="E1238" s="1"/>
      <c r="F1238" s="1"/>
    </row>
    <row r="1239" spans="2:6">
      <c r="B1239" s="1"/>
      <c r="C1239" s="1"/>
      <c r="D1239" s="1"/>
      <c r="E1239" s="1"/>
      <c r="F1239" s="1"/>
    </row>
    <row r="1240" spans="2:6">
      <c r="B1240" s="1"/>
      <c r="C1240" s="1"/>
      <c r="D1240" s="1"/>
      <c r="E1240" s="1"/>
      <c r="F1240" s="1"/>
    </row>
    <row r="1241" spans="2:6">
      <c r="B1241" s="1"/>
      <c r="C1241" s="1"/>
      <c r="D1241" s="1"/>
      <c r="E1241" s="1"/>
      <c r="F1241" s="1"/>
    </row>
    <row r="1242" spans="2:6">
      <c r="B1242" s="1"/>
      <c r="C1242" s="1"/>
      <c r="D1242" s="1"/>
      <c r="E1242" s="1"/>
      <c r="F1242" s="1"/>
    </row>
    <row r="1243" spans="2:6">
      <c r="B1243" s="1"/>
      <c r="C1243" s="1"/>
      <c r="D1243" s="1"/>
      <c r="E1243" s="1"/>
      <c r="F1243" s="1"/>
    </row>
    <row r="1244" spans="2:6">
      <c r="B1244" s="1"/>
      <c r="C1244" s="1"/>
      <c r="D1244" s="1"/>
      <c r="E1244" s="1"/>
      <c r="F1244" s="1"/>
    </row>
    <row r="1245" spans="2:6">
      <c r="B1245" s="1"/>
      <c r="C1245" s="1"/>
      <c r="D1245" s="1"/>
      <c r="E1245" s="1"/>
      <c r="F1245" s="1"/>
    </row>
    <row r="1246" spans="2:6">
      <c r="B1246" s="1"/>
      <c r="C1246" s="1"/>
      <c r="D1246" s="1"/>
      <c r="E1246" s="1"/>
      <c r="F1246" s="1"/>
    </row>
    <row r="1247" spans="2:6">
      <c r="B1247" s="1"/>
      <c r="C1247" s="1"/>
      <c r="D1247" s="1"/>
      <c r="E1247" s="1"/>
      <c r="F1247" s="1"/>
    </row>
    <row r="1248" spans="2:6">
      <c r="B1248" s="1"/>
      <c r="C1248" s="1"/>
      <c r="D1248" s="1"/>
      <c r="E1248" s="1"/>
      <c r="F1248" s="1"/>
    </row>
    <row r="1249" spans="2:6">
      <c r="B1249" s="1"/>
      <c r="C1249" s="1"/>
      <c r="D1249" s="1"/>
      <c r="E1249" s="1"/>
      <c r="F1249" s="1"/>
    </row>
    <row r="1250" spans="2:6">
      <c r="B1250" s="1"/>
      <c r="C1250" s="1"/>
      <c r="D1250" s="1"/>
      <c r="E1250" s="1"/>
      <c r="F1250" s="1"/>
    </row>
    <row r="1251" spans="2:6">
      <c r="B1251" s="1"/>
      <c r="C1251" s="1"/>
      <c r="D1251" s="1"/>
      <c r="E1251" s="1"/>
      <c r="F1251" s="1"/>
    </row>
    <row r="1252" spans="2:6">
      <c r="B1252" s="1"/>
      <c r="C1252" s="1"/>
      <c r="D1252" s="1"/>
      <c r="E1252" s="1"/>
      <c r="F1252" s="1"/>
    </row>
    <row r="1253" spans="2:6">
      <c r="B1253" s="1"/>
      <c r="C1253" s="1"/>
      <c r="D1253" s="1"/>
      <c r="E1253" s="1"/>
      <c r="F1253" s="1"/>
    </row>
    <row r="1254" spans="2:6">
      <c r="B1254" s="1"/>
      <c r="C1254" s="1"/>
      <c r="D1254" s="1"/>
      <c r="E1254" s="1"/>
      <c r="F1254" s="1"/>
    </row>
    <row r="1255" spans="2:6">
      <c r="B1255" s="1"/>
      <c r="C1255" s="1"/>
      <c r="D1255" s="1"/>
      <c r="E1255" s="1"/>
      <c r="F1255" s="1"/>
    </row>
    <row r="1256" spans="2:6">
      <c r="B1256" s="1"/>
      <c r="C1256" s="1"/>
      <c r="D1256" s="1"/>
      <c r="E1256" s="1"/>
      <c r="F1256" s="1"/>
    </row>
    <row r="1257" spans="2:6">
      <c r="B1257" s="1"/>
      <c r="C1257" s="1"/>
      <c r="D1257" s="1"/>
      <c r="E1257" s="1"/>
      <c r="F1257" s="1"/>
    </row>
    <row r="1258" spans="2:6">
      <c r="B1258" s="1"/>
      <c r="C1258" s="1"/>
      <c r="D1258" s="1"/>
      <c r="E1258" s="1"/>
      <c r="F1258" s="1"/>
    </row>
    <row r="1259" spans="2:6">
      <c r="B1259" s="1"/>
      <c r="C1259" s="1"/>
      <c r="D1259" s="1"/>
      <c r="E1259" s="1"/>
      <c r="F1259" s="1"/>
    </row>
    <row r="1260" spans="2:6">
      <c r="B1260" s="1"/>
      <c r="C1260" s="1"/>
      <c r="D1260" s="1"/>
      <c r="E1260" s="1"/>
      <c r="F1260" s="1"/>
    </row>
    <row r="1261" spans="2:6">
      <c r="B1261" s="1"/>
      <c r="C1261" s="1"/>
      <c r="D1261" s="1"/>
      <c r="E1261" s="1"/>
      <c r="F1261" s="1"/>
    </row>
    <row r="1262" spans="2:6">
      <c r="B1262" s="1"/>
      <c r="C1262" s="1"/>
      <c r="D1262" s="1"/>
      <c r="E1262" s="1"/>
      <c r="F1262" s="1"/>
    </row>
    <row r="1263" spans="2:6">
      <c r="B1263" s="1"/>
      <c r="C1263" s="1"/>
      <c r="D1263" s="1"/>
      <c r="E1263" s="1"/>
      <c r="F1263" s="1"/>
    </row>
    <row r="1264" spans="2:6">
      <c r="B1264" s="1"/>
      <c r="C1264" s="1"/>
      <c r="D1264" s="1"/>
      <c r="E1264" s="1"/>
      <c r="F1264" s="1"/>
    </row>
    <row r="1265" spans="2:6">
      <c r="B1265" s="1"/>
      <c r="C1265" s="1"/>
      <c r="D1265" s="1"/>
      <c r="E1265" s="1"/>
      <c r="F1265" s="1"/>
    </row>
    <row r="1266" spans="2:6">
      <c r="B1266" s="1"/>
      <c r="C1266" s="1"/>
      <c r="D1266" s="1"/>
      <c r="E1266" s="1"/>
      <c r="F1266" s="1"/>
    </row>
    <row r="1267" spans="2:6">
      <c r="B1267" s="1"/>
      <c r="C1267" s="1"/>
      <c r="D1267" s="1"/>
      <c r="E1267" s="1"/>
      <c r="F1267" s="1"/>
    </row>
    <row r="1268" spans="2:6">
      <c r="B1268" s="1"/>
      <c r="C1268" s="1"/>
      <c r="D1268" s="1"/>
    </row>
  </sheetData>
  <sortState ref="E15:E40">
    <sortCondition ref="E15"/>
  </sortState>
  <mergeCells count="3">
    <mergeCell ref="B405:D405"/>
    <mergeCell ref="B3:C3"/>
    <mergeCell ref="B39:C39"/>
  </mergeCells>
  <phoneticPr fontId="8" type="noConversion"/>
  <pageMargins left="0.75" right="0.75" top="1" bottom="1" header="0.5" footer="0.5"/>
  <pageSetup orientation="portrait"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T128"/>
  <sheetViews>
    <sheetView showGridLines="0" topLeftCell="A3" workbookViewId="0">
      <selection activeCell="I118" sqref="I118:I120"/>
    </sheetView>
  </sheetViews>
  <sheetFormatPr baseColWidth="10" defaultColWidth="11.42578125" defaultRowHeight="12.75"/>
  <cols>
    <col min="1" max="1" width="5.85546875" style="200" customWidth="1"/>
    <col min="2" max="2" width="3.85546875" style="200" customWidth="1"/>
    <col min="3" max="3" width="39.140625" style="200" customWidth="1"/>
    <col min="4" max="4" width="14.85546875" style="200" customWidth="1"/>
    <col min="5" max="5" width="13.42578125" style="200" customWidth="1"/>
    <col min="6" max="6" width="9.140625" style="200"/>
    <col min="7" max="7" width="20.28515625" style="200" customWidth="1"/>
    <col min="8" max="8" width="32.5703125" style="200" bestFit="1" customWidth="1"/>
    <col min="9" max="9" width="18.28515625" style="201" customWidth="1"/>
    <col min="10" max="16384" width="11.42578125" style="200"/>
  </cols>
  <sheetData>
    <row r="2" spans="1:20" s="14" customFormat="1" ht="46.5" customHeight="1">
      <c r="A2" s="12"/>
      <c r="B2" s="622"/>
      <c r="C2" s="622"/>
      <c r="D2" s="641" t="s">
        <v>573</v>
      </c>
      <c r="E2" s="642"/>
      <c r="F2" s="642"/>
      <c r="G2" s="665"/>
      <c r="H2" s="622"/>
      <c r="I2" s="622"/>
    </row>
    <row r="4" spans="1:20" s="183" customFormat="1" ht="15.75">
      <c r="A4" s="659" t="s">
        <v>575</v>
      </c>
      <c r="B4" s="660"/>
      <c r="C4" s="660"/>
      <c r="D4" s="660"/>
      <c r="E4" s="660"/>
      <c r="F4" s="660"/>
      <c r="G4" s="660"/>
      <c r="H4" s="660"/>
      <c r="I4" s="661"/>
    </row>
    <row r="5" spans="1:20" s="183" customFormat="1" ht="12">
      <c r="I5" s="184"/>
    </row>
    <row r="6" spans="1:20" s="183" customFormat="1">
      <c r="B6" s="662" t="s">
        <v>79</v>
      </c>
      <c r="C6" s="663"/>
      <c r="D6" s="388"/>
      <c r="E6" s="389"/>
      <c r="F6" s="389"/>
      <c r="G6" s="390" t="s">
        <v>451</v>
      </c>
      <c r="H6" s="387" t="str">
        <f>'Historial de Revisiones'!G4</f>
        <v>GOC-7089</v>
      </c>
      <c r="I6" s="184"/>
    </row>
    <row r="7" spans="1:20" s="183" customFormat="1">
      <c r="B7" s="391" t="s">
        <v>80</v>
      </c>
      <c r="C7" s="392"/>
      <c r="D7" s="388"/>
      <c r="E7" s="389"/>
      <c r="F7" s="389"/>
      <c r="G7" s="390" t="s">
        <v>477</v>
      </c>
      <c r="H7" s="387" t="str">
        <f>'Historial de Revisiones'!G5</f>
        <v>GOC-7092</v>
      </c>
      <c r="I7" s="184"/>
    </row>
    <row r="8" spans="1:20" s="183" customFormat="1">
      <c r="B8" s="391" t="s">
        <v>81</v>
      </c>
      <c r="C8" s="392"/>
      <c r="D8" s="393"/>
      <c r="E8" s="389"/>
      <c r="F8" s="389"/>
      <c r="G8" s="390" t="s">
        <v>124</v>
      </c>
      <c r="H8" s="387">
        <f>'Historial de Revisiones'!G6</f>
        <v>0</v>
      </c>
      <c r="I8" s="184"/>
    </row>
    <row r="9" spans="1:20" s="183" customFormat="1">
      <c r="B9" s="391" t="s">
        <v>82</v>
      </c>
      <c r="C9" s="392"/>
      <c r="D9" s="394"/>
      <c r="E9" s="389"/>
      <c r="F9" s="389"/>
      <c r="G9" s="390" t="s">
        <v>125</v>
      </c>
      <c r="H9" s="387" t="str">
        <f>'Historial de Revisiones'!G7</f>
        <v>Nombre desarrolllador</v>
      </c>
      <c r="I9" s="184"/>
    </row>
    <row r="10" spans="1:20" s="183" customFormat="1">
      <c r="B10" s="669" t="s">
        <v>83</v>
      </c>
      <c r="C10" s="669"/>
      <c r="D10" s="394"/>
      <c r="E10" s="389"/>
      <c r="F10" s="389"/>
      <c r="G10" s="390" t="s">
        <v>126</v>
      </c>
      <c r="H10" s="387" t="str">
        <f>'Historial de Revisiones'!G8</f>
        <v>Nombre de custodio</v>
      </c>
      <c r="I10" s="184"/>
    </row>
    <row r="11" spans="1:20" s="183" customFormat="1">
      <c r="B11" s="653"/>
      <c r="C11" s="653"/>
      <c r="D11" s="395"/>
      <c r="E11" s="389"/>
      <c r="F11" s="389"/>
      <c r="G11" s="390" t="s">
        <v>193</v>
      </c>
      <c r="H11" s="387">
        <f>'Historial de Revisiones'!G9</f>
        <v>0</v>
      </c>
      <c r="I11" s="184"/>
    </row>
    <row r="12" spans="1:20" s="183" customFormat="1" ht="12">
      <c r="E12" s="182"/>
      <c r="F12" s="182"/>
      <c r="G12" s="307"/>
      <c r="H12" s="306"/>
      <c r="I12" s="184"/>
    </row>
    <row r="13" spans="1:20" s="183" customFormat="1" ht="12">
      <c r="B13" s="183" t="s">
        <v>221</v>
      </c>
      <c r="I13" s="184"/>
      <c r="R13" s="185"/>
      <c r="S13" s="185"/>
      <c r="T13" s="185"/>
    </row>
    <row r="14" spans="1:20" s="183" customFormat="1" ht="33.75" customHeight="1">
      <c r="B14" s="670" t="s">
        <v>380</v>
      </c>
      <c r="C14" s="671"/>
      <c r="D14" s="671"/>
      <c r="E14" s="671"/>
      <c r="F14" s="671"/>
      <c r="G14" s="671"/>
      <c r="H14" s="672"/>
      <c r="I14" s="184"/>
      <c r="R14" s="185"/>
      <c r="S14" s="185"/>
      <c r="T14" s="185"/>
    </row>
    <row r="15" spans="1:20" s="183" customFormat="1" ht="15.75" customHeight="1">
      <c r="B15" s="186"/>
      <c r="C15" s="186"/>
      <c r="D15" s="186"/>
      <c r="E15" s="186"/>
      <c r="F15" s="186"/>
      <c r="G15" s="186"/>
      <c r="H15" s="186"/>
      <c r="I15" s="184"/>
      <c r="R15" s="185"/>
      <c r="S15" s="185"/>
      <c r="T15" s="185"/>
    </row>
    <row r="16" spans="1:20" s="183" customFormat="1">
      <c r="B16" s="187" t="s">
        <v>384</v>
      </c>
      <c r="C16" s="664" t="s">
        <v>385</v>
      </c>
      <c r="D16" s="664"/>
      <c r="E16" s="664"/>
      <c r="I16" s="184"/>
      <c r="R16" s="185"/>
      <c r="S16" s="185"/>
      <c r="T16" s="185"/>
    </row>
    <row r="17" spans="1:20" s="51" customFormat="1" ht="12">
      <c r="A17" s="88" t="s">
        <v>247</v>
      </c>
      <c r="B17" s="148" t="s">
        <v>246</v>
      </c>
      <c r="C17" s="90"/>
      <c r="D17" s="88" t="s">
        <v>360</v>
      </c>
      <c r="E17" s="270" t="s">
        <v>283</v>
      </c>
      <c r="F17" s="673" t="s">
        <v>253</v>
      </c>
      <c r="G17" s="673"/>
      <c r="H17" s="673"/>
      <c r="I17" s="338" t="s">
        <v>284</v>
      </c>
      <c r="K17" s="183"/>
      <c r="L17" s="183"/>
      <c r="M17" s="183"/>
      <c r="N17" s="183"/>
      <c r="O17" s="183"/>
      <c r="P17" s="183"/>
    </row>
    <row r="18" spans="1:20" s="51" customFormat="1" ht="12.75" hidden="1" customHeight="1">
      <c r="A18" s="156">
        <v>0.1</v>
      </c>
      <c r="B18" s="90"/>
      <c r="C18" s="90"/>
      <c r="D18" s="154"/>
      <c r="E18" s="188" t="s">
        <v>130</v>
      </c>
      <c r="F18" s="91" t="s">
        <v>401</v>
      </c>
      <c r="G18" s="91"/>
      <c r="H18" s="91"/>
      <c r="I18" s="340" t="s">
        <v>582</v>
      </c>
      <c r="K18" s="183"/>
      <c r="L18" s="183"/>
      <c r="M18" s="183"/>
      <c r="N18" s="183"/>
      <c r="O18" s="183"/>
      <c r="P18" s="183"/>
    </row>
    <row r="19" spans="1:20" s="51" customFormat="1" ht="12.75" hidden="1" customHeight="1">
      <c r="A19" s="156">
        <v>0.2</v>
      </c>
      <c r="B19" s="90"/>
      <c r="C19" s="90"/>
      <c r="D19" s="154"/>
      <c r="E19" s="188" t="s">
        <v>131</v>
      </c>
      <c r="F19" s="91" t="s">
        <v>401</v>
      </c>
      <c r="G19" s="91"/>
      <c r="H19" s="91"/>
      <c r="I19" s="340" t="s">
        <v>582</v>
      </c>
      <c r="K19" s="183"/>
      <c r="L19" s="183"/>
      <c r="M19" s="183"/>
      <c r="N19" s="183"/>
      <c r="O19" s="183"/>
      <c r="P19" s="183"/>
    </row>
    <row r="20" spans="1:20" s="51" customFormat="1" ht="12.75" hidden="1" customHeight="1">
      <c r="A20" s="156">
        <v>0.3</v>
      </c>
      <c r="B20" s="90"/>
      <c r="C20" s="90"/>
      <c r="D20" s="154"/>
      <c r="E20" s="188" t="s">
        <v>129</v>
      </c>
      <c r="F20" s="91" t="s">
        <v>401</v>
      </c>
      <c r="G20" s="91"/>
      <c r="H20" s="91"/>
      <c r="I20" s="340" t="s">
        <v>582</v>
      </c>
      <c r="K20" s="183"/>
      <c r="L20" s="183"/>
      <c r="M20" s="183"/>
      <c r="N20" s="183"/>
      <c r="O20" s="183"/>
      <c r="P20" s="183"/>
    </row>
    <row r="21" spans="1:20" s="51" customFormat="1" ht="12.75" hidden="1" customHeight="1">
      <c r="A21" s="156">
        <v>0.4</v>
      </c>
      <c r="B21" s="90"/>
      <c r="C21" s="90"/>
      <c r="D21" s="154"/>
      <c r="E21" s="188" t="s">
        <v>348</v>
      </c>
      <c r="F21" s="91" t="s">
        <v>401</v>
      </c>
      <c r="G21" s="91"/>
      <c r="H21" s="91"/>
      <c r="I21" s="340" t="s">
        <v>582</v>
      </c>
      <c r="K21" s="183"/>
      <c r="L21" s="183"/>
      <c r="M21" s="183"/>
      <c r="N21" s="183"/>
      <c r="O21" s="183"/>
      <c r="P21" s="183"/>
    </row>
    <row r="22" spans="1:20" s="51" customFormat="1" hidden="1">
      <c r="A22" s="156">
        <v>0.5</v>
      </c>
      <c r="B22" s="90"/>
      <c r="C22" s="90"/>
      <c r="D22" s="154"/>
      <c r="E22" s="188" t="s">
        <v>93</v>
      </c>
      <c r="F22" s="91" t="s">
        <v>401</v>
      </c>
      <c r="G22" s="91"/>
      <c r="H22" s="91"/>
      <c r="I22" s="340" t="s">
        <v>582</v>
      </c>
      <c r="K22" s="183"/>
      <c r="L22" s="183"/>
      <c r="M22" s="183"/>
      <c r="N22" s="183"/>
      <c r="O22" s="183"/>
      <c r="P22" s="183"/>
    </row>
    <row r="23" spans="1:20" s="192" customFormat="1">
      <c r="A23" s="189">
        <v>1</v>
      </c>
      <c r="B23" s="190" t="s">
        <v>452</v>
      </c>
      <c r="C23" s="191"/>
      <c r="D23" s="191"/>
      <c r="E23" s="188"/>
      <c r="F23" s="652"/>
      <c r="G23" s="652"/>
      <c r="H23" s="652"/>
      <c r="I23" s="341"/>
      <c r="R23" s="193"/>
      <c r="S23" s="193"/>
      <c r="T23" s="193"/>
    </row>
    <row r="24" spans="1:20" s="194" customFormat="1" ht="25.5">
      <c r="A24" s="189">
        <f>A23+1</f>
        <v>2</v>
      </c>
      <c r="B24" s="123"/>
      <c r="C24" s="123" t="s">
        <v>453</v>
      </c>
      <c r="D24" s="131" t="s">
        <v>361</v>
      </c>
      <c r="E24" s="308"/>
      <c r="F24" s="650"/>
      <c r="G24" s="651"/>
      <c r="H24" s="651"/>
      <c r="I24" s="346">
        <v>44900</v>
      </c>
      <c r="R24" s="195"/>
      <c r="S24" s="195"/>
      <c r="T24" s="195"/>
    </row>
    <row r="25" spans="1:20" s="194" customFormat="1" ht="25.5">
      <c r="A25" s="189">
        <f t="shared" ref="A25:A89" si="0">A24+1</f>
        <v>3</v>
      </c>
      <c r="B25" s="123"/>
      <c r="C25" s="123" t="s">
        <v>441</v>
      </c>
      <c r="D25" s="131" t="s">
        <v>361</v>
      </c>
      <c r="E25" s="308"/>
      <c r="F25" s="650"/>
      <c r="G25" s="651"/>
      <c r="H25" s="651"/>
      <c r="I25" s="346">
        <v>44900</v>
      </c>
      <c r="R25" s="195"/>
      <c r="S25" s="195"/>
      <c r="T25" s="195"/>
    </row>
    <row r="26" spans="1:20" s="194" customFormat="1" ht="38.25">
      <c r="A26" s="189">
        <f t="shared" si="0"/>
        <v>4</v>
      </c>
      <c r="B26" s="123"/>
      <c r="C26" s="251" t="s">
        <v>134</v>
      </c>
      <c r="D26" s="131" t="s">
        <v>361</v>
      </c>
      <c r="E26" s="309"/>
      <c r="F26" s="650"/>
      <c r="G26" s="651"/>
      <c r="H26" s="651"/>
      <c r="I26" s="346">
        <v>44900</v>
      </c>
      <c r="R26" s="195"/>
      <c r="S26" s="195"/>
      <c r="T26" s="195"/>
    </row>
    <row r="27" spans="1:20" s="194" customFormat="1" ht="25.5">
      <c r="A27" s="189">
        <f t="shared" si="0"/>
        <v>5</v>
      </c>
      <c r="B27" s="123"/>
      <c r="C27" s="123" t="s">
        <v>135</v>
      </c>
      <c r="D27" s="131" t="s">
        <v>361</v>
      </c>
      <c r="E27" s="308"/>
      <c r="F27" s="651"/>
      <c r="G27" s="651"/>
      <c r="H27" s="651"/>
      <c r="I27" s="346">
        <v>44900</v>
      </c>
      <c r="R27" s="195"/>
      <c r="S27" s="195"/>
      <c r="T27" s="195"/>
    </row>
    <row r="28" spans="1:20" s="194" customFormat="1" ht="25.5">
      <c r="A28" s="189">
        <f t="shared" si="0"/>
        <v>6</v>
      </c>
      <c r="B28" s="125"/>
      <c r="C28" s="196" t="s">
        <v>354</v>
      </c>
      <c r="D28" s="196" t="s">
        <v>361</v>
      </c>
      <c r="E28" s="308"/>
      <c r="F28" s="651"/>
      <c r="G28" s="651"/>
      <c r="H28" s="651"/>
      <c r="I28" s="346">
        <v>44900</v>
      </c>
      <c r="R28" s="195"/>
      <c r="S28" s="195"/>
      <c r="T28" s="195"/>
    </row>
    <row r="29" spans="1:20" s="194" customFormat="1" ht="24.75">
      <c r="A29" s="189">
        <f t="shared" si="0"/>
        <v>7</v>
      </c>
      <c r="B29" s="125"/>
      <c r="C29" s="196" t="s">
        <v>454</v>
      </c>
      <c r="D29" s="196" t="s">
        <v>361</v>
      </c>
      <c r="E29" s="308"/>
      <c r="F29" s="650"/>
      <c r="G29" s="651"/>
      <c r="H29" s="651"/>
      <c r="I29" s="346">
        <v>44900</v>
      </c>
      <c r="R29" s="195"/>
      <c r="S29" s="195"/>
      <c r="T29" s="195"/>
    </row>
    <row r="30" spans="1:20" s="194" customFormat="1" ht="25.5">
      <c r="A30" s="189">
        <f t="shared" si="0"/>
        <v>8</v>
      </c>
      <c r="B30" s="123"/>
      <c r="C30" s="197" t="s">
        <v>455</v>
      </c>
      <c r="D30" s="196" t="s">
        <v>361</v>
      </c>
      <c r="E30" s="308"/>
      <c r="F30" s="650"/>
      <c r="G30" s="651"/>
      <c r="H30" s="651"/>
      <c r="I30" s="346">
        <v>44900</v>
      </c>
      <c r="R30" s="195"/>
      <c r="S30" s="195"/>
      <c r="T30" s="195"/>
    </row>
    <row r="31" spans="1:20" s="192" customFormat="1">
      <c r="A31" s="189">
        <f t="shared" si="0"/>
        <v>9</v>
      </c>
      <c r="B31" s="190" t="s">
        <v>136</v>
      </c>
      <c r="C31" s="191"/>
      <c r="D31" s="191"/>
      <c r="E31" s="198"/>
      <c r="F31" s="652"/>
      <c r="G31" s="652"/>
      <c r="H31" s="652"/>
      <c r="I31" s="342"/>
      <c r="R31" s="193"/>
      <c r="S31" s="193"/>
      <c r="T31" s="193"/>
    </row>
    <row r="32" spans="1:20" s="194" customFormat="1" ht="25.5">
      <c r="A32" s="189">
        <f t="shared" si="0"/>
        <v>10</v>
      </c>
      <c r="B32" s="123"/>
      <c r="C32" s="123" t="s">
        <v>137</v>
      </c>
      <c r="D32" s="131" t="s">
        <v>361</v>
      </c>
      <c r="E32" s="308"/>
      <c r="F32" s="651"/>
      <c r="G32" s="651"/>
      <c r="H32" s="651"/>
      <c r="I32" s="346">
        <v>44900</v>
      </c>
      <c r="R32" s="195"/>
      <c r="S32" s="195"/>
      <c r="T32" s="195"/>
    </row>
    <row r="33" spans="1:20" s="194" customFormat="1" ht="25.5">
      <c r="A33" s="189">
        <f t="shared" si="0"/>
        <v>11</v>
      </c>
      <c r="B33" s="123"/>
      <c r="C33" s="123" t="s">
        <v>138</v>
      </c>
      <c r="D33" s="131" t="s">
        <v>361</v>
      </c>
      <c r="E33" s="308"/>
      <c r="F33" s="651"/>
      <c r="G33" s="651"/>
      <c r="H33" s="651"/>
      <c r="I33" s="346">
        <v>44900</v>
      </c>
      <c r="R33" s="195"/>
      <c r="S33" s="195"/>
      <c r="T33" s="195"/>
    </row>
    <row r="34" spans="1:20" s="194" customFormat="1" ht="25.5">
      <c r="A34" s="189">
        <f t="shared" si="0"/>
        <v>12</v>
      </c>
      <c r="B34" s="123"/>
      <c r="C34" s="123" t="s">
        <v>139</v>
      </c>
      <c r="D34" s="131" t="s">
        <v>361</v>
      </c>
      <c r="E34" s="308"/>
      <c r="F34" s="651"/>
      <c r="G34" s="651"/>
      <c r="H34" s="651"/>
      <c r="I34" s="346">
        <v>44900</v>
      </c>
      <c r="R34" s="195"/>
      <c r="S34" s="195"/>
      <c r="T34" s="195"/>
    </row>
    <row r="35" spans="1:20" s="194" customFormat="1">
      <c r="A35" s="189">
        <f t="shared" si="0"/>
        <v>13</v>
      </c>
      <c r="B35" s="123"/>
      <c r="C35" s="123" t="s">
        <v>140</v>
      </c>
      <c r="D35" s="131" t="s">
        <v>365</v>
      </c>
      <c r="E35" s="308"/>
      <c r="F35" s="651"/>
      <c r="G35" s="651"/>
      <c r="H35" s="651"/>
      <c r="I35" s="346">
        <v>44900</v>
      </c>
      <c r="R35" s="195"/>
      <c r="S35" s="195"/>
      <c r="T35" s="195"/>
    </row>
    <row r="36" spans="1:20" s="194" customFormat="1">
      <c r="A36" s="189">
        <f t="shared" si="0"/>
        <v>14</v>
      </c>
      <c r="B36" s="123"/>
      <c r="C36" s="123" t="s">
        <v>141</v>
      </c>
      <c r="D36" s="131" t="s">
        <v>365</v>
      </c>
      <c r="E36" s="308"/>
      <c r="F36" s="651"/>
      <c r="G36" s="651"/>
      <c r="H36" s="651"/>
      <c r="I36" s="346">
        <v>44900</v>
      </c>
      <c r="R36" s="195"/>
      <c r="S36" s="195"/>
      <c r="T36" s="195"/>
    </row>
    <row r="37" spans="1:20" s="194" customFormat="1" ht="25.5">
      <c r="A37" s="189">
        <f t="shared" si="0"/>
        <v>15</v>
      </c>
      <c r="B37" s="123"/>
      <c r="C37" s="123" t="s">
        <v>142</v>
      </c>
      <c r="D37" s="131" t="s">
        <v>365</v>
      </c>
      <c r="E37" s="308"/>
      <c r="F37" s="650"/>
      <c r="G37" s="651"/>
      <c r="H37" s="651"/>
      <c r="I37" s="346">
        <v>44900</v>
      </c>
      <c r="R37" s="195"/>
      <c r="S37" s="195"/>
      <c r="T37" s="195"/>
    </row>
    <row r="38" spans="1:20" s="194" customFormat="1" ht="38.25">
      <c r="A38" s="189">
        <f t="shared" si="0"/>
        <v>16</v>
      </c>
      <c r="B38" s="123"/>
      <c r="C38" s="123" t="s">
        <v>143</v>
      </c>
      <c r="D38" s="131" t="s">
        <v>66</v>
      </c>
      <c r="E38" s="308"/>
      <c r="F38" s="650"/>
      <c r="G38" s="651"/>
      <c r="H38" s="651"/>
      <c r="I38" s="346">
        <v>44900</v>
      </c>
      <c r="R38" s="195"/>
      <c r="S38" s="195"/>
      <c r="T38" s="195"/>
    </row>
    <row r="39" spans="1:20" s="194" customFormat="1" ht="63.75">
      <c r="A39" s="189">
        <f t="shared" si="0"/>
        <v>17</v>
      </c>
      <c r="B39" s="123"/>
      <c r="C39" s="123" t="s">
        <v>398</v>
      </c>
      <c r="D39" s="131" t="s">
        <v>361</v>
      </c>
      <c r="E39" s="308"/>
      <c r="F39" s="650"/>
      <c r="G39" s="651"/>
      <c r="H39" s="651"/>
      <c r="I39" s="346">
        <v>44900</v>
      </c>
      <c r="R39" s="195"/>
      <c r="S39" s="195"/>
      <c r="T39" s="195"/>
    </row>
    <row r="40" spans="1:20" s="194" customFormat="1" ht="25.5">
      <c r="A40" s="189">
        <f t="shared" si="0"/>
        <v>18</v>
      </c>
      <c r="B40" s="123"/>
      <c r="C40" s="123" t="s">
        <v>389</v>
      </c>
      <c r="D40" s="131" t="s">
        <v>365</v>
      </c>
      <c r="E40" s="308"/>
      <c r="F40" s="650"/>
      <c r="G40" s="651"/>
      <c r="H40" s="651"/>
      <c r="I40" s="346">
        <v>44900</v>
      </c>
      <c r="R40" s="195"/>
      <c r="S40" s="195"/>
      <c r="T40" s="195"/>
    </row>
    <row r="41" spans="1:20" s="194" customFormat="1" ht="25.5">
      <c r="A41" s="189">
        <f t="shared" si="0"/>
        <v>19</v>
      </c>
      <c r="B41" s="123"/>
      <c r="C41" s="123" t="s">
        <v>144</v>
      </c>
      <c r="D41" s="131" t="s">
        <v>365</v>
      </c>
      <c r="E41" s="308"/>
      <c r="F41" s="650"/>
      <c r="G41" s="651"/>
      <c r="H41" s="651"/>
      <c r="I41" s="346">
        <v>44900</v>
      </c>
      <c r="R41" s="195"/>
      <c r="S41" s="195"/>
      <c r="T41" s="195"/>
    </row>
    <row r="42" spans="1:20" s="194" customFormat="1" ht="38.25">
      <c r="A42" s="189">
        <f t="shared" si="0"/>
        <v>20</v>
      </c>
      <c r="B42" s="123"/>
      <c r="C42" s="251" t="s">
        <v>390</v>
      </c>
      <c r="D42" s="131" t="s">
        <v>365</v>
      </c>
      <c r="E42" s="308"/>
      <c r="F42" s="650"/>
      <c r="G42" s="651"/>
      <c r="H42" s="651"/>
      <c r="I42" s="346">
        <v>44900</v>
      </c>
      <c r="R42" s="195"/>
      <c r="S42" s="195"/>
      <c r="T42" s="195"/>
    </row>
    <row r="43" spans="1:20" s="194" customFormat="1" ht="38.25">
      <c r="A43" s="189">
        <f t="shared" si="0"/>
        <v>21</v>
      </c>
      <c r="B43" s="123"/>
      <c r="C43" s="123" t="s">
        <v>388</v>
      </c>
      <c r="D43" s="131" t="s">
        <v>365</v>
      </c>
      <c r="E43" s="308"/>
      <c r="F43" s="650"/>
      <c r="G43" s="651"/>
      <c r="H43" s="651"/>
      <c r="I43" s="346">
        <v>44900</v>
      </c>
      <c r="R43" s="195"/>
      <c r="S43" s="195"/>
      <c r="T43" s="195"/>
    </row>
    <row r="44" spans="1:20" s="194" customFormat="1" ht="38.25">
      <c r="A44" s="189">
        <f t="shared" si="0"/>
        <v>22</v>
      </c>
      <c r="B44" s="123"/>
      <c r="C44" s="251" t="s">
        <v>462</v>
      </c>
      <c r="D44" s="131" t="s">
        <v>365</v>
      </c>
      <c r="E44" s="308"/>
      <c r="F44" s="650"/>
      <c r="G44" s="651"/>
      <c r="H44" s="651"/>
      <c r="I44" s="346">
        <v>44900</v>
      </c>
      <c r="R44" s="195"/>
      <c r="S44" s="195"/>
      <c r="T44" s="195"/>
    </row>
    <row r="45" spans="1:20" s="192" customFormat="1">
      <c r="A45" s="189">
        <f t="shared" si="0"/>
        <v>23</v>
      </c>
      <c r="B45" s="190" t="s">
        <v>145</v>
      </c>
      <c r="C45" s="191"/>
      <c r="D45" s="191"/>
      <c r="E45" s="198"/>
      <c r="F45" s="654"/>
      <c r="G45" s="654"/>
      <c r="H45" s="654"/>
      <c r="I45" s="342"/>
      <c r="R45" s="193"/>
      <c r="S45" s="193"/>
      <c r="T45" s="193"/>
    </row>
    <row r="46" spans="1:20" s="194" customFormat="1" ht="25.5">
      <c r="A46" s="189">
        <f t="shared" si="0"/>
        <v>24</v>
      </c>
      <c r="B46" s="123"/>
      <c r="C46" s="123" t="s">
        <v>146</v>
      </c>
      <c r="D46" s="131" t="s">
        <v>365</v>
      </c>
      <c r="E46" s="308"/>
      <c r="F46" s="650"/>
      <c r="G46" s="651"/>
      <c r="H46" s="651"/>
      <c r="I46" s="346">
        <v>44900</v>
      </c>
      <c r="R46" s="195"/>
      <c r="S46" s="195"/>
      <c r="T46" s="195"/>
    </row>
    <row r="47" spans="1:20" s="194" customFormat="1" ht="25.5">
      <c r="A47" s="189">
        <f t="shared" si="0"/>
        <v>25</v>
      </c>
      <c r="B47" s="123"/>
      <c r="C47" s="123" t="s">
        <v>147</v>
      </c>
      <c r="D47" s="131" t="s">
        <v>365</v>
      </c>
      <c r="E47" s="308"/>
      <c r="F47" s="650"/>
      <c r="G47" s="651"/>
      <c r="H47" s="651"/>
      <c r="I47" s="346">
        <v>44900</v>
      </c>
      <c r="R47" s="195"/>
      <c r="S47" s="195"/>
      <c r="T47" s="195"/>
    </row>
    <row r="48" spans="1:20" s="194" customFormat="1" ht="25.5">
      <c r="A48" s="189">
        <f t="shared" si="0"/>
        <v>26</v>
      </c>
      <c r="B48" s="123"/>
      <c r="C48" s="123" t="s">
        <v>148</v>
      </c>
      <c r="D48" s="131" t="s">
        <v>365</v>
      </c>
      <c r="E48" s="308"/>
      <c r="F48" s="650"/>
      <c r="G48" s="651"/>
      <c r="H48" s="651"/>
      <c r="I48" s="346">
        <v>44900</v>
      </c>
      <c r="R48" s="195"/>
      <c r="S48" s="195"/>
      <c r="T48" s="195"/>
    </row>
    <row r="49" spans="1:20" s="194" customFormat="1" ht="25.5">
      <c r="A49" s="189">
        <f t="shared" si="0"/>
        <v>27</v>
      </c>
      <c r="B49" s="123"/>
      <c r="C49" s="123" t="s">
        <v>149</v>
      </c>
      <c r="D49" s="131" t="s">
        <v>365</v>
      </c>
      <c r="E49" s="308"/>
      <c r="F49" s="651"/>
      <c r="G49" s="651"/>
      <c r="H49" s="651"/>
      <c r="I49" s="346">
        <v>44900</v>
      </c>
      <c r="R49" s="195"/>
      <c r="S49" s="195"/>
      <c r="T49" s="195"/>
    </row>
    <row r="50" spans="1:20" s="192" customFormat="1">
      <c r="A50" s="189">
        <f t="shared" si="0"/>
        <v>28</v>
      </c>
      <c r="B50" s="190" t="s">
        <v>150</v>
      </c>
      <c r="C50" s="191"/>
      <c r="D50" s="191"/>
      <c r="E50" s="198"/>
      <c r="F50" s="654"/>
      <c r="G50" s="654"/>
      <c r="H50" s="654"/>
      <c r="I50" s="342"/>
      <c r="R50" s="193"/>
      <c r="S50" s="193"/>
      <c r="T50" s="193"/>
    </row>
    <row r="51" spans="1:20" s="194" customFormat="1" ht="51">
      <c r="A51" s="189">
        <f t="shared" si="0"/>
        <v>29</v>
      </c>
      <c r="B51" s="123"/>
      <c r="C51" s="123" t="s">
        <v>442</v>
      </c>
      <c r="D51" s="131" t="s">
        <v>365</v>
      </c>
      <c r="E51" s="588"/>
      <c r="F51" s="655"/>
      <c r="G51" s="656"/>
      <c r="H51" s="657"/>
      <c r="I51" s="346">
        <v>44900</v>
      </c>
      <c r="R51" s="195"/>
      <c r="S51" s="195"/>
      <c r="T51" s="195"/>
    </row>
    <row r="52" spans="1:20" s="194" customFormat="1" ht="25.5">
      <c r="A52" s="189">
        <f t="shared" si="0"/>
        <v>30</v>
      </c>
      <c r="B52" s="555"/>
      <c r="C52" s="557" t="s">
        <v>852</v>
      </c>
      <c r="D52" s="131" t="s">
        <v>365</v>
      </c>
      <c r="E52" s="556"/>
      <c r="F52" s="650"/>
      <c r="G52" s="651"/>
      <c r="H52" s="651"/>
      <c r="I52" s="346">
        <v>44900</v>
      </c>
      <c r="R52" s="195"/>
      <c r="S52" s="195"/>
      <c r="T52" s="195"/>
    </row>
    <row r="53" spans="1:20" s="194" customFormat="1" ht="38.25">
      <c r="A53" s="189">
        <f t="shared" si="0"/>
        <v>31</v>
      </c>
      <c r="B53" s="123"/>
      <c r="C53" s="123" t="s">
        <v>151</v>
      </c>
      <c r="D53" s="131" t="s">
        <v>365</v>
      </c>
      <c r="E53" s="308"/>
      <c r="F53" s="650"/>
      <c r="G53" s="651"/>
      <c r="H53" s="651"/>
      <c r="I53" s="346">
        <v>44900</v>
      </c>
      <c r="R53" s="195"/>
      <c r="S53" s="195"/>
      <c r="T53" s="195"/>
    </row>
    <row r="54" spans="1:20" s="194" customFormat="1" ht="25.5">
      <c r="A54" s="189">
        <f t="shared" si="0"/>
        <v>32</v>
      </c>
      <c r="B54" s="123"/>
      <c r="C54" s="123" t="s">
        <v>152</v>
      </c>
      <c r="D54" s="131" t="s">
        <v>365</v>
      </c>
      <c r="E54" s="308"/>
      <c r="F54" s="651"/>
      <c r="G54" s="651"/>
      <c r="H54" s="651"/>
      <c r="I54" s="346">
        <v>44900</v>
      </c>
      <c r="R54" s="195"/>
      <c r="S54" s="195"/>
      <c r="T54" s="195"/>
    </row>
    <row r="55" spans="1:20" s="192" customFormat="1">
      <c r="A55" s="189">
        <f t="shared" si="0"/>
        <v>33</v>
      </c>
      <c r="B55" s="190" t="s">
        <v>153</v>
      </c>
      <c r="C55" s="191"/>
      <c r="D55" s="191"/>
      <c r="E55" s="199"/>
      <c r="F55" s="654"/>
      <c r="G55" s="654"/>
      <c r="H55" s="654"/>
      <c r="I55" s="342"/>
      <c r="R55" s="193"/>
      <c r="S55" s="193"/>
      <c r="T55" s="193"/>
    </row>
    <row r="56" spans="1:20" s="194" customFormat="1">
      <c r="A56" s="189">
        <f t="shared" si="0"/>
        <v>34</v>
      </c>
      <c r="B56" s="123"/>
      <c r="C56" s="123" t="s">
        <v>154</v>
      </c>
      <c r="D56" s="131" t="s">
        <v>365</v>
      </c>
      <c r="E56" s="308"/>
      <c r="F56" s="650"/>
      <c r="G56" s="651"/>
      <c r="H56" s="651"/>
      <c r="I56" s="346">
        <v>44900</v>
      </c>
      <c r="R56" s="195"/>
      <c r="S56" s="195"/>
      <c r="T56" s="195"/>
    </row>
    <row r="57" spans="1:20" s="194" customFormat="1" ht="38.25">
      <c r="A57" s="189">
        <f t="shared" si="0"/>
        <v>35</v>
      </c>
      <c r="B57" s="123"/>
      <c r="C57" s="123" t="s">
        <v>443</v>
      </c>
      <c r="D57" s="131" t="s">
        <v>365</v>
      </c>
      <c r="E57" s="308"/>
      <c r="F57" s="650"/>
      <c r="G57" s="651"/>
      <c r="H57" s="651"/>
      <c r="I57" s="346">
        <v>44900</v>
      </c>
      <c r="R57" s="195"/>
      <c r="S57" s="195"/>
      <c r="T57" s="195"/>
    </row>
    <row r="58" spans="1:20" s="194" customFormat="1" ht="25.5">
      <c r="A58" s="189">
        <f t="shared" si="0"/>
        <v>36</v>
      </c>
      <c r="B58" s="123"/>
      <c r="C58" s="123" t="s">
        <v>155</v>
      </c>
      <c r="D58" s="131" t="s">
        <v>365</v>
      </c>
      <c r="E58" s="308"/>
      <c r="F58" s="650"/>
      <c r="G58" s="651"/>
      <c r="H58" s="651"/>
      <c r="I58" s="346">
        <v>44900</v>
      </c>
      <c r="R58" s="195"/>
      <c r="S58" s="195"/>
      <c r="T58" s="195"/>
    </row>
    <row r="59" spans="1:20" s="194" customFormat="1" ht="25.5">
      <c r="A59" s="189">
        <f t="shared" si="0"/>
        <v>37</v>
      </c>
      <c r="B59" s="123"/>
      <c r="C59" s="123" t="s">
        <v>156</v>
      </c>
      <c r="D59" s="131" t="s">
        <v>365</v>
      </c>
      <c r="E59" s="308"/>
      <c r="F59" s="650"/>
      <c r="G59" s="651"/>
      <c r="H59" s="651"/>
      <c r="I59" s="346">
        <v>44900</v>
      </c>
      <c r="R59" s="195"/>
      <c r="S59" s="195"/>
      <c r="T59" s="195"/>
    </row>
    <row r="60" spans="1:20" s="194" customFormat="1" ht="38.25">
      <c r="A60" s="189">
        <f t="shared" si="0"/>
        <v>38</v>
      </c>
      <c r="B60" s="123"/>
      <c r="C60" s="123" t="s">
        <v>157</v>
      </c>
      <c r="D60" s="131" t="s">
        <v>365</v>
      </c>
      <c r="E60" s="308"/>
      <c r="F60" s="650"/>
      <c r="G60" s="651"/>
      <c r="H60" s="651"/>
      <c r="I60" s="346">
        <v>44900</v>
      </c>
      <c r="R60" s="195"/>
      <c r="S60" s="195"/>
      <c r="T60" s="195"/>
    </row>
    <row r="61" spans="1:20" s="194" customFormat="1" ht="38.25">
      <c r="A61" s="189">
        <f t="shared" si="0"/>
        <v>39</v>
      </c>
      <c r="B61" s="123"/>
      <c r="C61" s="123" t="s">
        <v>158</v>
      </c>
      <c r="D61" s="131" t="s">
        <v>365</v>
      </c>
      <c r="E61" s="308"/>
      <c r="F61" s="650"/>
      <c r="G61" s="651"/>
      <c r="H61" s="651"/>
      <c r="I61" s="346">
        <v>44900</v>
      </c>
      <c r="R61" s="195"/>
      <c r="S61" s="195"/>
      <c r="T61" s="195"/>
    </row>
    <row r="62" spans="1:20" s="194" customFormat="1" ht="25.5">
      <c r="A62" s="189">
        <f t="shared" si="0"/>
        <v>40</v>
      </c>
      <c r="B62" s="123"/>
      <c r="C62" s="251" t="s">
        <v>463</v>
      </c>
      <c r="D62" s="131" t="s">
        <v>365</v>
      </c>
      <c r="E62" s="308"/>
      <c r="F62" s="650"/>
      <c r="G62" s="651"/>
      <c r="H62" s="651"/>
      <c r="I62" s="346">
        <v>44900</v>
      </c>
      <c r="R62" s="195"/>
      <c r="S62" s="195"/>
      <c r="T62" s="195"/>
    </row>
    <row r="63" spans="1:20" s="194" customFormat="1" ht="25.5">
      <c r="A63" s="189">
        <f t="shared" si="0"/>
        <v>41</v>
      </c>
      <c r="B63" s="123"/>
      <c r="C63" s="251" t="s">
        <v>719</v>
      </c>
      <c r="D63" s="131" t="s">
        <v>365</v>
      </c>
      <c r="E63" s="308"/>
      <c r="F63" s="650"/>
      <c r="G63" s="651"/>
      <c r="H63" s="651"/>
      <c r="I63" s="346">
        <v>44900</v>
      </c>
      <c r="R63" s="195"/>
      <c r="S63" s="195"/>
      <c r="T63" s="195"/>
    </row>
    <row r="64" spans="1:20" s="192" customFormat="1">
      <c r="A64" s="189">
        <f t="shared" si="0"/>
        <v>42</v>
      </c>
      <c r="B64" s="190" t="s">
        <v>159</v>
      </c>
      <c r="C64" s="191"/>
      <c r="D64" s="191"/>
      <c r="E64" s="198"/>
      <c r="F64" s="654"/>
      <c r="G64" s="654"/>
      <c r="H64" s="654"/>
      <c r="I64" s="342"/>
      <c r="R64" s="193"/>
      <c r="S64" s="193"/>
      <c r="T64" s="193"/>
    </row>
    <row r="65" spans="1:20" s="194" customFormat="1">
      <c r="A65" s="189">
        <f t="shared" si="0"/>
        <v>43</v>
      </c>
      <c r="B65" s="123"/>
      <c r="C65" s="123" t="s">
        <v>160</v>
      </c>
      <c r="D65" s="131" t="s">
        <v>365</v>
      </c>
      <c r="E65" s="308"/>
      <c r="F65" s="650"/>
      <c r="G65" s="651"/>
      <c r="H65" s="651"/>
      <c r="I65" s="346">
        <v>44900</v>
      </c>
      <c r="R65" s="195"/>
      <c r="S65" s="195"/>
      <c r="T65" s="195"/>
    </row>
    <row r="66" spans="1:20" s="194" customFormat="1" ht="25.5">
      <c r="A66" s="189">
        <f t="shared" si="0"/>
        <v>44</v>
      </c>
      <c r="B66" s="123"/>
      <c r="C66" s="251" t="s">
        <v>464</v>
      </c>
      <c r="D66" s="131" t="s">
        <v>365</v>
      </c>
      <c r="E66" s="308"/>
      <c r="F66" s="650"/>
      <c r="G66" s="651"/>
      <c r="H66" s="651"/>
      <c r="I66" s="346">
        <v>44900</v>
      </c>
      <c r="R66" s="195"/>
      <c r="S66" s="195"/>
      <c r="T66" s="195"/>
    </row>
    <row r="67" spans="1:20" s="192" customFormat="1">
      <c r="A67" s="189">
        <f t="shared" si="0"/>
        <v>45</v>
      </c>
      <c r="B67" s="190" t="s">
        <v>161</v>
      </c>
      <c r="C67" s="191"/>
      <c r="D67" s="191"/>
      <c r="E67" s="199"/>
      <c r="F67" s="654"/>
      <c r="G67" s="654"/>
      <c r="H67" s="654"/>
      <c r="I67" s="342"/>
      <c r="R67" s="193"/>
      <c r="S67" s="193"/>
      <c r="T67" s="193"/>
    </row>
    <row r="68" spans="1:20" s="194" customFormat="1" ht="25.5">
      <c r="A68" s="189">
        <f t="shared" si="0"/>
        <v>46</v>
      </c>
      <c r="B68" s="123"/>
      <c r="C68" s="123" t="s">
        <v>162</v>
      </c>
      <c r="D68" s="131" t="s">
        <v>365</v>
      </c>
      <c r="E68" s="308"/>
      <c r="F68" s="651"/>
      <c r="G68" s="651"/>
      <c r="H68" s="651"/>
      <c r="I68" s="346">
        <v>44900</v>
      </c>
      <c r="R68" s="195"/>
      <c r="S68" s="195"/>
      <c r="T68" s="195"/>
    </row>
    <row r="69" spans="1:20" s="194" customFormat="1" ht="51">
      <c r="A69" s="189">
        <f t="shared" si="0"/>
        <v>47</v>
      </c>
      <c r="B69" s="123"/>
      <c r="C69" s="123" t="s">
        <v>444</v>
      </c>
      <c r="D69" s="131" t="s">
        <v>365</v>
      </c>
      <c r="E69" s="308"/>
      <c r="F69" s="651"/>
      <c r="G69" s="651"/>
      <c r="H69" s="651"/>
      <c r="I69" s="346">
        <v>44900</v>
      </c>
      <c r="R69" s="195"/>
      <c r="S69" s="195"/>
      <c r="T69" s="195"/>
    </row>
    <row r="70" spans="1:20" s="194" customFormat="1" ht="25.5">
      <c r="A70" s="189">
        <f t="shared" si="0"/>
        <v>48</v>
      </c>
      <c r="B70" s="123"/>
      <c r="C70" s="123" t="s">
        <v>163</v>
      </c>
      <c r="D70" s="131" t="s">
        <v>365</v>
      </c>
      <c r="E70" s="308"/>
      <c r="F70" s="651"/>
      <c r="G70" s="651"/>
      <c r="H70" s="651"/>
      <c r="I70" s="346">
        <v>44900</v>
      </c>
      <c r="R70" s="195"/>
      <c r="S70" s="195"/>
      <c r="T70" s="195"/>
    </row>
    <row r="71" spans="1:20" s="194" customFormat="1" ht="25.5">
      <c r="A71" s="189">
        <f t="shared" si="0"/>
        <v>49</v>
      </c>
      <c r="B71" s="123"/>
      <c r="C71" s="123" t="s">
        <v>164</v>
      </c>
      <c r="D71" s="131" t="s">
        <v>365</v>
      </c>
      <c r="E71" s="308"/>
      <c r="F71" s="651"/>
      <c r="G71" s="651"/>
      <c r="H71" s="651"/>
      <c r="I71" s="346">
        <v>44900</v>
      </c>
      <c r="R71" s="195"/>
      <c r="S71" s="195"/>
      <c r="T71" s="195"/>
    </row>
    <row r="72" spans="1:20" s="194" customFormat="1" ht="25.5">
      <c r="A72" s="189">
        <f t="shared" si="0"/>
        <v>50</v>
      </c>
      <c r="B72" s="123"/>
      <c r="C72" s="251" t="s">
        <v>720</v>
      </c>
      <c r="D72" s="131" t="s">
        <v>66</v>
      </c>
      <c r="E72" s="308"/>
      <c r="F72" s="651"/>
      <c r="G72" s="651"/>
      <c r="H72" s="651"/>
      <c r="I72" s="346">
        <v>44900</v>
      </c>
      <c r="R72" s="195"/>
      <c r="S72" s="195"/>
      <c r="T72" s="195"/>
    </row>
    <row r="73" spans="1:20" s="194" customFormat="1" ht="25.5">
      <c r="A73" s="189">
        <f t="shared" si="0"/>
        <v>51</v>
      </c>
      <c r="B73" s="123"/>
      <c r="C73" s="251" t="s">
        <v>721</v>
      </c>
      <c r="D73" s="131" t="s">
        <v>365</v>
      </c>
      <c r="E73" s="308"/>
      <c r="F73" s="650"/>
      <c r="G73" s="651"/>
      <c r="H73" s="651"/>
      <c r="I73" s="346">
        <v>44900</v>
      </c>
      <c r="R73" s="195"/>
      <c r="S73" s="195"/>
      <c r="T73" s="195"/>
    </row>
    <row r="74" spans="1:20" s="192" customFormat="1">
      <c r="A74" s="189">
        <f t="shared" si="0"/>
        <v>52</v>
      </c>
      <c r="B74" s="190" t="s">
        <v>165</v>
      </c>
      <c r="C74" s="191"/>
      <c r="D74" s="191"/>
      <c r="E74" s="199"/>
      <c r="F74" s="654"/>
      <c r="G74" s="654"/>
      <c r="H74" s="654"/>
      <c r="I74" s="342"/>
      <c r="R74" s="193"/>
      <c r="S74" s="193"/>
      <c r="T74" s="193"/>
    </row>
    <row r="75" spans="1:20" s="194" customFormat="1" ht="25.5">
      <c r="A75" s="189">
        <f t="shared" si="0"/>
        <v>53</v>
      </c>
      <c r="B75" s="123"/>
      <c r="C75" s="123" t="s">
        <v>166</v>
      </c>
      <c r="D75" s="131" t="s">
        <v>365</v>
      </c>
      <c r="E75" s="308"/>
      <c r="F75" s="650"/>
      <c r="G75" s="651"/>
      <c r="H75" s="651"/>
      <c r="I75" s="346">
        <v>44900</v>
      </c>
      <c r="R75" s="195"/>
      <c r="S75" s="195"/>
      <c r="T75" s="195"/>
    </row>
    <row r="76" spans="1:20" s="254" customFormat="1" ht="25.5" customHeight="1">
      <c r="A76" s="189">
        <f t="shared" si="0"/>
        <v>54</v>
      </c>
      <c r="B76" s="251"/>
      <c r="C76" s="251" t="s">
        <v>460</v>
      </c>
      <c r="D76" s="253" t="s">
        <v>365</v>
      </c>
      <c r="E76" s="308"/>
      <c r="F76" s="650"/>
      <c r="G76" s="651"/>
      <c r="H76" s="651"/>
      <c r="I76" s="346">
        <v>44900</v>
      </c>
      <c r="R76" s="60"/>
      <c r="S76" s="60"/>
      <c r="T76" s="60"/>
    </row>
    <row r="77" spans="1:20" s="254" customFormat="1" ht="38.25" customHeight="1">
      <c r="A77" s="189">
        <f t="shared" si="0"/>
        <v>55</v>
      </c>
      <c r="B77" s="251"/>
      <c r="C77" s="251" t="s">
        <v>461</v>
      </c>
      <c r="D77" s="253" t="s">
        <v>365</v>
      </c>
      <c r="E77" s="308"/>
      <c r="F77" s="650"/>
      <c r="G77" s="651"/>
      <c r="H77" s="651"/>
      <c r="I77" s="346">
        <v>44900</v>
      </c>
      <c r="R77" s="60"/>
      <c r="S77" s="60"/>
      <c r="T77" s="60"/>
    </row>
    <row r="78" spans="1:20" s="194" customFormat="1" ht="25.5" customHeight="1">
      <c r="A78" s="189">
        <f t="shared" si="0"/>
        <v>56</v>
      </c>
      <c r="B78" s="123"/>
      <c r="C78" s="251" t="s">
        <v>445</v>
      </c>
      <c r="D78" s="253" t="s">
        <v>365</v>
      </c>
      <c r="E78" s="308"/>
      <c r="F78" s="650"/>
      <c r="G78" s="651"/>
      <c r="H78" s="651"/>
      <c r="I78" s="346">
        <v>44900</v>
      </c>
      <c r="R78" s="195"/>
      <c r="S78" s="195"/>
      <c r="T78" s="195"/>
    </row>
    <row r="79" spans="1:20" s="194" customFormat="1" ht="51" customHeight="1">
      <c r="A79" s="189">
        <f t="shared" si="0"/>
        <v>57</v>
      </c>
      <c r="B79" s="123"/>
      <c r="C79" s="251" t="s">
        <v>458</v>
      </c>
      <c r="D79" s="131" t="s">
        <v>365</v>
      </c>
      <c r="E79" s="308"/>
      <c r="F79" s="650"/>
      <c r="G79" s="651"/>
      <c r="H79" s="651"/>
      <c r="I79" s="346">
        <v>44900</v>
      </c>
      <c r="R79" s="195"/>
      <c r="S79" s="195"/>
      <c r="T79" s="195"/>
    </row>
    <row r="80" spans="1:20" s="194" customFormat="1" ht="63.75" customHeight="1">
      <c r="A80" s="189">
        <f t="shared" si="0"/>
        <v>58</v>
      </c>
      <c r="B80" s="123"/>
      <c r="C80" s="251" t="s">
        <v>457</v>
      </c>
      <c r="D80" s="131" t="s">
        <v>365</v>
      </c>
      <c r="E80" s="308"/>
      <c r="F80" s="650"/>
      <c r="G80" s="651"/>
      <c r="H80" s="651"/>
      <c r="I80" s="346">
        <v>44900</v>
      </c>
      <c r="R80" s="195"/>
      <c r="S80" s="195"/>
      <c r="T80" s="195"/>
    </row>
    <row r="81" spans="1:20" s="194" customFormat="1" ht="25.5" customHeight="1">
      <c r="A81" s="189">
        <f t="shared" si="0"/>
        <v>59</v>
      </c>
      <c r="B81" s="123"/>
      <c r="C81" s="251" t="s">
        <v>459</v>
      </c>
      <c r="D81" s="131" t="s">
        <v>365</v>
      </c>
      <c r="E81" s="308"/>
      <c r="F81" s="650"/>
      <c r="G81" s="651"/>
      <c r="H81" s="651"/>
      <c r="I81" s="346">
        <v>44900</v>
      </c>
      <c r="R81" s="195"/>
      <c r="S81" s="195"/>
      <c r="T81" s="195"/>
    </row>
    <row r="82" spans="1:20" s="192" customFormat="1">
      <c r="A82" s="189">
        <f t="shared" si="0"/>
        <v>60</v>
      </c>
      <c r="B82" s="190" t="s">
        <v>167</v>
      </c>
      <c r="C82" s="191"/>
      <c r="D82" s="191"/>
      <c r="E82" s="252"/>
      <c r="F82" s="654"/>
      <c r="G82" s="654"/>
      <c r="H82" s="654"/>
      <c r="I82" s="342"/>
      <c r="R82" s="193"/>
      <c r="S82" s="193"/>
      <c r="T82" s="193"/>
    </row>
    <row r="83" spans="1:20" s="194" customFormat="1" ht="38.25">
      <c r="A83" s="189">
        <f t="shared" si="0"/>
        <v>61</v>
      </c>
      <c r="B83" s="123"/>
      <c r="C83" s="123" t="s">
        <v>168</v>
      </c>
      <c r="D83" s="131" t="s">
        <v>365</v>
      </c>
      <c r="E83" s="308"/>
      <c r="F83" s="650"/>
      <c r="G83" s="651"/>
      <c r="H83" s="651"/>
      <c r="I83" s="346">
        <v>44900</v>
      </c>
      <c r="R83" s="195"/>
      <c r="S83" s="195"/>
      <c r="T83" s="195"/>
    </row>
    <row r="84" spans="1:20" s="194" customFormat="1" ht="25.5">
      <c r="A84" s="189">
        <f t="shared" si="0"/>
        <v>62</v>
      </c>
      <c r="B84" s="123"/>
      <c r="C84" s="123" t="s">
        <v>169</v>
      </c>
      <c r="D84" s="131" t="s">
        <v>365</v>
      </c>
      <c r="E84" s="308"/>
      <c r="F84" s="650"/>
      <c r="G84" s="651"/>
      <c r="H84" s="651"/>
      <c r="I84" s="346">
        <v>44900</v>
      </c>
      <c r="R84" s="195"/>
      <c r="S84" s="195"/>
      <c r="T84" s="195"/>
    </row>
    <row r="85" spans="1:20" s="194" customFormat="1" ht="38.25">
      <c r="A85" s="189">
        <f t="shared" si="0"/>
        <v>63</v>
      </c>
      <c r="B85" s="123"/>
      <c r="C85" s="123" t="s">
        <v>170</v>
      </c>
      <c r="D85" s="131" t="s">
        <v>365</v>
      </c>
      <c r="E85" s="308"/>
      <c r="F85" s="650"/>
      <c r="G85" s="651"/>
      <c r="H85" s="651"/>
      <c r="I85" s="346">
        <v>44900</v>
      </c>
      <c r="R85" s="195"/>
      <c r="S85" s="195"/>
      <c r="T85" s="195"/>
    </row>
    <row r="86" spans="1:20" s="194" customFormat="1" ht="25.5">
      <c r="A86" s="189">
        <f t="shared" si="0"/>
        <v>64</v>
      </c>
      <c r="B86" s="123"/>
      <c r="C86" s="123" t="s">
        <v>171</v>
      </c>
      <c r="D86" s="131" t="s">
        <v>365</v>
      </c>
      <c r="E86" s="308"/>
      <c r="F86" s="650"/>
      <c r="G86" s="651"/>
      <c r="H86" s="651"/>
      <c r="I86" s="346">
        <v>44900</v>
      </c>
      <c r="R86" s="195"/>
      <c r="S86" s="195"/>
      <c r="T86" s="195"/>
    </row>
    <row r="87" spans="1:20" s="194" customFormat="1" ht="38.25">
      <c r="A87" s="189">
        <f t="shared" si="0"/>
        <v>65</v>
      </c>
      <c r="B87" s="123"/>
      <c r="C87" s="123" t="s">
        <v>172</v>
      </c>
      <c r="D87" s="131" t="s">
        <v>365</v>
      </c>
      <c r="E87" s="308"/>
      <c r="F87" s="650"/>
      <c r="G87" s="651"/>
      <c r="H87" s="651"/>
      <c r="I87" s="346">
        <v>44900</v>
      </c>
      <c r="R87" s="195"/>
      <c r="S87" s="195"/>
      <c r="T87" s="195"/>
    </row>
    <row r="88" spans="1:20" s="194" customFormat="1" ht="25.5">
      <c r="A88" s="189">
        <f t="shared" si="0"/>
        <v>66</v>
      </c>
      <c r="B88" s="123"/>
      <c r="C88" s="123" t="s">
        <v>173</v>
      </c>
      <c r="D88" s="131" t="s">
        <v>365</v>
      </c>
      <c r="E88" s="308"/>
      <c r="F88" s="650"/>
      <c r="G88" s="651"/>
      <c r="H88" s="651"/>
      <c r="I88" s="346">
        <v>44900</v>
      </c>
      <c r="R88" s="195"/>
      <c r="S88" s="195"/>
      <c r="T88" s="195"/>
    </row>
    <row r="89" spans="1:20" s="194" customFormat="1" ht="38.25">
      <c r="A89" s="189">
        <f t="shared" si="0"/>
        <v>67</v>
      </c>
      <c r="B89" s="123"/>
      <c r="C89" s="123" t="s">
        <v>446</v>
      </c>
      <c r="D89" s="131" t="s">
        <v>365</v>
      </c>
      <c r="E89" s="308"/>
      <c r="F89" s="650"/>
      <c r="G89" s="651"/>
      <c r="H89" s="651"/>
      <c r="I89" s="346">
        <v>44900</v>
      </c>
      <c r="R89" s="195"/>
      <c r="S89" s="195"/>
      <c r="T89" s="195"/>
    </row>
    <row r="90" spans="1:20" s="192" customFormat="1">
      <c r="A90" s="189">
        <f t="shared" ref="A90:A121" si="1">A89+1</f>
        <v>68</v>
      </c>
      <c r="B90" s="190" t="s">
        <v>174</v>
      </c>
      <c r="C90" s="191"/>
      <c r="D90" s="191"/>
      <c r="E90" s="199"/>
      <c r="F90" s="654"/>
      <c r="G90" s="654"/>
      <c r="H90" s="654"/>
      <c r="I90" s="342"/>
      <c r="R90" s="193"/>
      <c r="S90" s="193"/>
      <c r="T90" s="193"/>
    </row>
    <row r="91" spans="1:20" s="194" customFormat="1" ht="25.5">
      <c r="A91" s="189">
        <f t="shared" si="1"/>
        <v>69</v>
      </c>
      <c r="B91" s="123"/>
      <c r="C91" s="251" t="s">
        <v>722</v>
      </c>
      <c r="D91" s="131" t="s">
        <v>365</v>
      </c>
      <c r="E91" s="308"/>
      <c r="F91" s="650"/>
      <c r="G91" s="651"/>
      <c r="H91" s="651"/>
      <c r="I91" s="346">
        <v>44900</v>
      </c>
      <c r="R91" s="195"/>
      <c r="S91" s="195"/>
      <c r="T91" s="195"/>
    </row>
    <row r="92" spans="1:20" s="194" customFormat="1" ht="25.5" customHeight="1">
      <c r="A92" s="189">
        <f t="shared" si="1"/>
        <v>70</v>
      </c>
      <c r="B92" s="123"/>
      <c r="C92" s="123" t="s">
        <v>175</v>
      </c>
      <c r="D92" s="131" t="s">
        <v>365</v>
      </c>
      <c r="E92" s="308"/>
      <c r="F92" s="650"/>
      <c r="G92" s="651"/>
      <c r="H92" s="651"/>
      <c r="I92" s="346">
        <v>44900</v>
      </c>
      <c r="R92" s="195"/>
      <c r="S92" s="195"/>
      <c r="T92" s="195"/>
    </row>
    <row r="93" spans="1:20" s="194" customFormat="1" ht="25.5" customHeight="1">
      <c r="A93" s="189">
        <f t="shared" si="1"/>
        <v>71</v>
      </c>
      <c r="B93" s="123"/>
      <c r="C93" s="123" t="s">
        <v>176</v>
      </c>
      <c r="D93" s="131" t="s">
        <v>365</v>
      </c>
      <c r="E93" s="308"/>
      <c r="F93" s="650"/>
      <c r="G93" s="651"/>
      <c r="H93" s="651"/>
      <c r="I93" s="346">
        <v>44900</v>
      </c>
      <c r="R93" s="195"/>
      <c r="S93" s="195"/>
      <c r="T93" s="195"/>
    </row>
    <row r="94" spans="1:20" s="194" customFormat="1" ht="12.75" customHeight="1">
      <c r="A94" s="189">
        <f t="shared" si="1"/>
        <v>72</v>
      </c>
      <c r="B94" s="123"/>
      <c r="C94" s="123" t="s">
        <v>447</v>
      </c>
      <c r="D94" s="131" t="s">
        <v>365</v>
      </c>
      <c r="E94" s="308"/>
      <c r="F94" s="650"/>
      <c r="G94" s="651"/>
      <c r="H94" s="651"/>
      <c r="I94" s="346">
        <v>44900</v>
      </c>
      <c r="R94" s="195"/>
      <c r="S94" s="195"/>
      <c r="T94" s="195"/>
    </row>
    <row r="95" spans="1:20" s="256" customFormat="1" ht="38.25" customHeight="1">
      <c r="A95" s="189">
        <f t="shared" si="1"/>
        <v>73</v>
      </c>
      <c r="B95" s="251"/>
      <c r="C95" s="251" t="s">
        <v>723</v>
      </c>
      <c r="D95" s="253" t="s">
        <v>66</v>
      </c>
      <c r="E95" s="308"/>
      <c r="F95" s="650"/>
      <c r="G95" s="651"/>
      <c r="H95" s="651"/>
      <c r="I95" s="346">
        <v>44900</v>
      </c>
      <c r="R95" s="195"/>
      <c r="S95" s="195"/>
      <c r="T95" s="195"/>
    </row>
    <row r="96" spans="1:20" s="256" customFormat="1" ht="38.25" customHeight="1">
      <c r="A96" s="189">
        <f t="shared" si="1"/>
        <v>74</v>
      </c>
      <c r="B96" s="251"/>
      <c r="C96" s="251" t="s">
        <v>472</v>
      </c>
      <c r="D96" s="253" t="s">
        <v>66</v>
      </c>
      <c r="E96" s="308"/>
      <c r="F96" s="650"/>
      <c r="G96" s="651"/>
      <c r="H96" s="651"/>
      <c r="I96" s="346">
        <v>44900</v>
      </c>
      <c r="R96" s="195"/>
      <c r="S96" s="195"/>
      <c r="T96" s="195"/>
    </row>
    <row r="97" spans="1:20" s="192" customFormat="1" ht="12.75" customHeight="1">
      <c r="A97" s="189">
        <f t="shared" si="1"/>
        <v>75</v>
      </c>
      <c r="B97" s="190" t="s">
        <v>177</v>
      </c>
      <c r="C97" s="191"/>
      <c r="D97" s="191"/>
      <c r="E97" s="199"/>
      <c r="F97" s="666"/>
      <c r="G97" s="667"/>
      <c r="H97" s="668"/>
      <c r="I97" s="342"/>
      <c r="R97" s="193"/>
      <c r="S97" s="193"/>
      <c r="T97" s="193"/>
    </row>
    <row r="98" spans="1:20" s="194" customFormat="1" ht="25.5">
      <c r="A98" s="189">
        <f t="shared" si="1"/>
        <v>76</v>
      </c>
      <c r="B98" s="123"/>
      <c r="C98" s="123" t="s">
        <v>178</v>
      </c>
      <c r="D98" s="131" t="s">
        <v>365</v>
      </c>
      <c r="E98" s="308"/>
      <c r="F98" s="650"/>
      <c r="G98" s="651"/>
      <c r="H98" s="651"/>
      <c r="I98" s="346">
        <v>44900</v>
      </c>
      <c r="R98" s="195"/>
      <c r="S98" s="195"/>
      <c r="T98" s="195"/>
    </row>
    <row r="99" spans="1:20" s="194" customFormat="1" ht="25.5">
      <c r="A99" s="189">
        <f t="shared" si="1"/>
        <v>77</v>
      </c>
      <c r="B99" s="123"/>
      <c r="C99" s="251" t="s">
        <v>724</v>
      </c>
      <c r="D99" s="131" t="s">
        <v>365</v>
      </c>
      <c r="E99" s="308"/>
      <c r="F99" s="650"/>
      <c r="G99" s="651"/>
      <c r="H99" s="651"/>
      <c r="I99" s="346">
        <v>44900</v>
      </c>
      <c r="R99" s="195"/>
      <c r="S99" s="195"/>
      <c r="T99" s="195"/>
    </row>
    <row r="100" spans="1:20" s="192" customFormat="1">
      <c r="A100" s="189">
        <f t="shared" si="1"/>
        <v>78</v>
      </c>
      <c r="B100" s="190" t="s">
        <v>179</v>
      </c>
      <c r="C100" s="191"/>
      <c r="D100" s="191"/>
      <c r="E100" s="199"/>
      <c r="F100" s="654"/>
      <c r="G100" s="654"/>
      <c r="H100" s="654"/>
      <c r="I100" s="342"/>
      <c r="R100" s="193"/>
      <c r="S100" s="193"/>
      <c r="T100" s="193"/>
    </row>
    <row r="101" spans="1:20" s="194" customFormat="1" ht="38.25">
      <c r="A101" s="189">
        <f t="shared" si="1"/>
        <v>79</v>
      </c>
      <c r="B101" s="123"/>
      <c r="C101" s="123" t="s">
        <v>180</v>
      </c>
      <c r="D101" s="131" t="s">
        <v>365</v>
      </c>
      <c r="E101" s="308"/>
      <c r="F101" s="658"/>
      <c r="G101" s="658"/>
      <c r="H101" s="658"/>
      <c r="I101" s="346">
        <v>44900</v>
      </c>
      <c r="R101" s="195"/>
      <c r="S101" s="195"/>
      <c r="T101" s="195"/>
    </row>
    <row r="102" spans="1:20" s="194" customFormat="1" ht="38.25">
      <c r="A102" s="189">
        <f t="shared" si="1"/>
        <v>80</v>
      </c>
      <c r="B102" s="123"/>
      <c r="C102" s="251" t="s">
        <v>181</v>
      </c>
      <c r="D102" s="131" t="s">
        <v>365</v>
      </c>
      <c r="E102" s="308"/>
      <c r="F102" s="658"/>
      <c r="G102" s="658"/>
      <c r="H102" s="658"/>
      <c r="I102" s="346">
        <v>44900</v>
      </c>
      <c r="R102" s="195"/>
      <c r="S102" s="195"/>
      <c r="T102" s="195"/>
    </row>
    <row r="103" spans="1:20" s="192" customFormat="1">
      <c r="A103" s="189">
        <f t="shared" si="1"/>
        <v>81</v>
      </c>
      <c r="B103" s="190" t="s">
        <v>182</v>
      </c>
      <c r="C103" s="191"/>
      <c r="D103" s="191"/>
      <c r="E103" s="199"/>
      <c r="F103" s="654"/>
      <c r="G103" s="654"/>
      <c r="H103" s="654"/>
      <c r="I103" s="342"/>
      <c r="R103" s="193"/>
      <c r="S103" s="193"/>
      <c r="T103" s="193"/>
    </row>
    <row r="104" spans="1:20" s="194" customFormat="1" ht="25.5">
      <c r="A104" s="189">
        <f t="shared" si="1"/>
        <v>82</v>
      </c>
      <c r="B104" s="123"/>
      <c r="C104" s="123" t="s">
        <v>183</v>
      </c>
      <c r="D104" s="131" t="s">
        <v>365</v>
      </c>
      <c r="E104" s="308"/>
      <c r="F104" s="658"/>
      <c r="G104" s="658"/>
      <c r="H104" s="658"/>
      <c r="I104" s="346">
        <v>44900</v>
      </c>
      <c r="R104" s="195"/>
      <c r="S104" s="195"/>
      <c r="T104" s="195"/>
    </row>
    <row r="105" spans="1:20" s="194" customFormat="1" ht="25.5">
      <c r="A105" s="189">
        <f t="shared" si="1"/>
        <v>83</v>
      </c>
      <c r="B105" s="123"/>
      <c r="C105" s="123" t="s">
        <v>184</v>
      </c>
      <c r="D105" s="131" t="s">
        <v>365</v>
      </c>
      <c r="E105" s="308"/>
      <c r="F105" s="658"/>
      <c r="G105" s="658"/>
      <c r="H105" s="658"/>
      <c r="I105" s="346">
        <v>44900</v>
      </c>
      <c r="R105" s="195"/>
      <c r="S105" s="195"/>
      <c r="T105" s="195"/>
    </row>
    <row r="106" spans="1:20" s="194" customFormat="1" ht="38.25">
      <c r="A106" s="189">
        <f t="shared" si="1"/>
        <v>84</v>
      </c>
      <c r="B106" s="123"/>
      <c r="C106" s="123" t="s">
        <v>404</v>
      </c>
      <c r="D106" s="131" t="s">
        <v>365</v>
      </c>
      <c r="E106" s="308"/>
      <c r="F106" s="651"/>
      <c r="G106" s="651"/>
      <c r="H106" s="651"/>
      <c r="I106" s="346">
        <v>44900</v>
      </c>
      <c r="R106" s="195"/>
      <c r="S106" s="195"/>
      <c r="T106" s="195"/>
    </row>
    <row r="107" spans="1:20" s="192" customFormat="1">
      <c r="A107" s="189">
        <f t="shared" si="1"/>
        <v>85</v>
      </c>
      <c r="B107" s="190" t="s">
        <v>185</v>
      </c>
      <c r="C107" s="191"/>
      <c r="D107" s="191"/>
      <c r="E107" s="199"/>
      <c r="F107" s="654"/>
      <c r="G107" s="654"/>
      <c r="H107" s="654"/>
      <c r="I107" s="342"/>
      <c r="R107" s="193"/>
      <c r="S107" s="193"/>
      <c r="T107" s="193"/>
    </row>
    <row r="108" spans="1:20" s="194" customFormat="1" ht="25.5">
      <c r="A108" s="189">
        <f t="shared" si="1"/>
        <v>86</v>
      </c>
      <c r="B108" s="123"/>
      <c r="C108" s="123" t="s">
        <v>387</v>
      </c>
      <c r="D108" s="131" t="s">
        <v>367</v>
      </c>
      <c r="E108" s="308"/>
      <c r="F108" s="651"/>
      <c r="G108" s="651"/>
      <c r="H108" s="651"/>
      <c r="I108" s="346">
        <v>44900</v>
      </c>
      <c r="R108" s="195"/>
      <c r="S108" s="195"/>
      <c r="T108" s="195"/>
    </row>
    <row r="109" spans="1:20" s="194" customFormat="1" ht="38.25">
      <c r="A109" s="189">
        <f t="shared" si="1"/>
        <v>87</v>
      </c>
      <c r="B109" s="123"/>
      <c r="C109" s="123" t="s">
        <v>186</v>
      </c>
      <c r="D109" s="131" t="s">
        <v>361</v>
      </c>
      <c r="E109" s="308"/>
      <c r="F109" s="651"/>
      <c r="G109" s="651"/>
      <c r="H109" s="651"/>
      <c r="I109" s="346">
        <v>44900</v>
      </c>
      <c r="R109" s="195"/>
      <c r="S109" s="195"/>
      <c r="T109" s="195"/>
    </row>
    <row r="110" spans="1:20" s="194" customFormat="1" ht="25.5">
      <c r="A110" s="189">
        <f t="shared" si="1"/>
        <v>88</v>
      </c>
      <c r="B110" s="123"/>
      <c r="C110" s="123" t="s">
        <v>187</v>
      </c>
      <c r="D110" s="131" t="s">
        <v>361</v>
      </c>
      <c r="E110" s="308"/>
      <c r="F110" s="651"/>
      <c r="G110" s="651"/>
      <c r="H110" s="651"/>
      <c r="I110" s="346">
        <v>44900</v>
      </c>
      <c r="R110" s="195"/>
      <c r="S110" s="195"/>
      <c r="T110" s="195"/>
    </row>
    <row r="111" spans="1:20" s="194" customFormat="1" ht="25.5">
      <c r="A111" s="189">
        <f t="shared" si="1"/>
        <v>89</v>
      </c>
      <c r="B111" s="123"/>
      <c r="C111" s="123" t="s">
        <v>448</v>
      </c>
      <c r="D111" s="131" t="s">
        <v>361</v>
      </c>
      <c r="E111" s="308"/>
      <c r="F111" s="651"/>
      <c r="G111" s="651"/>
      <c r="H111" s="651"/>
      <c r="I111" s="346">
        <v>44900</v>
      </c>
      <c r="R111" s="195"/>
      <c r="S111" s="195"/>
      <c r="T111" s="195"/>
    </row>
    <row r="112" spans="1:20" s="192" customFormat="1">
      <c r="A112" s="189">
        <f t="shared" si="1"/>
        <v>90</v>
      </c>
      <c r="B112" s="190" t="s">
        <v>188</v>
      </c>
      <c r="C112" s="191"/>
      <c r="D112" s="191"/>
      <c r="E112" s="199"/>
      <c r="F112" s="654"/>
      <c r="G112" s="654"/>
      <c r="H112" s="654"/>
      <c r="I112" s="342"/>
      <c r="R112" s="193"/>
      <c r="S112" s="193"/>
      <c r="T112" s="193"/>
    </row>
    <row r="113" spans="1:20" s="194" customFormat="1" ht="38.25">
      <c r="A113" s="189">
        <f t="shared" si="1"/>
        <v>91</v>
      </c>
      <c r="B113" s="123"/>
      <c r="C113" s="123" t="s">
        <v>189</v>
      </c>
      <c r="D113" s="131" t="s">
        <v>367</v>
      </c>
      <c r="E113" s="308"/>
      <c r="F113" s="651"/>
      <c r="G113" s="651"/>
      <c r="H113" s="651"/>
      <c r="I113" s="346">
        <v>44900</v>
      </c>
      <c r="R113" s="195"/>
      <c r="S113" s="195"/>
      <c r="T113" s="195"/>
    </row>
    <row r="114" spans="1:20" s="194" customFormat="1" ht="38.25">
      <c r="A114" s="189">
        <f t="shared" si="1"/>
        <v>92</v>
      </c>
      <c r="B114" s="123"/>
      <c r="C114" s="251" t="s">
        <v>190</v>
      </c>
      <c r="D114" s="131" t="s">
        <v>371</v>
      </c>
      <c r="E114" s="308"/>
      <c r="F114" s="651"/>
      <c r="G114" s="651"/>
      <c r="H114" s="651"/>
      <c r="I114" s="346">
        <v>44900</v>
      </c>
      <c r="R114" s="195"/>
      <c r="S114" s="195"/>
      <c r="T114" s="195"/>
    </row>
    <row r="115" spans="1:20" s="194" customFormat="1">
      <c r="A115" s="189">
        <f t="shared" si="1"/>
        <v>93</v>
      </c>
      <c r="B115" s="123"/>
      <c r="C115" s="123" t="s">
        <v>191</v>
      </c>
      <c r="D115" s="131" t="s">
        <v>365</v>
      </c>
      <c r="E115" s="308"/>
      <c r="F115" s="651"/>
      <c r="G115" s="651"/>
      <c r="H115" s="651"/>
      <c r="I115" s="346">
        <v>44900</v>
      </c>
      <c r="R115" s="195"/>
      <c r="S115" s="195"/>
      <c r="T115" s="195"/>
    </row>
    <row r="116" spans="1:20" s="194" customFormat="1" ht="25.5">
      <c r="A116" s="189">
        <f t="shared" si="1"/>
        <v>94</v>
      </c>
      <c r="B116" s="123"/>
      <c r="C116" s="123" t="s">
        <v>192</v>
      </c>
      <c r="D116" s="131" t="s">
        <v>365</v>
      </c>
      <c r="E116" s="308"/>
      <c r="F116" s="651"/>
      <c r="G116" s="651"/>
      <c r="H116" s="651"/>
      <c r="I116" s="346">
        <v>44900</v>
      </c>
      <c r="R116" s="195"/>
      <c r="S116" s="195"/>
      <c r="T116" s="195"/>
    </row>
    <row r="117" spans="1:20" s="256" customFormat="1">
      <c r="A117" s="189">
        <f t="shared" si="1"/>
        <v>95</v>
      </c>
      <c r="B117" s="190" t="s">
        <v>468</v>
      </c>
      <c r="C117" s="251"/>
      <c r="D117" s="253"/>
      <c r="E117" s="428"/>
      <c r="F117" s="675"/>
      <c r="G117" s="675"/>
      <c r="H117" s="675"/>
      <c r="I117" s="342"/>
      <c r="R117" s="195"/>
      <c r="S117" s="195"/>
      <c r="T117" s="195"/>
    </row>
    <row r="118" spans="1:20" s="256" customFormat="1" ht="25.5" customHeight="1">
      <c r="A118" s="189">
        <f t="shared" si="1"/>
        <v>96</v>
      </c>
      <c r="B118" s="251"/>
      <c r="C118" s="251" t="s">
        <v>469</v>
      </c>
      <c r="D118" s="253" t="s">
        <v>365</v>
      </c>
      <c r="E118" s="309"/>
      <c r="F118" s="679"/>
      <c r="G118" s="680"/>
      <c r="H118" s="681"/>
      <c r="I118" s="346">
        <v>44900</v>
      </c>
      <c r="R118" s="195"/>
      <c r="S118" s="195"/>
      <c r="T118" s="195"/>
    </row>
    <row r="119" spans="1:20" s="256" customFormat="1" ht="51">
      <c r="A119" s="189">
        <f t="shared" si="1"/>
        <v>97</v>
      </c>
      <c r="B119" s="251"/>
      <c r="C119" s="251" t="s">
        <v>470</v>
      </c>
      <c r="D119" s="253" t="s">
        <v>365</v>
      </c>
      <c r="E119" s="309"/>
      <c r="F119" s="679"/>
      <c r="G119" s="680"/>
      <c r="H119" s="681"/>
      <c r="I119" s="346">
        <v>44900</v>
      </c>
      <c r="R119" s="195"/>
      <c r="S119" s="195"/>
      <c r="T119" s="195"/>
    </row>
    <row r="120" spans="1:20" s="256" customFormat="1" ht="38.25">
      <c r="A120" s="189">
        <f t="shared" si="1"/>
        <v>98</v>
      </c>
      <c r="B120" s="251"/>
      <c r="C120" s="251" t="s">
        <v>471</v>
      </c>
      <c r="D120" s="253" t="s">
        <v>365</v>
      </c>
      <c r="E120" s="309"/>
      <c r="F120" s="679"/>
      <c r="G120" s="680"/>
      <c r="H120" s="681"/>
      <c r="I120" s="346">
        <v>44900</v>
      </c>
      <c r="R120" s="195"/>
      <c r="S120" s="195"/>
      <c r="T120" s="195"/>
    </row>
    <row r="121" spans="1:20" s="256" customFormat="1">
      <c r="A121" s="189">
        <f t="shared" si="1"/>
        <v>99</v>
      </c>
      <c r="B121" s="251"/>
      <c r="C121" s="251"/>
      <c r="D121" s="253"/>
      <c r="E121" s="309"/>
      <c r="F121" s="651"/>
      <c r="G121" s="651"/>
      <c r="H121" s="651"/>
      <c r="I121" s="342"/>
      <c r="R121" s="195"/>
      <c r="S121" s="195"/>
      <c r="T121" s="195"/>
    </row>
    <row r="122" spans="1:20">
      <c r="A122" s="92"/>
      <c r="B122" s="93" t="s">
        <v>132</v>
      </c>
      <c r="C122" s="94"/>
      <c r="D122" s="94"/>
      <c r="E122" s="93"/>
      <c r="F122" s="676"/>
      <c r="G122" s="677"/>
      <c r="H122" s="678"/>
      <c r="I122" s="339"/>
    </row>
    <row r="123" spans="1:20">
      <c r="A123" s="674"/>
      <c r="B123" s="674"/>
      <c r="C123" s="674"/>
      <c r="D123" s="674"/>
      <c r="E123" s="674"/>
      <c r="F123" s="674"/>
      <c r="G123" s="674"/>
      <c r="H123" s="674"/>
      <c r="I123" s="674"/>
    </row>
    <row r="124" spans="1:20">
      <c r="A124" s="674"/>
      <c r="B124" s="674"/>
      <c r="C124" s="674"/>
      <c r="D124" s="674"/>
      <c r="E124" s="674"/>
      <c r="F124" s="674"/>
      <c r="G124" s="674"/>
      <c r="H124" s="674"/>
      <c r="I124" s="674"/>
    </row>
    <row r="125" spans="1:20">
      <c r="A125" s="674"/>
      <c r="B125" s="674"/>
      <c r="C125" s="674"/>
      <c r="D125" s="674"/>
      <c r="E125" s="674"/>
      <c r="F125" s="674"/>
      <c r="G125" s="674"/>
      <c r="H125" s="674"/>
      <c r="I125" s="674"/>
    </row>
    <row r="126" spans="1:20">
      <c r="A126" s="674"/>
      <c r="B126" s="674"/>
      <c r="C126" s="674"/>
      <c r="D126" s="674"/>
      <c r="E126" s="674"/>
      <c r="F126" s="674"/>
      <c r="G126" s="674"/>
      <c r="H126" s="674"/>
      <c r="I126" s="674"/>
    </row>
    <row r="127" spans="1:20">
      <c r="A127" s="674"/>
      <c r="B127" s="674"/>
      <c r="C127" s="674"/>
      <c r="D127" s="674"/>
      <c r="E127" s="674"/>
      <c r="F127" s="674"/>
      <c r="G127" s="674"/>
      <c r="H127" s="674"/>
      <c r="I127" s="674"/>
    </row>
    <row r="128" spans="1:20">
      <c r="A128" s="674"/>
      <c r="B128" s="674"/>
      <c r="C128" s="674"/>
      <c r="D128" s="674"/>
      <c r="E128" s="674"/>
      <c r="F128" s="674"/>
      <c r="G128" s="674"/>
      <c r="H128" s="674"/>
      <c r="I128" s="674"/>
    </row>
  </sheetData>
  <sheetProtection selectLockedCells="1"/>
  <mergeCells count="111">
    <mergeCell ref="A123:I128"/>
    <mergeCell ref="F117:H117"/>
    <mergeCell ref="F106:H106"/>
    <mergeCell ref="F114:H114"/>
    <mergeCell ref="F116:H116"/>
    <mergeCell ref="F108:H108"/>
    <mergeCell ref="F110:H110"/>
    <mergeCell ref="F115:H115"/>
    <mergeCell ref="F113:H113"/>
    <mergeCell ref="F112:H112"/>
    <mergeCell ref="F122:H122"/>
    <mergeCell ref="F118:H118"/>
    <mergeCell ref="F119:H119"/>
    <mergeCell ref="F120:H120"/>
    <mergeCell ref="F121:H121"/>
    <mergeCell ref="F111:H111"/>
    <mergeCell ref="F107:H107"/>
    <mergeCell ref="F109:H109"/>
    <mergeCell ref="B2:C2"/>
    <mergeCell ref="H2:I2"/>
    <mergeCell ref="D2:G2"/>
    <mergeCell ref="F83:H83"/>
    <mergeCell ref="F101:H101"/>
    <mergeCell ref="F86:H86"/>
    <mergeCell ref="F97:H97"/>
    <mergeCell ref="F81:H81"/>
    <mergeCell ref="F99:H99"/>
    <mergeCell ref="F89:H89"/>
    <mergeCell ref="F82:H82"/>
    <mergeCell ref="B10:C10"/>
    <mergeCell ref="B14:H14"/>
    <mergeCell ref="F17:H17"/>
    <mergeCell ref="F24:H24"/>
    <mergeCell ref="F85:H85"/>
    <mergeCell ref="F23:H23"/>
    <mergeCell ref="F27:H27"/>
    <mergeCell ref="F32:H32"/>
    <mergeCell ref="F74:H74"/>
    <mergeCell ref="F55:H55"/>
    <mergeCell ref="F93:H93"/>
    <mergeCell ref="F76:H76"/>
    <mergeCell ref="F77:H77"/>
    <mergeCell ref="F102:H102"/>
    <mergeCell ref="F80:H80"/>
    <mergeCell ref="F87:H87"/>
    <mergeCell ref="F100:H100"/>
    <mergeCell ref="F88:H88"/>
    <mergeCell ref="F91:H91"/>
    <mergeCell ref="F90:H90"/>
    <mergeCell ref="F92:H92"/>
    <mergeCell ref="F94:H94"/>
    <mergeCell ref="F98:H98"/>
    <mergeCell ref="F95:H95"/>
    <mergeCell ref="F96:H96"/>
    <mergeCell ref="F105:H105"/>
    <mergeCell ref="F104:H104"/>
    <mergeCell ref="F103:H103"/>
    <mergeCell ref="F84:H84"/>
    <mergeCell ref="F78:H78"/>
    <mergeCell ref="F79:H79"/>
    <mergeCell ref="F75:H75"/>
    <mergeCell ref="A4:I4"/>
    <mergeCell ref="B6:C6"/>
    <mergeCell ref="F46:H46"/>
    <mergeCell ref="F57:H57"/>
    <mergeCell ref="F63:H63"/>
    <mergeCell ref="F42:H42"/>
    <mergeCell ref="F44:H44"/>
    <mergeCell ref="F54:H54"/>
    <mergeCell ref="F50:H50"/>
    <mergeCell ref="F45:H45"/>
    <mergeCell ref="F43:H43"/>
    <mergeCell ref="F60:H60"/>
    <mergeCell ref="F58:H58"/>
    <mergeCell ref="F59:H59"/>
    <mergeCell ref="F47:H47"/>
    <mergeCell ref="F53:H53"/>
    <mergeCell ref="C16:E16"/>
    <mergeCell ref="F73:H73"/>
    <mergeCell ref="F67:H67"/>
    <mergeCell ref="F65:H65"/>
    <mergeCell ref="F71:H71"/>
    <mergeCell ref="F48:H48"/>
    <mergeCell ref="F72:H72"/>
    <mergeCell ref="F69:H69"/>
    <mergeCell ref="F70:H70"/>
    <mergeCell ref="F64:H64"/>
    <mergeCell ref="F49:H49"/>
    <mergeCell ref="F52:H52"/>
    <mergeCell ref="F61:H61"/>
    <mergeCell ref="F68:H68"/>
    <mergeCell ref="F56:H56"/>
    <mergeCell ref="F62:H62"/>
    <mergeCell ref="F66:H66"/>
    <mergeCell ref="F51:H51"/>
    <mergeCell ref="F39:H39"/>
    <mergeCell ref="F28:H28"/>
    <mergeCell ref="F29:H29"/>
    <mergeCell ref="F33:H33"/>
    <mergeCell ref="F26:H26"/>
    <mergeCell ref="F25:H25"/>
    <mergeCell ref="F31:H31"/>
    <mergeCell ref="F41:H41"/>
    <mergeCell ref="B11:C11"/>
    <mergeCell ref="F38:H38"/>
    <mergeCell ref="F34:H34"/>
    <mergeCell ref="F37:H37"/>
    <mergeCell ref="F36:H36"/>
    <mergeCell ref="F30:H30"/>
    <mergeCell ref="F35:H35"/>
    <mergeCell ref="F40:H40"/>
  </mergeCells>
  <phoneticPr fontId="8" type="noConversion"/>
  <dataValidations count="1">
    <dataValidation type="list" allowBlank="1" showInputMessage="1" showErrorMessage="1" sqref="WVM76:WVM77 WLQ76:WLQ77 JA76:JA77 SW76:SW77 ACS76:ACS77 AMO76:AMO77 AWK76:AWK77 BGG76:BGG77 BQC76:BQC77 BZY76:BZY77 CJU76:CJU77 CTQ76:CTQ77 DDM76:DDM77 DNI76:DNI77 DXE76:DXE77 EHA76:EHA77 EQW76:EQW77 FAS76:FAS77 FKO76:FKO77 FUK76:FUK77 GEG76:GEG77 GOC76:GOC77 GXY76:GXY77 HHU76:HHU77 HRQ76:HRQ77 IBM76:IBM77 ILI76:ILI77 IVE76:IVE77 JFA76:JFA77 JOW76:JOW77 JYS76:JYS77 KIO76:KIO77 KSK76:KSK77 LCG76:LCG77 LMC76:LMC77 LVY76:LVY77 MFU76:MFU77 MPQ76:MPQ77 MZM76:MZM77 NJI76:NJI77 NTE76:NTE77 ODA76:ODA77 OMW76:OMW77 OWS76:OWS77 PGO76:PGO77 PQK76:PQK77 QAG76:QAG77 QKC76:QKC77 QTY76:QTY77 RDU76:RDU77 RNQ76:RNQ77 RXM76:RXM77 SHI76:SHI77 SRE76:SRE77 TBA76:TBA77 TKW76:TKW77 TUS76:TUS77 UEO76:UEO77 UOK76:UOK77 UYG76:UYG77 VIC76:VIC77 VRY76:VRY77 WBU76:WBU77 E18:E121">
      <formula1>Resultados</formula1>
    </dataValidation>
  </dataValidations>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50"/>
  </sheetPr>
  <dimension ref="A2:AS95"/>
  <sheetViews>
    <sheetView showGridLines="0" topLeftCell="A4" workbookViewId="0">
      <selection activeCell="C6" sqref="B6:D10"/>
    </sheetView>
  </sheetViews>
  <sheetFormatPr baseColWidth="10" defaultColWidth="11.42578125" defaultRowHeight="12.75"/>
  <cols>
    <col min="1" max="1" width="9" style="223" bestFit="1" customWidth="1"/>
    <col min="2" max="2" width="3.85546875" style="223" customWidth="1"/>
    <col min="3" max="3" width="40.140625" style="223" customWidth="1"/>
    <col min="4" max="4" width="14.140625" style="223" customWidth="1"/>
    <col min="5" max="5" width="15.85546875" style="223" customWidth="1"/>
    <col min="6" max="6" width="10.140625" style="223" customWidth="1"/>
    <col min="7" max="7" width="19.5703125" style="223" customWidth="1"/>
    <col min="8" max="8" width="32.5703125" style="223" bestFit="1" customWidth="1"/>
    <col min="9" max="9" width="19" style="224" customWidth="1"/>
    <col min="10" max="16384" width="11.42578125" style="223"/>
  </cols>
  <sheetData>
    <row r="2" spans="1:20" s="14" customFormat="1" ht="57" customHeight="1">
      <c r="A2" s="12"/>
      <c r="B2" s="622"/>
      <c r="C2" s="622"/>
      <c r="D2" s="641" t="s">
        <v>573</v>
      </c>
      <c r="E2" s="642"/>
      <c r="F2" s="642"/>
      <c r="G2" s="665"/>
      <c r="H2" s="622"/>
      <c r="I2" s="622"/>
    </row>
    <row r="4" spans="1:20" s="202" customFormat="1" ht="15.75">
      <c r="A4" s="682" t="s">
        <v>576</v>
      </c>
      <c r="B4" s="683"/>
      <c r="C4" s="683"/>
      <c r="D4" s="683"/>
      <c r="E4" s="683"/>
      <c r="F4" s="683"/>
      <c r="G4" s="683"/>
      <c r="H4" s="683"/>
      <c r="I4" s="684"/>
    </row>
    <row r="5" spans="1:20" s="202" customFormat="1" ht="12">
      <c r="I5" s="203"/>
    </row>
    <row r="6" spans="1:20" s="202" customFormat="1">
      <c r="B6" s="396" t="s">
        <v>79</v>
      </c>
      <c r="C6" s="397"/>
      <c r="D6" s="398" t="str">
        <f>'Historial de Revisiones'!D4</f>
        <v>LP02</v>
      </c>
      <c r="E6" s="399"/>
      <c r="F6" s="399"/>
      <c r="G6" s="400" t="s">
        <v>451</v>
      </c>
      <c r="H6" s="387" t="str">
        <f>'Historial de Revisiones'!G4</f>
        <v>GOC-7089</v>
      </c>
      <c r="I6" s="203"/>
      <c r="K6" s="204"/>
    </row>
    <row r="7" spans="1:20" s="202" customFormat="1" ht="12" customHeight="1">
      <c r="B7" s="396" t="s">
        <v>80</v>
      </c>
      <c r="C7" s="397"/>
      <c r="D7" s="398" t="str">
        <f>'Historial de Revisiones'!D5</f>
        <v>Luis Marcilla</v>
      </c>
      <c r="E7" s="399"/>
      <c r="F7" s="399"/>
      <c r="G7" s="400" t="s">
        <v>477</v>
      </c>
      <c r="H7" s="387" t="str">
        <f>'Historial de Revisiones'!G5</f>
        <v>GOC-7092</v>
      </c>
      <c r="I7" s="203"/>
      <c r="K7" s="204"/>
    </row>
    <row r="8" spans="1:20" s="202" customFormat="1" ht="16.5" customHeight="1">
      <c r="B8" s="396" t="s">
        <v>81</v>
      </c>
      <c r="C8" s="397"/>
      <c r="D8" s="401">
        <f>'Historial de Revisiones'!D6</f>
        <v>673</v>
      </c>
      <c r="E8" s="399"/>
      <c r="F8" s="399"/>
      <c r="G8" s="400" t="s">
        <v>124</v>
      </c>
      <c r="H8" s="387">
        <f>'Historial de Revisiones'!G6</f>
        <v>0</v>
      </c>
      <c r="I8" s="203"/>
    </row>
    <row r="9" spans="1:20" s="202" customFormat="1">
      <c r="B9" s="396" t="s">
        <v>82</v>
      </c>
      <c r="C9" s="397"/>
      <c r="D9" s="402">
        <f>'Historial de Revisiones'!D7</f>
        <v>44228</v>
      </c>
      <c r="E9" s="399"/>
      <c r="F9" s="399"/>
      <c r="G9" s="400" t="s">
        <v>125</v>
      </c>
      <c r="H9" s="387" t="str">
        <f>'Historial de Revisiones'!G7</f>
        <v>Nombre desarrolllador</v>
      </c>
      <c r="I9" s="203"/>
    </row>
    <row r="10" spans="1:20" s="202" customFormat="1">
      <c r="B10" s="693" t="s">
        <v>83</v>
      </c>
      <c r="C10" s="694"/>
      <c r="D10" s="402">
        <f>'Historial de Revisiones'!D8</f>
        <v>44295</v>
      </c>
      <c r="E10" s="399"/>
      <c r="F10" s="399"/>
      <c r="G10" s="400" t="s">
        <v>126</v>
      </c>
      <c r="H10" s="387" t="str">
        <f>'Historial de Revisiones'!G8</f>
        <v>Nombre de custodio</v>
      </c>
      <c r="I10" s="203"/>
    </row>
    <row r="11" spans="1:20" s="202" customFormat="1">
      <c r="B11" s="653"/>
      <c r="C11" s="653"/>
      <c r="D11" s="395"/>
      <c r="E11" s="399"/>
      <c r="F11" s="399"/>
      <c r="G11" s="400" t="s">
        <v>193</v>
      </c>
      <c r="H11" s="387">
        <f>'Historial de Revisiones'!G9</f>
        <v>0</v>
      </c>
      <c r="I11" s="203"/>
    </row>
    <row r="12" spans="1:20" s="202" customFormat="1" ht="12">
      <c r="E12" s="225"/>
      <c r="F12" s="225"/>
      <c r="G12" s="311"/>
      <c r="H12" s="310"/>
      <c r="I12" s="203"/>
    </row>
    <row r="13" spans="1:20" s="202" customFormat="1" ht="12">
      <c r="B13" s="202" t="s">
        <v>221</v>
      </c>
      <c r="I13" s="203"/>
      <c r="R13" s="205"/>
      <c r="S13" s="205"/>
      <c r="T13" s="205"/>
    </row>
    <row r="14" spans="1:20" s="202" customFormat="1" ht="36.75" customHeight="1">
      <c r="B14" s="685" t="s">
        <v>297</v>
      </c>
      <c r="C14" s="686"/>
      <c r="D14" s="686"/>
      <c r="E14" s="686"/>
      <c r="F14" s="686"/>
      <c r="G14" s="686"/>
      <c r="H14" s="687"/>
      <c r="I14" s="203"/>
      <c r="R14" s="205"/>
      <c r="S14" s="205"/>
      <c r="T14" s="205"/>
    </row>
    <row r="15" spans="1:20" s="202" customFormat="1" ht="16.5" customHeight="1">
      <c r="B15" s="206"/>
      <c r="C15" s="206"/>
      <c r="D15" s="206"/>
      <c r="E15" s="206"/>
      <c r="F15" s="206"/>
      <c r="G15" s="206"/>
      <c r="H15" s="206"/>
      <c r="I15" s="203"/>
      <c r="R15" s="205"/>
      <c r="S15" s="205"/>
      <c r="T15" s="205"/>
    </row>
    <row r="16" spans="1:20" s="202" customFormat="1">
      <c r="B16" s="207" t="s">
        <v>386</v>
      </c>
      <c r="C16" s="688" t="s">
        <v>381</v>
      </c>
      <c r="D16" s="688"/>
      <c r="I16" s="203"/>
      <c r="R16" s="205"/>
      <c r="S16" s="205"/>
      <c r="T16" s="205"/>
    </row>
    <row r="17" spans="1:20" s="172" customFormat="1" ht="17.25" customHeight="1">
      <c r="A17" s="169" t="s">
        <v>247</v>
      </c>
      <c r="B17" s="170" t="s">
        <v>246</v>
      </c>
      <c r="C17" s="171"/>
      <c r="D17" s="169" t="s">
        <v>360</v>
      </c>
      <c r="E17" s="271" t="s">
        <v>283</v>
      </c>
      <c r="F17" s="689" t="s">
        <v>253</v>
      </c>
      <c r="G17" s="689"/>
      <c r="H17" s="689"/>
      <c r="I17" s="343" t="s">
        <v>284</v>
      </c>
      <c r="K17" s="202"/>
      <c r="L17" s="202"/>
      <c r="M17" s="202"/>
      <c r="N17" s="202"/>
      <c r="O17" s="202"/>
      <c r="P17" s="202"/>
    </row>
    <row r="18" spans="1:20" s="213" customFormat="1">
      <c r="A18" s="208">
        <f>'CHK Técnico-AS400'!A121+1</f>
        <v>100</v>
      </c>
      <c r="B18" s="209" t="s">
        <v>133</v>
      </c>
      <c r="C18" s="210"/>
      <c r="D18" s="210"/>
      <c r="E18" s="211"/>
      <c r="F18" s="691"/>
      <c r="G18" s="691"/>
      <c r="H18" s="691"/>
      <c r="I18" s="345"/>
      <c r="R18" s="214"/>
      <c r="S18" s="214"/>
      <c r="T18" s="214"/>
    </row>
    <row r="19" spans="1:20" s="215" customFormat="1" ht="25.5">
      <c r="A19" s="208">
        <f t="shared" ref="A19:A83" si="0">A18+1</f>
        <v>101</v>
      </c>
      <c r="B19" s="173"/>
      <c r="C19" s="173" t="s">
        <v>358</v>
      </c>
      <c r="D19" s="174" t="s">
        <v>361</v>
      </c>
      <c r="E19" s="312" t="s">
        <v>130</v>
      </c>
      <c r="F19" s="692"/>
      <c r="G19" s="690"/>
      <c r="H19" s="690"/>
      <c r="I19" s="346">
        <v>44900</v>
      </c>
      <c r="R19" s="216"/>
      <c r="S19" s="216"/>
      <c r="T19" s="216"/>
    </row>
    <row r="20" spans="1:20" s="215" customFormat="1" ht="25.5">
      <c r="A20" s="208">
        <f t="shared" si="0"/>
        <v>102</v>
      </c>
      <c r="B20" s="173"/>
      <c r="C20" s="173" t="s">
        <v>194</v>
      </c>
      <c r="D20" s="174" t="s">
        <v>367</v>
      </c>
      <c r="E20" s="312" t="s">
        <v>130</v>
      </c>
      <c r="F20" s="690"/>
      <c r="G20" s="690"/>
      <c r="H20" s="690"/>
      <c r="I20" s="346">
        <f>IF(NOT(ISBLANK($I$19)),$I$19,"  ")</f>
        <v>44900</v>
      </c>
      <c r="R20" s="216"/>
      <c r="S20" s="216"/>
      <c r="T20" s="216"/>
    </row>
    <row r="21" spans="1:20" s="215" customFormat="1" ht="38.25">
      <c r="A21" s="208">
        <f t="shared" si="0"/>
        <v>103</v>
      </c>
      <c r="B21" s="173"/>
      <c r="C21" s="173" t="s">
        <v>195</v>
      </c>
      <c r="D21" s="174" t="s">
        <v>361</v>
      </c>
      <c r="E21" s="312" t="s">
        <v>129</v>
      </c>
      <c r="F21" s="690"/>
      <c r="G21" s="690"/>
      <c r="H21" s="690"/>
      <c r="I21" s="346">
        <f t="shared" ref="I21:I85" si="1">IF(NOT(ISBLANK($I$19)),$I$19,"  ")</f>
        <v>44900</v>
      </c>
      <c r="R21" s="216"/>
      <c r="S21" s="216"/>
      <c r="T21" s="216"/>
    </row>
    <row r="22" spans="1:20" s="215" customFormat="1" ht="38.25">
      <c r="A22" s="208">
        <f t="shared" si="0"/>
        <v>104</v>
      </c>
      <c r="B22" s="173"/>
      <c r="C22" s="173" t="s">
        <v>196</v>
      </c>
      <c r="D22" s="174" t="s">
        <v>361</v>
      </c>
      <c r="E22" s="312" t="s">
        <v>130</v>
      </c>
      <c r="F22" s="690"/>
      <c r="G22" s="690"/>
      <c r="H22" s="690"/>
      <c r="I22" s="346">
        <f t="shared" si="1"/>
        <v>44900</v>
      </c>
      <c r="R22" s="216"/>
      <c r="S22" s="216"/>
      <c r="T22" s="216"/>
    </row>
    <row r="23" spans="1:20" s="215" customFormat="1" ht="38.25">
      <c r="A23" s="208">
        <f t="shared" si="0"/>
        <v>105</v>
      </c>
      <c r="B23" s="173"/>
      <c r="C23" s="196" t="s">
        <v>350</v>
      </c>
      <c r="D23" s="174" t="s">
        <v>367</v>
      </c>
      <c r="E23" s="312" t="s">
        <v>130</v>
      </c>
      <c r="F23" s="690"/>
      <c r="G23" s="690"/>
      <c r="H23" s="690"/>
      <c r="I23" s="346">
        <f t="shared" si="1"/>
        <v>44900</v>
      </c>
      <c r="R23" s="216"/>
      <c r="S23" s="216"/>
      <c r="T23" s="216"/>
    </row>
    <row r="24" spans="1:20" s="215" customFormat="1" ht="25.5">
      <c r="A24" s="208">
        <f t="shared" si="0"/>
        <v>106</v>
      </c>
      <c r="B24" s="173"/>
      <c r="C24" s="196" t="s">
        <v>351</v>
      </c>
      <c r="D24" s="174" t="s">
        <v>367</v>
      </c>
      <c r="E24" s="312" t="s">
        <v>130</v>
      </c>
      <c r="F24" s="690"/>
      <c r="G24" s="690"/>
      <c r="H24" s="690"/>
      <c r="I24" s="346">
        <f t="shared" si="1"/>
        <v>44900</v>
      </c>
      <c r="R24" s="216"/>
      <c r="S24" s="216"/>
      <c r="T24" s="216"/>
    </row>
    <row r="25" spans="1:20" s="215" customFormat="1" ht="25.5">
      <c r="A25" s="208">
        <f t="shared" si="0"/>
        <v>107</v>
      </c>
      <c r="B25" s="173"/>
      <c r="C25" s="259" t="s">
        <v>726</v>
      </c>
      <c r="D25" s="174" t="s">
        <v>367</v>
      </c>
      <c r="E25" s="313" t="s">
        <v>130</v>
      </c>
      <c r="F25" s="690"/>
      <c r="G25" s="690"/>
      <c r="H25" s="690"/>
      <c r="I25" s="346">
        <f t="shared" si="1"/>
        <v>44900</v>
      </c>
      <c r="R25" s="216"/>
      <c r="S25" s="216"/>
      <c r="T25" s="216"/>
    </row>
    <row r="26" spans="1:20" s="215" customFormat="1" ht="76.5">
      <c r="A26" s="208">
        <f t="shared" si="0"/>
        <v>108</v>
      </c>
      <c r="B26" s="173"/>
      <c r="C26" s="196" t="s">
        <v>421</v>
      </c>
      <c r="D26" s="174" t="s">
        <v>367</v>
      </c>
      <c r="E26" s="313" t="s">
        <v>129</v>
      </c>
      <c r="F26" s="690"/>
      <c r="G26" s="690"/>
      <c r="H26" s="690"/>
      <c r="I26" s="346">
        <f t="shared" si="1"/>
        <v>44900</v>
      </c>
      <c r="R26" s="216"/>
      <c r="S26" s="216"/>
      <c r="T26" s="216"/>
    </row>
    <row r="27" spans="1:20" s="213" customFormat="1">
      <c r="A27" s="208">
        <f t="shared" si="0"/>
        <v>109</v>
      </c>
      <c r="B27" s="209" t="s">
        <v>145</v>
      </c>
      <c r="C27" s="210"/>
      <c r="D27" s="210"/>
      <c r="E27" s="211"/>
      <c r="F27" s="691"/>
      <c r="G27" s="691"/>
      <c r="H27" s="691"/>
      <c r="I27" s="362"/>
      <c r="R27" s="214"/>
      <c r="S27" s="214"/>
      <c r="T27" s="214"/>
    </row>
    <row r="28" spans="1:20" s="215" customFormat="1" ht="38.25">
      <c r="A28" s="208">
        <f t="shared" si="0"/>
        <v>110</v>
      </c>
      <c r="B28" s="173"/>
      <c r="C28" s="173" t="s">
        <v>422</v>
      </c>
      <c r="D28" s="174" t="s">
        <v>365</v>
      </c>
      <c r="E28" s="312" t="s">
        <v>130</v>
      </c>
      <c r="F28" s="690"/>
      <c r="G28" s="690"/>
      <c r="H28" s="690"/>
      <c r="I28" s="346">
        <f t="shared" si="1"/>
        <v>44900</v>
      </c>
      <c r="R28" s="216"/>
      <c r="S28" s="216"/>
      <c r="T28" s="216"/>
    </row>
    <row r="29" spans="1:20" s="215" customFormat="1" ht="25.5">
      <c r="A29" s="208">
        <f t="shared" si="0"/>
        <v>111</v>
      </c>
      <c r="B29" s="173"/>
      <c r="C29" s="173" t="s">
        <v>423</v>
      </c>
      <c r="D29" s="174" t="s">
        <v>365</v>
      </c>
      <c r="E29" s="312" t="s">
        <v>130</v>
      </c>
      <c r="F29" s="690"/>
      <c r="G29" s="690"/>
      <c r="H29" s="690"/>
      <c r="I29" s="346">
        <f t="shared" si="1"/>
        <v>44900</v>
      </c>
      <c r="R29" s="216"/>
      <c r="S29" s="216"/>
      <c r="T29" s="216"/>
    </row>
    <row r="30" spans="1:20" s="215" customFormat="1" ht="25.5">
      <c r="A30" s="208">
        <f t="shared" si="0"/>
        <v>112</v>
      </c>
      <c r="B30" s="173"/>
      <c r="C30" s="173" t="s">
        <v>197</v>
      </c>
      <c r="D30" s="174" t="s">
        <v>365</v>
      </c>
      <c r="E30" s="312" t="s">
        <v>129</v>
      </c>
      <c r="F30" s="690"/>
      <c r="G30" s="690"/>
      <c r="H30" s="690"/>
      <c r="I30" s="346">
        <f t="shared" si="1"/>
        <v>44900</v>
      </c>
      <c r="R30" s="216"/>
      <c r="S30" s="216"/>
      <c r="T30" s="216"/>
    </row>
    <row r="31" spans="1:20" s="215" customFormat="1" ht="38.25">
      <c r="A31" s="208">
        <f t="shared" si="0"/>
        <v>113</v>
      </c>
      <c r="B31" s="173"/>
      <c r="C31" s="173" t="s">
        <v>198</v>
      </c>
      <c r="D31" s="174" t="s">
        <v>365</v>
      </c>
      <c r="E31" s="312" t="s">
        <v>129</v>
      </c>
      <c r="F31" s="690"/>
      <c r="G31" s="690"/>
      <c r="H31" s="690"/>
      <c r="I31" s="346">
        <f t="shared" si="1"/>
        <v>44900</v>
      </c>
      <c r="R31" s="216"/>
      <c r="S31" s="216"/>
      <c r="T31" s="216"/>
    </row>
    <row r="32" spans="1:20" s="215" customFormat="1" ht="38.25">
      <c r="A32" s="208">
        <f t="shared" si="0"/>
        <v>114</v>
      </c>
      <c r="B32" s="173"/>
      <c r="C32" s="173" t="s">
        <v>424</v>
      </c>
      <c r="D32" s="174" t="s">
        <v>365</v>
      </c>
      <c r="E32" s="312" t="s">
        <v>130</v>
      </c>
      <c r="F32" s="690"/>
      <c r="G32" s="690"/>
      <c r="H32" s="690"/>
      <c r="I32" s="346">
        <f t="shared" si="1"/>
        <v>44900</v>
      </c>
      <c r="R32" s="216"/>
      <c r="S32" s="216"/>
      <c r="T32" s="216"/>
    </row>
    <row r="33" spans="1:20" s="215" customFormat="1" ht="25.5">
      <c r="A33" s="208">
        <f t="shared" si="0"/>
        <v>115</v>
      </c>
      <c r="B33" s="173"/>
      <c r="C33" s="501" t="s">
        <v>814</v>
      </c>
      <c r="D33" s="174" t="s">
        <v>365</v>
      </c>
      <c r="E33" s="312" t="s">
        <v>129</v>
      </c>
      <c r="F33" s="690"/>
      <c r="G33" s="690"/>
      <c r="H33" s="690"/>
      <c r="I33" s="346">
        <f t="shared" si="1"/>
        <v>44900</v>
      </c>
      <c r="R33" s="216"/>
      <c r="S33" s="216"/>
      <c r="T33" s="216"/>
    </row>
    <row r="34" spans="1:20" s="215" customFormat="1" ht="38.25">
      <c r="A34" s="208">
        <f t="shared" si="0"/>
        <v>116</v>
      </c>
      <c r="B34" s="175"/>
      <c r="C34" s="196" t="s">
        <v>425</v>
      </c>
      <c r="D34" s="196" t="s">
        <v>365</v>
      </c>
      <c r="E34" s="313" t="s">
        <v>130</v>
      </c>
      <c r="F34" s="690"/>
      <c r="G34" s="690"/>
      <c r="H34" s="690"/>
      <c r="I34" s="346">
        <f t="shared" si="1"/>
        <v>44900</v>
      </c>
      <c r="R34" s="216"/>
      <c r="S34" s="216"/>
      <c r="T34" s="216"/>
    </row>
    <row r="35" spans="1:20" s="213" customFormat="1">
      <c r="A35" s="208">
        <f t="shared" si="0"/>
        <v>117</v>
      </c>
      <c r="B35" s="209" t="s">
        <v>200</v>
      </c>
      <c r="C35" s="210"/>
      <c r="D35" s="210"/>
      <c r="E35" s="212"/>
      <c r="F35" s="691"/>
      <c r="G35" s="691"/>
      <c r="H35" s="691"/>
      <c r="I35" s="345"/>
      <c r="R35" s="214"/>
      <c r="S35" s="214"/>
      <c r="T35" s="214"/>
    </row>
    <row r="36" spans="1:20" s="215" customFormat="1" ht="25.5">
      <c r="A36" s="208">
        <f t="shared" si="0"/>
        <v>118</v>
      </c>
      <c r="B36" s="173"/>
      <c r="C36" s="173" t="s">
        <v>201</v>
      </c>
      <c r="D36" s="174" t="s">
        <v>365</v>
      </c>
      <c r="E36" s="312" t="s">
        <v>130</v>
      </c>
      <c r="F36" s="690"/>
      <c r="G36" s="690"/>
      <c r="H36" s="690"/>
      <c r="I36" s="346">
        <f t="shared" si="1"/>
        <v>44900</v>
      </c>
      <c r="R36" s="216"/>
      <c r="S36" s="216"/>
      <c r="T36" s="216"/>
    </row>
    <row r="37" spans="1:20" s="215" customFormat="1" ht="25.5">
      <c r="A37" s="208">
        <f t="shared" si="0"/>
        <v>119</v>
      </c>
      <c r="B37" s="173"/>
      <c r="C37" s="173" t="s">
        <v>202</v>
      </c>
      <c r="D37" s="174" t="s">
        <v>365</v>
      </c>
      <c r="E37" s="312" t="s">
        <v>130</v>
      </c>
      <c r="F37" s="690"/>
      <c r="G37" s="690"/>
      <c r="H37" s="690"/>
      <c r="I37" s="346">
        <f t="shared" si="1"/>
        <v>44900</v>
      </c>
      <c r="R37" s="216"/>
      <c r="S37" s="216"/>
      <c r="T37" s="216"/>
    </row>
    <row r="38" spans="1:20" s="215" customFormat="1" ht="25.5">
      <c r="A38" s="208">
        <f t="shared" si="0"/>
        <v>120</v>
      </c>
      <c r="B38" s="173"/>
      <c r="C38" s="173" t="s">
        <v>203</v>
      </c>
      <c r="D38" s="174" t="s">
        <v>365</v>
      </c>
      <c r="E38" s="312" t="s">
        <v>130</v>
      </c>
      <c r="F38" s="690"/>
      <c r="G38" s="690"/>
      <c r="H38" s="690"/>
      <c r="I38" s="346">
        <f t="shared" si="1"/>
        <v>44900</v>
      </c>
      <c r="R38" s="216"/>
      <c r="S38" s="216"/>
      <c r="T38" s="216"/>
    </row>
    <row r="39" spans="1:20" s="215" customFormat="1" ht="51">
      <c r="A39" s="208">
        <f t="shared" si="0"/>
        <v>121</v>
      </c>
      <c r="B39" s="173"/>
      <c r="C39" s="173" t="s">
        <v>426</v>
      </c>
      <c r="D39" s="174" t="s">
        <v>365</v>
      </c>
      <c r="E39" s="312" t="s">
        <v>130</v>
      </c>
      <c r="F39" s="690"/>
      <c r="G39" s="690"/>
      <c r="H39" s="690"/>
      <c r="I39" s="346">
        <f t="shared" si="1"/>
        <v>44900</v>
      </c>
      <c r="R39" s="216"/>
      <c r="S39" s="216"/>
      <c r="T39" s="216"/>
    </row>
    <row r="40" spans="1:20" s="215" customFormat="1" ht="25.5">
      <c r="A40" s="208">
        <f t="shared" si="0"/>
        <v>122</v>
      </c>
      <c r="B40" s="173"/>
      <c r="C40" s="173" t="s">
        <v>427</v>
      </c>
      <c r="D40" s="174" t="s">
        <v>365</v>
      </c>
      <c r="E40" s="312" t="s">
        <v>130</v>
      </c>
      <c r="F40" s="690"/>
      <c r="G40" s="690"/>
      <c r="H40" s="690"/>
      <c r="I40" s="346">
        <f t="shared" si="1"/>
        <v>44900</v>
      </c>
      <c r="R40" s="216"/>
      <c r="S40" s="216"/>
      <c r="T40" s="216"/>
    </row>
    <row r="41" spans="1:20" s="215" customFormat="1" ht="38.25">
      <c r="A41" s="208">
        <f t="shared" si="0"/>
        <v>123</v>
      </c>
      <c r="B41" s="173"/>
      <c r="C41" s="173" t="s">
        <v>428</v>
      </c>
      <c r="D41" s="174" t="s">
        <v>365</v>
      </c>
      <c r="E41" s="312" t="s">
        <v>130</v>
      </c>
      <c r="F41" s="690"/>
      <c r="G41" s="690"/>
      <c r="H41" s="690"/>
      <c r="I41" s="346">
        <f t="shared" si="1"/>
        <v>44900</v>
      </c>
      <c r="R41" s="216"/>
      <c r="S41" s="216"/>
      <c r="T41" s="216"/>
    </row>
    <row r="42" spans="1:20" s="215" customFormat="1" ht="25.5">
      <c r="A42" s="208">
        <f t="shared" si="0"/>
        <v>124</v>
      </c>
      <c r="B42" s="175"/>
      <c r="C42" s="173" t="s">
        <v>429</v>
      </c>
      <c r="D42" s="175" t="s">
        <v>365</v>
      </c>
      <c r="E42" s="312" t="s">
        <v>129</v>
      </c>
      <c r="F42" s="690"/>
      <c r="G42" s="690"/>
      <c r="H42" s="690"/>
      <c r="I42" s="346">
        <f t="shared" si="1"/>
        <v>44900</v>
      </c>
      <c r="R42" s="216"/>
      <c r="S42" s="216"/>
      <c r="T42" s="216"/>
    </row>
    <row r="43" spans="1:20" s="213" customFormat="1">
      <c r="A43" s="208">
        <f t="shared" si="0"/>
        <v>125</v>
      </c>
      <c r="B43" s="209" t="s">
        <v>430</v>
      </c>
      <c r="C43" s="210"/>
      <c r="D43" s="210"/>
      <c r="E43" s="212"/>
      <c r="F43" s="691"/>
      <c r="G43" s="691"/>
      <c r="H43" s="691"/>
      <c r="I43" s="345"/>
      <c r="R43" s="214"/>
      <c r="S43" s="214"/>
      <c r="T43" s="214"/>
    </row>
    <row r="44" spans="1:20" s="215" customFormat="1" ht="51">
      <c r="A44" s="208">
        <f t="shared" si="0"/>
        <v>126</v>
      </c>
      <c r="B44" s="173"/>
      <c r="C44" s="173" t="s">
        <v>431</v>
      </c>
      <c r="D44" s="174" t="s">
        <v>365</v>
      </c>
      <c r="E44" s="312" t="s">
        <v>130</v>
      </c>
      <c r="F44" s="690"/>
      <c r="G44" s="690"/>
      <c r="H44" s="690"/>
      <c r="I44" s="346">
        <f t="shared" si="1"/>
        <v>44900</v>
      </c>
      <c r="R44" s="216"/>
      <c r="S44" s="216"/>
      <c r="T44" s="216"/>
    </row>
    <row r="45" spans="1:20" s="215" customFormat="1" ht="25.5">
      <c r="A45" s="208">
        <f t="shared" si="0"/>
        <v>127</v>
      </c>
      <c r="B45" s="173"/>
      <c r="C45" s="173" t="s">
        <v>204</v>
      </c>
      <c r="D45" s="174" t="s">
        <v>365</v>
      </c>
      <c r="E45" s="312" t="s">
        <v>130</v>
      </c>
      <c r="F45" s="690"/>
      <c r="G45" s="690"/>
      <c r="H45" s="690"/>
      <c r="I45" s="346">
        <f t="shared" si="1"/>
        <v>44900</v>
      </c>
      <c r="R45" s="216"/>
      <c r="S45" s="216"/>
      <c r="T45" s="216"/>
    </row>
    <row r="46" spans="1:20" s="215" customFormat="1" ht="25.5">
      <c r="A46" s="208">
        <f t="shared" si="0"/>
        <v>128</v>
      </c>
      <c r="B46" s="173"/>
      <c r="C46" s="173" t="s">
        <v>432</v>
      </c>
      <c r="D46" s="174" t="s">
        <v>365</v>
      </c>
      <c r="E46" s="312" t="s">
        <v>129</v>
      </c>
      <c r="F46" s="690"/>
      <c r="G46" s="690"/>
      <c r="H46" s="690"/>
      <c r="I46" s="346">
        <f t="shared" si="1"/>
        <v>44900</v>
      </c>
      <c r="R46" s="216"/>
      <c r="S46" s="216"/>
      <c r="T46" s="216"/>
    </row>
    <row r="47" spans="1:20" s="215" customFormat="1" ht="25.5">
      <c r="A47" s="208">
        <f t="shared" si="0"/>
        <v>129</v>
      </c>
      <c r="B47" s="173"/>
      <c r="C47" s="173" t="s">
        <v>433</v>
      </c>
      <c r="D47" s="174" t="s">
        <v>365</v>
      </c>
      <c r="E47" s="312" t="s">
        <v>129</v>
      </c>
      <c r="F47" s="690"/>
      <c r="G47" s="690"/>
      <c r="H47" s="690"/>
      <c r="I47" s="346">
        <f t="shared" si="1"/>
        <v>44900</v>
      </c>
      <c r="R47" s="216"/>
      <c r="S47" s="216"/>
      <c r="T47" s="216"/>
    </row>
    <row r="48" spans="1:20" s="215" customFormat="1" ht="25.5">
      <c r="A48" s="208">
        <f t="shared" si="0"/>
        <v>130</v>
      </c>
      <c r="B48" s="173"/>
      <c r="C48" s="173" t="s">
        <v>205</v>
      </c>
      <c r="D48" s="174" t="s">
        <v>365</v>
      </c>
      <c r="E48" s="312" t="s">
        <v>130</v>
      </c>
      <c r="F48" s="690"/>
      <c r="G48" s="690"/>
      <c r="H48" s="690"/>
      <c r="I48" s="346">
        <f t="shared" si="1"/>
        <v>44900</v>
      </c>
      <c r="R48" s="216"/>
      <c r="S48" s="216"/>
      <c r="T48" s="216"/>
    </row>
    <row r="49" spans="1:20" s="215" customFormat="1" ht="25.5">
      <c r="A49" s="208">
        <f t="shared" si="0"/>
        <v>131</v>
      </c>
      <c r="B49" s="173"/>
      <c r="C49" s="173" t="s">
        <v>434</v>
      </c>
      <c r="D49" s="174" t="s">
        <v>365</v>
      </c>
      <c r="E49" s="312" t="s">
        <v>129</v>
      </c>
      <c r="F49" s="690"/>
      <c r="G49" s="690"/>
      <c r="H49" s="690"/>
      <c r="I49" s="346">
        <f t="shared" si="1"/>
        <v>44900</v>
      </c>
      <c r="R49" s="216"/>
      <c r="S49" s="216"/>
      <c r="T49" s="216"/>
    </row>
    <row r="50" spans="1:20" s="215" customFormat="1" ht="38.25">
      <c r="A50" s="208">
        <f t="shared" si="0"/>
        <v>132</v>
      </c>
      <c r="B50" s="173"/>
      <c r="C50" s="173" t="s">
        <v>206</v>
      </c>
      <c r="D50" s="174" t="s">
        <v>365</v>
      </c>
      <c r="E50" s="312" t="s">
        <v>130</v>
      </c>
      <c r="F50" s="690"/>
      <c r="G50" s="690"/>
      <c r="H50" s="690"/>
      <c r="I50" s="346">
        <f t="shared" si="1"/>
        <v>44900</v>
      </c>
      <c r="R50" s="216"/>
      <c r="S50" s="216"/>
      <c r="T50" s="216"/>
    </row>
    <row r="51" spans="1:20" s="215" customFormat="1" ht="38.25">
      <c r="A51" s="208">
        <f t="shared" si="0"/>
        <v>133</v>
      </c>
      <c r="B51" s="173"/>
      <c r="C51" s="173" t="s">
        <v>207</v>
      </c>
      <c r="D51" s="174" t="s">
        <v>365</v>
      </c>
      <c r="E51" s="312" t="s">
        <v>129</v>
      </c>
      <c r="F51" s="690"/>
      <c r="G51" s="690"/>
      <c r="H51" s="690"/>
      <c r="I51" s="346">
        <f t="shared" si="1"/>
        <v>44900</v>
      </c>
      <c r="R51" s="216"/>
      <c r="S51" s="216"/>
      <c r="T51" s="216"/>
    </row>
    <row r="52" spans="1:20" s="215" customFormat="1" ht="51">
      <c r="A52" s="208">
        <f t="shared" si="0"/>
        <v>134</v>
      </c>
      <c r="B52" s="173"/>
      <c r="C52" s="173" t="s">
        <v>435</v>
      </c>
      <c r="D52" s="174" t="s">
        <v>365</v>
      </c>
      <c r="E52" s="312" t="s">
        <v>129</v>
      </c>
      <c r="F52" s="690"/>
      <c r="G52" s="690"/>
      <c r="H52" s="690"/>
      <c r="I52" s="346">
        <f t="shared" si="1"/>
        <v>44900</v>
      </c>
      <c r="R52" s="216"/>
      <c r="S52" s="216"/>
      <c r="T52" s="216"/>
    </row>
    <row r="53" spans="1:20" s="215" customFormat="1" ht="25.5">
      <c r="A53" s="208">
        <f t="shared" si="0"/>
        <v>135</v>
      </c>
      <c r="B53" s="173"/>
      <c r="C53" s="173" t="s">
        <v>436</v>
      </c>
      <c r="D53" s="174" t="s">
        <v>365</v>
      </c>
      <c r="E53" s="312" t="s">
        <v>130</v>
      </c>
      <c r="F53" s="690"/>
      <c r="G53" s="690"/>
      <c r="H53" s="690"/>
      <c r="I53" s="346">
        <f t="shared" si="1"/>
        <v>44900</v>
      </c>
      <c r="R53" s="216"/>
      <c r="S53" s="216"/>
      <c r="T53" s="216"/>
    </row>
    <row r="54" spans="1:20" s="215" customFormat="1" ht="25.5">
      <c r="A54" s="208">
        <f t="shared" si="0"/>
        <v>136</v>
      </c>
      <c r="B54" s="173"/>
      <c r="C54" s="173" t="s">
        <v>437</v>
      </c>
      <c r="D54" s="174" t="s">
        <v>365</v>
      </c>
      <c r="E54" s="312" t="s">
        <v>130</v>
      </c>
      <c r="F54" s="690"/>
      <c r="G54" s="690"/>
      <c r="H54" s="690"/>
      <c r="I54" s="346">
        <f t="shared" si="1"/>
        <v>44900</v>
      </c>
      <c r="R54" s="216"/>
      <c r="S54" s="216"/>
      <c r="T54" s="216"/>
    </row>
    <row r="55" spans="1:20" s="215" customFormat="1" ht="38.25">
      <c r="A55" s="208">
        <f t="shared" si="0"/>
        <v>137</v>
      </c>
      <c r="B55" s="173"/>
      <c r="C55" s="173" t="s">
        <v>208</v>
      </c>
      <c r="D55" s="174" t="s">
        <v>365</v>
      </c>
      <c r="E55" s="312" t="s">
        <v>129</v>
      </c>
      <c r="F55" s="690"/>
      <c r="G55" s="690"/>
      <c r="H55" s="690"/>
      <c r="I55" s="346">
        <f t="shared" si="1"/>
        <v>44900</v>
      </c>
      <c r="R55" s="216"/>
      <c r="S55" s="216"/>
      <c r="T55" s="216"/>
    </row>
    <row r="56" spans="1:20" s="215" customFormat="1" ht="38.25">
      <c r="A56" s="208">
        <f t="shared" si="0"/>
        <v>138</v>
      </c>
      <c r="B56" s="175"/>
      <c r="C56" s="196" t="s">
        <v>438</v>
      </c>
      <c r="D56" s="196" t="s">
        <v>365</v>
      </c>
      <c r="E56" s="313" t="s">
        <v>130</v>
      </c>
      <c r="F56" s="690"/>
      <c r="G56" s="690"/>
      <c r="H56" s="690"/>
      <c r="I56" s="346">
        <f t="shared" si="1"/>
        <v>44900</v>
      </c>
      <c r="R56" s="216"/>
      <c r="S56" s="216"/>
      <c r="T56" s="216"/>
    </row>
    <row r="57" spans="1:20" s="260" customFormat="1" ht="25.5">
      <c r="A57" s="257">
        <f t="shared" si="0"/>
        <v>139</v>
      </c>
      <c r="B57" s="258"/>
      <c r="C57" s="259" t="s">
        <v>473</v>
      </c>
      <c r="D57" s="259" t="s">
        <v>66</v>
      </c>
      <c r="E57" s="314" t="s">
        <v>129</v>
      </c>
      <c r="F57" s="690"/>
      <c r="G57" s="690"/>
      <c r="H57" s="690"/>
      <c r="I57" s="346">
        <f t="shared" si="1"/>
        <v>44900</v>
      </c>
      <c r="R57" s="216"/>
      <c r="S57" s="216"/>
      <c r="T57" s="216"/>
    </row>
    <row r="58" spans="1:20" s="213" customFormat="1">
      <c r="A58" s="208">
        <f t="shared" si="0"/>
        <v>140</v>
      </c>
      <c r="B58" s="209" t="s">
        <v>209</v>
      </c>
      <c r="C58" s="210"/>
      <c r="D58" s="210"/>
      <c r="E58" s="212"/>
      <c r="F58" s="691"/>
      <c r="G58" s="691"/>
      <c r="H58" s="691"/>
      <c r="I58" s="345"/>
      <c r="R58" s="214"/>
      <c r="S58" s="214"/>
      <c r="T58" s="214"/>
    </row>
    <row r="59" spans="1:20" s="215" customFormat="1" ht="25.5">
      <c r="A59" s="208">
        <f t="shared" si="0"/>
        <v>141</v>
      </c>
      <c r="B59" s="173"/>
      <c r="C59" s="173" t="s">
        <v>210</v>
      </c>
      <c r="D59" s="174" t="s">
        <v>365</v>
      </c>
      <c r="E59" s="312" t="s">
        <v>129</v>
      </c>
      <c r="F59" s="690"/>
      <c r="G59" s="690"/>
      <c r="H59" s="690"/>
      <c r="I59" s="346">
        <f t="shared" si="1"/>
        <v>44900</v>
      </c>
      <c r="R59" s="216"/>
      <c r="S59" s="216"/>
      <c r="T59" s="216"/>
    </row>
    <row r="60" spans="1:20" s="213" customFormat="1">
      <c r="A60" s="208">
        <f t="shared" si="0"/>
        <v>142</v>
      </c>
      <c r="B60" s="209" t="s">
        <v>179</v>
      </c>
      <c r="C60" s="210"/>
      <c r="D60" s="210"/>
      <c r="E60" s="212"/>
      <c r="F60" s="691"/>
      <c r="G60" s="691"/>
      <c r="H60" s="691"/>
      <c r="I60" s="345"/>
      <c r="R60" s="214"/>
      <c r="S60" s="214"/>
      <c r="T60" s="214"/>
    </row>
    <row r="61" spans="1:20" s="215" customFormat="1" ht="25.5">
      <c r="A61" s="208">
        <f t="shared" si="0"/>
        <v>143</v>
      </c>
      <c r="B61" s="173"/>
      <c r="C61" s="173" t="s">
        <v>211</v>
      </c>
      <c r="D61" s="174" t="s">
        <v>365</v>
      </c>
      <c r="E61" s="312" t="s">
        <v>129</v>
      </c>
      <c r="F61" s="690"/>
      <c r="G61" s="690"/>
      <c r="H61" s="690"/>
      <c r="I61" s="346">
        <f t="shared" si="1"/>
        <v>44900</v>
      </c>
      <c r="R61" s="216"/>
      <c r="S61" s="216"/>
      <c r="T61" s="216"/>
    </row>
    <row r="62" spans="1:20" s="215" customFormat="1" ht="25.5">
      <c r="A62" s="208">
        <f t="shared" si="0"/>
        <v>144</v>
      </c>
      <c r="B62" s="173"/>
      <c r="C62" s="173" t="s">
        <v>212</v>
      </c>
      <c r="D62" s="174" t="s">
        <v>365</v>
      </c>
      <c r="E62" s="312" t="s">
        <v>130</v>
      </c>
      <c r="F62" s="690"/>
      <c r="G62" s="690"/>
      <c r="H62" s="690"/>
      <c r="I62" s="346">
        <f t="shared" si="1"/>
        <v>44900</v>
      </c>
      <c r="R62" s="216"/>
      <c r="S62" s="216"/>
      <c r="T62" s="216"/>
    </row>
    <row r="63" spans="1:20" s="215" customFormat="1" ht="25.5">
      <c r="A63" s="208">
        <f t="shared" si="0"/>
        <v>145</v>
      </c>
      <c r="B63" s="173"/>
      <c r="C63" s="173" t="s">
        <v>213</v>
      </c>
      <c r="D63" s="174" t="s">
        <v>365</v>
      </c>
      <c r="E63" s="312" t="s">
        <v>130</v>
      </c>
      <c r="F63" s="690"/>
      <c r="G63" s="690"/>
      <c r="H63" s="690"/>
      <c r="I63" s="346">
        <f t="shared" si="1"/>
        <v>44900</v>
      </c>
      <c r="R63" s="216"/>
      <c r="S63" s="216"/>
      <c r="T63" s="216"/>
    </row>
    <row r="64" spans="1:20" s="213" customFormat="1">
      <c r="A64" s="208">
        <f t="shared" si="0"/>
        <v>146</v>
      </c>
      <c r="B64" s="209" t="s">
        <v>185</v>
      </c>
      <c r="C64" s="210"/>
      <c r="D64" s="210"/>
      <c r="E64" s="212"/>
      <c r="F64" s="691"/>
      <c r="G64" s="691"/>
      <c r="H64" s="691"/>
      <c r="I64" s="345"/>
      <c r="R64" s="214"/>
      <c r="S64" s="214"/>
      <c r="T64" s="214"/>
    </row>
    <row r="65" spans="1:45" s="215" customFormat="1" ht="25.5">
      <c r="A65" s="208">
        <f t="shared" si="0"/>
        <v>147</v>
      </c>
      <c r="B65" s="173"/>
      <c r="C65" s="173" t="s">
        <v>215</v>
      </c>
      <c r="D65" s="174" t="s">
        <v>361</v>
      </c>
      <c r="E65" s="312" t="s">
        <v>130</v>
      </c>
      <c r="F65" s="690"/>
      <c r="G65" s="690"/>
      <c r="H65" s="690"/>
      <c r="I65" s="346">
        <f t="shared" si="1"/>
        <v>44900</v>
      </c>
      <c r="R65" s="216"/>
      <c r="S65" s="216"/>
      <c r="T65" s="216"/>
    </row>
    <row r="66" spans="1:45" s="215" customFormat="1" ht="38.25">
      <c r="A66" s="208">
        <f t="shared" si="0"/>
        <v>148</v>
      </c>
      <c r="B66" s="173"/>
      <c r="C66" s="173" t="s">
        <v>216</v>
      </c>
      <c r="D66" s="174" t="s">
        <v>367</v>
      </c>
      <c r="E66" s="312" t="s">
        <v>130</v>
      </c>
      <c r="F66" s="690"/>
      <c r="G66" s="690"/>
      <c r="H66" s="690"/>
      <c r="I66" s="346">
        <f t="shared" si="1"/>
        <v>44900</v>
      </c>
      <c r="R66" s="216"/>
      <c r="S66" s="216"/>
      <c r="T66" s="216"/>
    </row>
    <row r="67" spans="1:45" s="215" customFormat="1" ht="38.25">
      <c r="A67" s="208">
        <f t="shared" si="0"/>
        <v>149</v>
      </c>
      <c r="B67" s="173"/>
      <c r="C67" s="173" t="s">
        <v>439</v>
      </c>
      <c r="D67" s="174" t="s">
        <v>365</v>
      </c>
      <c r="E67" s="312" t="s">
        <v>130</v>
      </c>
      <c r="F67" s="690"/>
      <c r="G67" s="690"/>
      <c r="H67" s="690"/>
      <c r="I67" s="346">
        <f t="shared" si="1"/>
        <v>44900</v>
      </c>
      <c r="R67" s="216"/>
      <c r="S67" s="216"/>
      <c r="T67" s="216"/>
    </row>
    <row r="68" spans="1:45" s="215" customFormat="1" ht="25.5">
      <c r="A68" s="208">
        <f t="shared" si="0"/>
        <v>150</v>
      </c>
      <c r="B68" s="173"/>
      <c r="C68" s="173" t="s">
        <v>217</v>
      </c>
      <c r="D68" s="174" t="s">
        <v>365</v>
      </c>
      <c r="E68" s="312" t="s">
        <v>129</v>
      </c>
      <c r="F68" s="690"/>
      <c r="G68" s="690"/>
      <c r="H68" s="690"/>
      <c r="I68" s="346">
        <f t="shared" si="1"/>
        <v>44900</v>
      </c>
      <c r="R68" s="216"/>
      <c r="S68" s="216"/>
      <c r="T68" s="216"/>
    </row>
    <row r="69" spans="1:45" s="215" customFormat="1" ht="25.5">
      <c r="A69" s="208">
        <f t="shared" si="0"/>
        <v>151</v>
      </c>
      <c r="B69" s="173"/>
      <c r="C69" s="173" t="s">
        <v>218</v>
      </c>
      <c r="D69" s="174" t="s">
        <v>367</v>
      </c>
      <c r="E69" s="312" t="s">
        <v>130</v>
      </c>
      <c r="F69" s="690"/>
      <c r="G69" s="690"/>
      <c r="H69" s="690"/>
      <c r="I69" s="346">
        <f t="shared" si="1"/>
        <v>44900</v>
      </c>
      <c r="R69" s="216"/>
      <c r="S69" s="216"/>
      <c r="T69" s="216"/>
    </row>
    <row r="70" spans="1:45" s="215" customFormat="1" ht="38.25">
      <c r="A70" s="208">
        <f t="shared" si="0"/>
        <v>152</v>
      </c>
      <c r="B70" s="173"/>
      <c r="C70" s="173" t="s">
        <v>186</v>
      </c>
      <c r="D70" s="174" t="s">
        <v>361</v>
      </c>
      <c r="E70" s="312" t="s">
        <v>130</v>
      </c>
      <c r="F70" s="690"/>
      <c r="G70" s="690"/>
      <c r="H70" s="690"/>
      <c r="I70" s="346">
        <f t="shared" si="1"/>
        <v>44900</v>
      </c>
      <c r="R70" s="216"/>
      <c r="S70" s="216"/>
      <c r="T70" s="216"/>
    </row>
    <row r="71" spans="1:45" s="215" customFormat="1" ht="25.5">
      <c r="A71" s="208">
        <f t="shared" si="0"/>
        <v>153</v>
      </c>
      <c r="B71" s="173"/>
      <c r="C71" s="173" t="s">
        <v>219</v>
      </c>
      <c r="D71" s="174" t="s">
        <v>361</v>
      </c>
      <c r="E71" s="312" t="s">
        <v>130</v>
      </c>
      <c r="F71" s="690"/>
      <c r="G71" s="690"/>
      <c r="H71" s="690"/>
      <c r="I71" s="346">
        <f t="shared" si="1"/>
        <v>44900</v>
      </c>
      <c r="R71" s="216"/>
      <c r="S71" s="216"/>
      <c r="T71" s="216"/>
    </row>
    <row r="72" spans="1:45" s="213" customFormat="1">
      <c r="A72" s="208">
        <f t="shared" si="0"/>
        <v>154</v>
      </c>
      <c r="B72" s="209" t="s">
        <v>220</v>
      </c>
      <c r="C72" s="210"/>
      <c r="D72" s="210"/>
      <c r="E72" s="212"/>
      <c r="F72" s="691"/>
      <c r="G72" s="691"/>
      <c r="H72" s="691"/>
      <c r="I72" s="345"/>
      <c r="R72" s="214"/>
      <c r="S72" s="214"/>
      <c r="T72" s="214"/>
    </row>
    <row r="73" spans="1:45" s="215" customFormat="1" ht="25.5">
      <c r="A73" s="208">
        <f t="shared" si="0"/>
        <v>155</v>
      </c>
      <c r="B73" s="173"/>
      <c r="C73" s="173" t="s">
        <v>189</v>
      </c>
      <c r="D73" s="174" t="s">
        <v>367</v>
      </c>
      <c r="E73" s="312" t="s">
        <v>129</v>
      </c>
      <c r="F73" s="690"/>
      <c r="G73" s="690"/>
      <c r="H73" s="690"/>
      <c r="I73" s="346">
        <f t="shared" si="1"/>
        <v>44900</v>
      </c>
      <c r="R73" s="216"/>
      <c r="S73" s="216"/>
      <c r="T73" s="216"/>
    </row>
    <row r="74" spans="1:45" s="215" customFormat="1" ht="38.25">
      <c r="A74" s="208">
        <f t="shared" si="0"/>
        <v>156</v>
      </c>
      <c r="B74" s="173"/>
      <c r="C74" s="173" t="s">
        <v>190</v>
      </c>
      <c r="D74" s="174" t="s">
        <v>371</v>
      </c>
      <c r="E74" s="312" t="s">
        <v>129</v>
      </c>
      <c r="F74" s="690"/>
      <c r="G74" s="690"/>
      <c r="H74" s="690"/>
      <c r="I74" s="346">
        <f t="shared" si="1"/>
        <v>44900</v>
      </c>
      <c r="R74" s="216"/>
      <c r="S74" s="216"/>
      <c r="T74" s="216"/>
    </row>
    <row r="75" spans="1:45" s="215" customFormat="1" ht="25.5">
      <c r="A75" s="208">
        <f t="shared" si="0"/>
        <v>157</v>
      </c>
      <c r="B75" s="173"/>
      <c r="C75" s="173" t="s">
        <v>191</v>
      </c>
      <c r="D75" s="174" t="s">
        <v>365</v>
      </c>
      <c r="E75" s="312" t="s">
        <v>130</v>
      </c>
      <c r="F75" s="690"/>
      <c r="G75" s="690"/>
      <c r="H75" s="690"/>
      <c r="I75" s="346">
        <f t="shared" si="1"/>
        <v>44900</v>
      </c>
      <c r="R75" s="216"/>
      <c r="S75" s="216"/>
      <c r="T75" s="216"/>
    </row>
    <row r="76" spans="1:45" s="215" customFormat="1" ht="25.5">
      <c r="A76" s="208">
        <f t="shared" si="0"/>
        <v>158</v>
      </c>
      <c r="B76" s="176"/>
      <c r="C76" s="176" t="s">
        <v>192</v>
      </c>
      <c r="D76" s="174" t="s">
        <v>365</v>
      </c>
      <c r="E76" s="315" t="s">
        <v>130</v>
      </c>
      <c r="F76" s="690"/>
      <c r="G76" s="690"/>
      <c r="H76" s="690"/>
      <c r="I76" s="346">
        <f t="shared" si="1"/>
        <v>44900</v>
      </c>
      <c r="R76" s="216"/>
      <c r="S76" s="216"/>
      <c r="T76" s="216"/>
    </row>
    <row r="77" spans="1:45" s="219" customFormat="1">
      <c r="A77" s="208">
        <f t="shared" si="0"/>
        <v>159</v>
      </c>
      <c r="B77" s="179" t="s">
        <v>353</v>
      </c>
      <c r="C77" s="218"/>
      <c r="D77" s="218"/>
      <c r="E77" s="210"/>
      <c r="F77" s="696"/>
      <c r="G77" s="697"/>
      <c r="H77" s="698"/>
      <c r="I77" s="347"/>
      <c r="R77" s="220"/>
      <c r="S77" s="220"/>
      <c r="T77" s="220"/>
    </row>
    <row r="78" spans="1:45" s="219" customFormat="1" ht="25.5">
      <c r="A78" s="208">
        <f t="shared" si="0"/>
        <v>160</v>
      </c>
      <c r="B78" s="177"/>
      <c r="C78" s="259" t="s">
        <v>729</v>
      </c>
      <c r="D78" s="221" t="s">
        <v>365</v>
      </c>
      <c r="E78" s="316" t="s">
        <v>130</v>
      </c>
      <c r="F78" s="690"/>
      <c r="G78" s="690"/>
      <c r="H78" s="690"/>
      <c r="I78" s="346">
        <f t="shared" si="1"/>
        <v>44900</v>
      </c>
      <c r="R78" s="220"/>
      <c r="S78" s="220"/>
      <c r="T78" s="220"/>
    </row>
    <row r="79" spans="1:45" s="219" customFormat="1" ht="25.5">
      <c r="A79" s="208">
        <f t="shared" si="0"/>
        <v>161</v>
      </c>
      <c r="B79" s="177"/>
      <c r="C79" s="259" t="s">
        <v>730</v>
      </c>
      <c r="D79" s="221" t="s">
        <v>365</v>
      </c>
      <c r="E79" s="316" t="s">
        <v>130</v>
      </c>
      <c r="F79" s="690"/>
      <c r="G79" s="690"/>
      <c r="H79" s="690"/>
      <c r="I79" s="346">
        <f t="shared" si="1"/>
        <v>44900</v>
      </c>
      <c r="R79" s="220"/>
      <c r="S79" s="220"/>
      <c r="T79" s="220"/>
    </row>
    <row r="80" spans="1:45" s="222" customFormat="1" ht="25.5">
      <c r="A80" s="208">
        <f t="shared" si="0"/>
        <v>162</v>
      </c>
      <c r="B80" s="177"/>
      <c r="C80" s="259" t="s">
        <v>731</v>
      </c>
      <c r="D80" s="221" t="s">
        <v>365</v>
      </c>
      <c r="E80" s="316" t="s">
        <v>130</v>
      </c>
      <c r="F80" s="690"/>
      <c r="G80" s="690"/>
      <c r="H80" s="690"/>
      <c r="I80" s="346">
        <f t="shared" si="1"/>
        <v>44900</v>
      </c>
      <c r="J80" s="219"/>
      <c r="K80" s="219"/>
      <c r="L80" s="219"/>
      <c r="M80" s="219"/>
      <c r="N80" s="219"/>
      <c r="O80" s="219"/>
      <c r="P80" s="219"/>
      <c r="Q80" s="219"/>
      <c r="R80" s="220"/>
      <c r="S80" s="220"/>
      <c r="T80" s="220"/>
      <c r="U80" s="219"/>
      <c r="V80" s="219"/>
      <c r="W80" s="219"/>
      <c r="X80" s="219"/>
      <c r="Y80" s="219"/>
      <c r="Z80" s="219"/>
      <c r="AA80" s="219"/>
      <c r="AB80" s="219"/>
      <c r="AC80" s="219"/>
      <c r="AD80" s="219"/>
      <c r="AE80" s="219"/>
      <c r="AF80" s="219"/>
      <c r="AG80" s="219"/>
      <c r="AH80" s="219"/>
      <c r="AI80" s="219"/>
      <c r="AJ80" s="219"/>
      <c r="AK80" s="219"/>
      <c r="AL80" s="219"/>
      <c r="AM80" s="219"/>
      <c r="AN80" s="219"/>
      <c r="AO80" s="219"/>
      <c r="AP80" s="219"/>
      <c r="AQ80" s="219"/>
      <c r="AR80" s="219"/>
      <c r="AS80" s="219"/>
    </row>
    <row r="81" spans="1:20" s="219" customFormat="1" ht="51">
      <c r="A81" s="208">
        <f t="shared" si="0"/>
        <v>163</v>
      </c>
      <c r="B81" s="177"/>
      <c r="C81" s="196" t="s">
        <v>440</v>
      </c>
      <c r="D81" s="221" t="s">
        <v>365</v>
      </c>
      <c r="E81" s="316" t="s">
        <v>129</v>
      </c>
      <c r="F81" s="690"/>
      <c r="G81" s="690"/>
      <c r="H81" s="690"/>
      <c r="I81" s="346">
        <f t="shared" si="1"/>
        <v>44900</v>
      </c>
      <c r="R81" s="220"/>
      <c r="S81" s="220"/>
      <c r="T81" s="220"/>
    </row>
    <row r="82" spans="1:20" s="213" customFormat="1" ht="51">
      <c r="A82" s="208">
        <f t="shared" si="0"/>
        <v>164</v>
      </c>
      <c r="B82" s="178"/>
      <c r="C82" s="259" t="s">
        <v>728</v>
      </c>
      <c r="D82" s="221" t="s">
        <v>365</v>
      </c>
      <c r="E82" s="316" t="s">
        <v>129</v>
      </c>
      <c r="F82" s="690"/>
      <c r="G82" s="690"/>
      <c r="H82" s="690"/>
      <c r="I82" s="346">
        <f t="shared" si="1"/>
        <v>44900</v>
      </c>
    </row>
    <row r="83" spans="1:20" s="219" customFormat="1">
      <c r="A83" s="208">
        <f t="shared" si="0"/>
        <v>165</v>
      </c>
      <c r="B83" s="179" t="s">
        <v>402</v>
      </c>
      <c r="C83" s="218"/>
      <c r="D83" s="218"/>
      <c r="E83" s="696"/>
      <c r="F83" s="697"/>
      <c r="G83" s="697"/>
      <c r="H83" s="698"/>
      <c r="I83" s="347"/>
      <c r="R83" s="220"/>
      <c r="S83" s="220"/>
      <c r="T83" s="220"/>
    </row>
    <row r="84" spans="1:20" s="213" customFormat="1" ht="102">
      <c r="A84" s="208">
        <f>A83+1</f>
        <v>166</v>
      </c>
      <c r="B84" s="173"/>
      <c r="C84" s="196" t="s">
        <v>403</v>
      </c>
      <c r="D84" s="317" t="s">
        <v>365</v>
      </c>
      <c r="E84" s="217" t="s">
        <v>129</v>
      </c>
      <c r="F84" s="690"/>
      <c r="G84" s="690"/>
      <c r="H84" s="690"/>
      <c r="I84" s="346">
        <f t="shared" si="1"/>
        <v>44900</v>
      </c>
    </row>
    <row r="85" spans="1:20" s="213" customFormat="1" ht="38.25">
      <c r="A85" s="208">
        <f>A84+1</f>
        <v>167</v>
      </c>
      <c r="B85" s="173"/>
      <c r="C85" s="259" t="s">
        <v>727</v>
      </c>
      <c r="D85" s="221" t="s">
        <v>365</v>
      </c>
      <c r="E85" s="217" t="s">
        <v>129</v>
      </c>
      <c r="F85" s="690"/>
      <c r="G85" s="690"/>
      <c r="H85" s="690"/>
      <c r="I85" s="346">
        <f t="shared" si="1"/>
        <v>44900</v>
      </c>
    </row>
    <row r="86" spans="1:20" s="213" customFormat="1">
      <c r="A86" s="208">
        <f>A85+1</f>
        <v>168</v>
      </c>
      <c r="B86" s="173"/>
      <c r="C86" s="196"/>
      <c r="D86" s="196"/>
      <c r="E86" s="217"/>
      <c r="F86" s="690"/>
      <c r="G86" s="690"/>
      <c r="H86" s="690"/>
      <c r="I86" s="344"/>
    </row>
    <row r="87" spans="1:20" s="213" customFormat="1">
      <c r="A87" s="208">
        <f>A86+1</f>
        <v>169</v>
      </c>
      <c r="B87" s="173"/>
      <c r="C87" s="196"/>
      <c r="D87" s="196"/>
      <c r="E87" s="217"/>
      <c r="F87" s="690"/>
      <c r="G87" s="690"/>
      <c r="H87" s="690"/>
      <c r="I87" s="344"/>
    </row>
    <row r="88" spans="1:20" s="213" customFormat="1">
      <c r="A88" s="208">
        <f>A87+1</f>
        <v>170</v>
      </c>
      <c r="B88" s="173"/>
      <c r="C88" s="196"/>
      <c r="D88" s="196"/>
      <c r="E88" s="313"/>
      <c r="F88" s="692"/>
      <c r="G88" s="690"/>
      <c r="H88" s="690"/>
      <c r="I88" s="344"/>
    </row>
    <row r="89" spans="1:20" s="213" customFormat="1">
      <c r="A89" s="318"/>
      <c r="B89" s="319" t="s">
        <v>132</v>
      </c>
      <c r="C89" s="319"/>
      <c r="D89" s="319"/>
      <c r="E89" s="320"/>
      <c r="F89" s="699"/>
      <c r="G89" s="700"/>
      <c r="H89" s="701"/>
      <c r="I89" s="337"/>
    </row>
    <row r="90" spans="1:20" s="213" customFormat="1">
      <c r="A90" s="695"/>
      <c r="B90" s="695"/>
      <c r="C90" s="695"/>
      <c r="D90" s="695"/>
      <c r="E90" s="695"/>
      <c r="F90" s="695"/>
      <c r="G90" s="695"/>
      <c r="H90" s="695"/>
      <c r="I90" s="695"/>
    </row>
    <row r="91" spans="1:20" s="213" customFormat="1">
      <c r="A91" s="695"/>
      <c r="B91" s="695"/>
      <c r="C91" s="695"/>
      <c r="D91" s="695"/>
      <c r="E91" s="695"/>
      <c r="F91" s="695"/>
      <c r="G91" s="695"/>
      <c r="H91" s="695"/>
      <c r="I91" s="695"/>
    </row>
    <row r="92" spans="1:20">
      <c r="A92" s="695"/>
      <c r="B92" s="695"/>
      <c r="C92" s="695"/>
      <c r="D92" s="695"/>
      <c r="E92" s="695"/>
      <c r="F92" s="695"/>
      <c r="G92" s="695"/>
      <c r="H92" s="695"/>
      <c r="I92" s="695"/>
    </row>
    <row r="93" spans="1:20">
      <c r="A93" s="695"/>
      <c r="B93" s="695"/>
      <c r="C93" s="695"/>
      <c r="D93" s="695"/>
      <c r="E93" s="695"/>
      <c r="F93" s="695"/>
      <c r="G93" s="695"/>
      <c r="H93" s="695"/>
      <c r="I93" s="695"/>
    </row>
    <row r="94" spans="1:20">
      <c r="A94" s="695"/>
      <c r="B94" s="695"/>
      <c r="C94" s="695"/>
      <c r="D94" s="695"/>
      <c r="E94" s="695"/>
      <c r="F94" s="695"/>
      <c r="G94" s="695"/>
      <c r="H94" s="695"/>
      <c r="I94" s="695"/>
    </row>
    <row r="95" spans="1:20">
      <c r="A95" s="695"/>
      <c r="B95" s="695"/>
      <c r="C95" s="695"/>
      <c r="D95" s="695"/>
      <c r="E95" s="695"/>
      <c r="F95" s="695"/>
      <c r="G95" s="695"/>
      <c r="H95" s="695"/>
      <c r="I95" s="695"/>
    </row>
  </sheetData>
  <sheetProtection selectLockedCells="1"/>
  <mergeCells count="82">
    <mergeCell ref="F51:H51"/>
    <mergeCell ref="F62:H62"/>
    <mergeCell ref="F63:H63"/>
    <mergeCell ref="F64:H64"/>
    <mergeCell ref="F65:H65"/>
    <mergeCell ref="F58:H58"/>
    <mergeCell ref="F59:H59"/>
    <mergeCell ref="F60:H60"/>
    <mergeCell ref="F61:H61"/>
    <mergeCell ref="F52:H52"/>
    <mergeCell ref="F54:H54"/>
    <mergeCell ref="F55:H55"/>
    <mergeCell ref="F56:H56"/>
    <mergeCell ref="F57:H57"/>
    <mergeCell ref="F77:H77"/>
    <mergeCell ref="F73:H73"/>
    <mergeCell ref="F66:H66"/>
    <mergeCell ref="F67:H67"/>
    <mergeCell ref="F68:H68"/>
    <mergeCell ref="F69:H69"/>
    <mergeCell ref="A90:I95"/>
    <mergeCell ref="F86:H86"/>
    <mergeCell ref="F87:H87"/>
    <mergeCell ref="F88:H88"/>
    <mergeCell ref="F78:H78"/>
    <mergeCell ref="F79:H79"/>
    <mergeCell ref="F80:H80"/>
    <mergeCell ref="F81:H81"/>
    <mergeCell ref="F82:H82"/>
    <mergeCell ref="E83:H83"/>
    <mergeCell ref="F89:H89"/>
    <mergeCell ref="B2:C2"/>
    <mergeCell ref="D2:G2"/>
    <mergeCell ref="H2:I2"/>
    <mergeCell ref="F84:H84"/>
    <mergeCell ref="F85:H85"/>
    <mergeCell ref="F74:H74"/>
    <mergeCell ref="F75:H75"/>
    <mergeCell ref="F39:H39"/>
    <mergeCell ref="F46:H46"/>
    <mergeCell ref="F47:H47"/>
    <mergeCell ref="F48:H48"/>
    <mergeCell ref="F53:H53"/>
    <mergeCell ref="F76:H76"/>
    <mergeCell ref="F70:H70"/>
    <mergeCell ref="F71:H71"/>
    <mergeCell ref="F72:H72"/>
    <mergeCell ref="F44:H44"/>
    <mergeCell ref="F45:H45"/>
    <mergeCell ref="F49:H49"/>
    <mergeCell ref="F50:H50"/>
    <mergeCell ref="F40:H40"/>
    <mergeCell ref="F41:H41"/>
    <mergeCell ref="F42:H42"/>
    <mergeCell ref="F43:H43"/>
    <mergeCell ref="F36:H36"/>
    <mergeCell ref="F37:H37"/>
    <mergeCell ref="F38:H38"/>
    <mergeCell ref="F30:H30"/>
    <mergeCell ref="F31:H31"/>
    <mergeCell ref="F32:H32"/>
    <mergeCell ref="F33:H33"/>
    <mergeCell ref="F34:H34"/>
    <mergeCell ref="F29:H29"/>
    <mergeCell ref="F23:H23"/>
    <mergeCell ref="F24:H24"/>
    <mergeCell ref="F25:H25"/>
    <mergeCell ref="F35:H35"/>
    <mergeCell ref="F27:H27"/>
    <mergeCell ref="F28:H28"/>
    <mergeCell ref="A4:I4"/>
    <mergeCell ref="B14:H14"/>
    <mergeCell ref="C16:D16"/>
    <mergeCell ref="F17:H17"/>
    <mergeCell ref="F26:H26"/>
    <mergeCell ref="F22:H22"/>
    <mergeCell ref="F18:H18"/>
    <mergeCell ref="F19:H19"/>
    <mergeCell ref="F20:H20"/>
    <mergeCell ref="F21:H21"/>
    <mergeCell ref="B11:C11"/>
    <mergeCell ref="B10:C10"/>
  </mergeCells>
  <phoneticPr fontId="0" type="noConversion"/>
  <dataValidations disablePrompts="1" count="1">
    <dataValidation type="list" allowBlank="1" showInputMessage="1" showErrorMessage="1" sqref="C77:D77 E18:E76 E78:E82 E84:E88">
      <formula1>Resultados</formula1>
    </dataValidation>
  </dataValidations>
  <pageMargins left="0.74803149606299213" right="0.74803149606299213" top="0.98425196850393704" bottom="0.98425196850393704" header="0.51181102362204722" footer="0.51181102362204722"/>
  <pageSetup paperSize="9" scale="8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T68"/>
  <sheetViews>
    <sheetView showGridLines="0" workbookViewId="0">
      <selection activeCell="D10" sqref="D10"/>
    </sheetView>
  </sheetViews>
  <sheetFormatPr baseColWidth="10" defaultColWidth="11.42578125" defaultRowHeight="12.75"/>
  <cols>
    <col min="1" max="1" width="5.85546875" style="200" customWidth="1"/>
    <col min="2" max="2" width="4" style="200" customWidth="1"/>
    <col min="3" max="3" width="39.140625" style="200" customWidth="1"/>
    <col min="4" max="4" width="15" style="200" customWidth="1"/>
    <col min="5" max="5" width="12.7109375" style="200" customWidth="1"/>
    <col min="6" max="6" width="9.85546875" style="200" customWidth="1"/>
    <col min="7" max="7" width="20" style="200" customWidth="1"/>
    <col min="8" max="8" width="32.5703125" style="200" bestFit="1" customWidth="1"/>
    <col min="9" max="9" width="15.5703125" style="201" customWidth="1"/>
    <col min="10" max="16384" width="11.42578125" style="200"/>
  </cols>
  <sheetData>
    <row r="2" spans="1:20" s="14" customFormat="1" ht="56.25" customHeight="1">
      <c r="A2" s="12"/>
      <c r="B2" s="622"/>
      <c r="C2" s="622"/>
      <c r="D2" s="641" t="s">
        <v>573</v>
      </c>
      <c r="E2" s="642"/>
      <c r="F2" s="642"/>
      <c r="G2" s="665"/>
      <c r="H2" s="622"/>
      <c r="I2" s="622"/>
    </row>
    <row r="4" spans="1:20" s="183" customFormat="1" ht="15.75">
      <c r="A4" s="659" t="s">
        <v>577</v>
      </c>
      <c r="B4" s="660"/>
      <c r="C4" s="660"/>
      <c r="D4" s="660"/>
      <c r="E4" s="660"/>
      <c r="F4" s="660"/>
      <c r="G4" s="660"/>
      <c r="H4" s="660"/>
      <c r="I4" s="661"/>
    </row>
    <row r="5" spans="1:20" s="183" customFormat="1" ht="12">
      <c r="I5" s="184"/>
    </row>
    <row r="6" spans="1:20" s="183" customFormat="1">
      <c r="B6" s="390" t="s">
        <v>79</v>
      </c>
      <c r="C6" s="403"/>
      <c r="D6" s="388"/>
      <c r="E6" s="404"/>
      <c r="F6" s="389"/>
      <c r="G6" s="390" t="s">
        <v>451</v>
      </c>
      <c r="H6" s="387" t="str">
        <f>'Historial de Revisiones'!G4</f>
        <v>GOC-7089</v>
      </c>
      <c r="I6" s="184"/>
    </row>
    <row r="7" spans="1:20" s="183" customFormat="1">
      <c r="B7" s="390" t="s">
        <v>80</v>
      </c>
      <c r="C7" s="403"/>
      <c r="D7" s="388"/>
      <c r="E7" s="404"/>
      <c r="F7" s="389"/>
      <c r="G7" s="390" t="s">
        <v>477</v>
      </c>
      <c r="H7" s="387" t="str">
        <f>'Historial de Revisiones'!G5</f>
        <v>GOC-7092</v>
      </c>
      <c r="I7" s="184"/>
    </row>
    <row r="8" spans="1:20" s="183" customFormat="1">
      <c r="B8" s="390" t="s">
        <v>81</v>
      </c>
      <c r="C8" s="403"/>
      <c r="D8" s="393"/>
      <c r="E8" s="404"/>
      <c r="F8" s="389"/>
      <c r="G8" s="390" t="s">
        <v>124</v>
      </c>
      <c r="H8" s="387">
        <f>'Historial de Revisiones'!G6</f>
        <v>0</v>
      </c>
      <c r="I8" s="184"/>
    </row>
    <row r="9" spans="1:20" s="183" customFormat="1" ht="14.25" customHeight="1">
      <c r="B9" s="390" t="s">
        <v>82</v>
      </c>
      <c r="C9" s="403"/>
      <c r="D9" s="394"/>
      <c r="E9" s="404"/>
      <c r="F9" s="389"/>
      <c r="G9" s="390" t="s">
        <v>125</v>
      </c>
      <c r="H9" s="387" t="str">
        <f>'Historial de Revisiones'!G7</f>
        <v>Nombre desarrolllador</v>
      </c>
      <c r="I9" s="184"/>
    </row>
    <row r="10" spans="1:20" s="183" customFormat="1">
      <c r="B10" s="405" t="s">
        <v>83</v>
      </c>
      <c r="C10" s="405"/>
      <c r="D10" s="394"/>
      <c r="E10" s="406"/>
      <c r="F10" s="389"/>
      <c r="G10" s="390" t="s">
        <v>126</v>
      </c>
      <c r="H10" s="387" t="str">
        <f>'Historial de Revisiones'!G8</f>
        <v>Nombre de custodio</v>
      </c>
      <c r="I10" s="184"/>
    </row>
    <row r="11" spans="1:20" s="183" customFormat="1">
      <c r="B11" s="653"/>
      <c r="C11" s="653"/>
      <c r="D11" s="395"/>
      <c r="E11" s="406"/>
      <c r="F11" s="389"/>
      <c r="G11" s="390" t="s">
        <v>193</v>
      </c>
      <c r="H11" s="388"/>
      <c r="I11" s="184"/>
    </row>
    <row r="12" spans="1:20" s="183" customFormat="1" ht="12">
      <c r="E12" s="227"/>
      <c r="F12" s="182"/>
      <c r="G12" s="307"/>
      <c r="H12" s="306"/>
      <c r="I12" s="184"/>
    </row>
    <row r="13" spans="1:20" s="183" customFormat="1" ht="12">
      <c r="B13" s="183" t="s">
        <v>221</v>
      </c>
      <c r="I13" s="184"/>
      <c r="R13" s="185"/>
      <c r="S13" s="185"/>
      <c r="T13" s="185"/>
    </row>
    <row r="14" spans="1:20" s="183" customFormat="1" ht="33.75" customHeight="1">
      <c r="B14" s="670" t="s">
        <v>297</v>
      </c>
      <c r="C14" s="671"/>
      <c r="D14" s="671"/>
      <c r="E14" s="671"/>
      <c r="F14" s="671"/>
      <c r="G14" s="671"/>
      <c r="H14" s="672"/>
      <c r="I14" s="184"/>
      <c r="R14" s="185"/>
      <c r="S14" s="185"/>
      <c r="T14" s="185"/>
    </row>
    <row r="15" spans="1:20" s="183" customFormat="1" ht="12" customHeight="1">
      <c r="B15" s="186"/>
      <c r="C15" s="186"/>
      <c r="D15" s="186"/>
      <c r="E15" s="186"/>
      <c r="F15" s="186"/>
      <c r="G15" s="186"/>
      <c r="H15" s="186"/>
      <c r="I15" s="184"/>
      <c r="R15" s="185"/>
      <c r="S15" s="185"/>
      <c r="T15" s="185"/>
    </row>
    <row r="16" spans="1:20" s="183" customFormat="1">
      <c r="B16" s="187" t="s">
        <v>386</v>
      </c>
      <c r="C16" s="664" t="s">
        <v>382</v>
      </c>
      <c r="D16" s="664"/>
      <c r="I16" s="184"/>
      <c r="R16" s="185"/>
      <c r="S16" s="185"/>
      <c r="T16" s="185"/>
    </row>
    <row r="17" spans="1:20" s="51" customFormat="1" ht="19.5" customHeight="1">
      <c r="A17" s="88" t="s">
        <v>247</v>
      </c>
      <c r="B17" s="89" t="s">
        <v>246</v>
      </c>
      <c r="C17" s="90"/>
      <c r="D17" s="88" t="s">
        <v>360</v>
      </c>
      <c r="E17" s="270" t="s">
        <v>283</v>
      </c>
      <c r="F17" s="673" t="s">
        <v>253</v>
      </c>
      <c r="G17" s="673"/>
      <c r="H17" s="673"/>
      <c r="I17" s="348" t="s">
        <v>284</v>
      </c>
      <c r="K17" s="183"/>
      <c r="L17" s="183"/>
      <c r="M17" s="183"/>
      <c r="N17" s="183"/>
      <c r="O17" s="183"/>
      <c r="P17" s="183"/>
    </row>
    <row r="18" spans="1:20" s="192" customFormat="1">
      <c r="A18" s="226">
        <f>'CHK Técnico-SQL'!A88+10</f>
        <v>180</v>
      </c>
      <c r="B18" s="190" t="s">
        <v>133</v>
      </c>
      <c r="C18" s="191"/>
      <c r="D18" s="191"/>
      <c r="E18" s="199"/>
      <c r="F18" s="654"/>
      <c r="G18" s="654"/>
      <c r="H18" s="654"/>
      <c r="I18" s="350"/>
      <c r="R18" s="193"/>
      <c r="S18" s="193"/>
      <c r="T18" s="193"/>
    </row>
    <row r="19" spans="1:20" s="194" customFormat="1" ht="38.25">
      <c r="A19" s="226">
        <f>A18+1</f>
        <v>181</v>
      </c>
      <c r="B19" s="123"/>
      <c r="C19" s="123" t="s">
        <v>359</v>
      </c>
      <c r="D19" s="131" t="s">
        <v>361</v>
      </c>
      <c r="E19" s="321"/>
      <c r="F19" s="650"/>
      <c r="G19" s="651"/>
      <c r="H19" s="651"/>
      <c r="I19" s="349"/>
      <c r="R19" s="195"/>
      <c r="S19" s="195"/>
      <c r="T19" s="195"/>
    </row>
    <row r="20" spans="1:20" s="194" customFormat="1" ht="38.25">
      <c r="A20" s="226">
        <f t="shared" ref="A20:A62" si="0">A19+1</f>
        <v>182</v>
      </c>
      <c r="B20" s="123"/>
      <c r="C20" s="123" t="s">
        <v>222</v>
      </c>
      <c r="D20" s="131" t="s">
        <v>361</v>
      </c>
      <c r="E20" s="321"/>
      <c r="F20" s="651"/>
      <c r="G20" s="651"/>
      <c r="H20" s="651"/>
      <c r="I20" s="349" t="str">
        <f>IF(NOT(ISBLANK($I$19)),$I$19,"  ")</f>
        <v xml:space="preserve">  </v>
      </c>
      <c r="R20" s="195"/>
      <c r="S20" s="195"/>
      <c r="T20" s="195"/>
    </row>
    <row r="21" spans="1:20" s="194" customFormat="1" ht="38.25">
      <c r="A21" s="226">
        <f t="shared" si="0"/>
        <v>183</v>
      </c>
      <c r="B21" s="125"/>
      <c r="C21" s="196" t="s">
        <v>350</v>
      </c>
      <c r="D21" s="131" t="s">
        <v>368</v>
      </c>
      <c r="E21" s="322"/>
      <c r="F21" s="651"/>
      <c r="G21" s="651"/>
      <c r="H21" s="651"/>
      <c r="I21" s="349" t="str">
        <f t="shared" ref="I21:I60" si="1">IF(NOT(ISBLANK($I$19)),$I$19,"  ")</f>
        <v xml:space="preserve">  </v>
      </c>
      <c r="R21" s="195"/>
      <c r="S21" s="195"/>
      <c r="T21" s="195"/>
    </row>
    <row r="22" spans="1:20" s="194" customFormat="1" ht="25.5">
      <c r="A22" s="226">
        <f t="shared" si="0"/>
        <v>184</v>
      </c>
      <c r="B22" s="125"/>
      <c r="C22" s="196" t="s">
        <v>351</v>
      </c>
      <c r="D22" s="131" t="s">
        <v>368</v>
      </c>
      <c r="E22" s="322"/>
      <c r="F22" s="651"/>
      <c r="G22" s="651"/>
      <c r="H22" s="651"/>
      <c r="I22" s="349" t="str">
        <f t="shared" si="1"/>
        <v xml:space="preserve">  </v>
      </c>
      <c r="R22" s="195"/>
      <c r="S22" s="195"/>
      <c r="T22" s="195"/>
    </row>
    <row r="23" spans="1:20" s="194" customFormat="1" ht="38.25">
      <c r="A23" s="226">
        <f t="shared" si="0"/>
        <v>185</v>
      </c>
      <c r="B23" s="125"/>
      <c r="C23" s="196" t="s">
        <v>393</v>
      </c>
      <c r="D23" s="131" t="s">
        <v>368</v>
      </c>
      <c r="E23" s="322"/>
      <c r="F23" s="651"/>
      <c r="G23" s="651"/>
      <c r="H23" s="651"/>
      <c r="I23" s="349" t="str">
        <f t="shared" si="1"/>
        <v xml:space="preserve">  </v>
      </c>
      <c r="R23" s="195"/>
      <c r="S23" s="195"/>
      <c r="T23" s="195"/>
    </row>
    <row r="24" spans="1:20" s="194" customFormat="1" ht="51">
      <c r="A24" s="226">
        <f t="shared" si="0"/>
        <v>186</v>
      </c>
      <c r="B24" s="125"/>
      <c r="C24" s="259" t="s">
        <v>481</v>
      </c>
      <c r="D24" s="253" t="s">
        <v>361</v>
      </c>
      <c r="E24" s="322"/>
      <c r="F24" s="650"/>
      <c r="G24" s="651"/>
      <c r="H24" s="651"/>
      <c r="I24" s="349" t="str">
        <f t="shared" si="1"/>
        <v xml:space="preserve">  </v>
      </c>
      <c r="R24" s="195"/>
      <c r="S24" s="195"/>
      <c r="T24" s="195"/>
    </row>
    <row r="25" spans="1:20" s="192" customFormat="1">
      <c r="A25" s="226">
        <f t="shared" si="0"/>
        <v>187</v>
      </c>
      <c r="B25" s="190" t="s">
        <v>145</v>
      </c>
      <c r="C25" s="191"/>
      <c r="D25" s="191"/>
      <c r="E25" s="199"/>
      <c r="F25" s="654"/>
      <c r="G25" s="654"/>
      <c r="H25" s="654"/>
      <c r="I25" s="350"/>
      <c r="R25" s="193"/>
      <c r="S25" s="193"/>
      <c r="T25" s="193"/>
    </row>
    <row r="26" spans="1:20" s="194" customFormat="1" ht="25.5">
      <c r="A26" s="226">
        <f t="shared" si="0"/>
        <v>188</v>
      </c>
      <c r="B26" s="123"/>
      <c r="C26" s="123" t="s">
        <v>223</v>
      </c>
      <c r="D26" s="131" t="s">
        <v>365</v>
      </c>
      <c r="E26" s="321"/>
      <c r="F26" s="651"/>
      <c r="G26" s="651"/>
      <c r="H26" s="651"/>
      <c r="I26" s="349" t="str">
        <f t="shared" si="1"/>
        <v xml:space="preserve">  </v>
      </c>
      <c r="R26" s="195"/>
      <c r="S26" s="195"/>
      <c r="T26" s="195"/>
    </row>
    <row r="27" spans="1:20" s="194" customFormat="1" ht="38.25">
      <c r="A27" s="226">
        <f t="shared" si="0"/>
        <v>189</v>
      </c>
      <c r="B27" s="123"/>
      <c r="C27" s="123" t="s">
        <v>224</v>
      </c>
      <c r="D27" s="131" t="s">
        <v>365</v>
      </c>
      <c r="E27" s="321"/>
      <c r="F27" s="651"/>
      <c r="G27" s="651"/>
      <c r="H27" s="651"/>
      <c r="I27" s="349" t="str">
        <f t="shared" si="1"/>
        <v xml:space="preserve">  </v>
      </c>
      <c r="R27" s="195"/>
      <c r="S27" s="195"/>
      <c r="T27" s="195"/>
    </row>
    <row r="28" spans="1:20" s="194" customFormat="1" ht="25.5">
      <c r="A28" s="226">
        <f t="shared" si="0"/>
        <v>190</v>
      </c>
      <c r="B28" s="123"/>
      <c r="C28" s="123" t="s">
        <v>225</v>
      </c>
      <c r="D28" s="131" t="s">
        <v>365</v>
      </c>
      <c r="E28" s="321"/>
      <c r="F28" s="651"/>
      <c r="G28" s="651"/>
      <c r="H28" s="651"/>
      <c r="I28" s="349" t="str">
        <f t="shared" si="1"/>
        <v xml:space="preserve">  </v>
      </c>
      <c r="R28" s="195"/>
      <c r="S28" s="195"/>
      <c r="T28" s="195"/>
    </row>
    <row r="29" spans="1:20" s="194" customFormat="1" ht="38.25">
      <c r="A29" s="226">
        <f t="shared" si="0"/>
        <v>191</v>
      </c>
      <c r="B29" s="123"/>
      <c r="C29" s="251" t="s">
        <v>732</v>
      </c>
      <c r="D29" s="131" t="s">
        <v>365</v>
      </c>
      <c r="E29" s="321"/>
      <c r="F29" s="651"/>
      <c r="G29" s="651"/>
      <c r="H29" s="651"/>
      <c r="I29" s="349" t="str">
        <f t="shared" si="1"/>
        <v xml:space="preserve">  </v>
      </c>
      <c r="R29" s="195"/>
      <c r="S29" s="195"/>
      <c r="T29" s="195"/>
    </row>
    <row r="30" spans="1:20" s="194" customFormat="1" ht="25.5">
      <c r="A30" s="226">
        <f t="shared" si="0"/>
        <v>192</v>
      </c>
      <c r="B30" s="123"/>
      <c r="C30" s="123" t="s">
        <v>226</v>
      </c>
      <c r="D30" s="131" t="s">
        <v>365</v>
      </c>
      <c r="E30" s="321"/>
      <c r="F30" s="651"/>
      <c r="G30" s="651"/>
      <c r="H30" s="651"/>
      <c r="I30" s="349" t="str">
        <f t="shared" si="1"/>
        <v xml:space="preserve">  </v>
      </c>
      <c r="R30" s="195"/>
      <c r="S30" s="195"/>
      <c r="T30" s="195"/>
    </row>
    <row r="31" spans="1:20" s="192" customFormat="1">
      <c r="A31" s="226">
        <f t="shared" si="0"/>
        <v>193</v>
      </c>
      <c r="B31" s="190" t="s">
        <v>227</v>
      </c>
      <c r="C31" s="191"/>
      <c r="D31" s="191"/>
      <c r="E31" s="199"/>
      <c r="F31" s="654"/>
      <c r="G31" s="654"/>
      <c r="H31" s="654"/>
      <c r="I31" s="350"/>
      <c r="R31" s="193"/>
      <c r="S31" s="193"/>
      <c r="T31" s="193"/>
    </row>
    <row r="32" spans="1:20" s="194" customFormat="1" ht="25.5">
      <c r="A32" s="226">
        <f t="shared" si="0"/>
        <v>194</v>
      </c>
      <c r="B32" s="123"/>
      <c r="C32" s="123" t="s">
        <v>228</v>
      </c>
      <c r="D32" s="131" t="s">
        <v>365</v>
      </c>
      <c r="E32" s="321"/>
      <c r="F32" s="651"/>
      <c r="G32" s="651"/>
      <c r="H32" s="651"/>
      <c r="I32" s="349" t="str">
        <f t="shared" si="1"/>
        <v xml:space="preserve">  </v>
      </c>
      <c r="R32" s="195"/>
      <c r="S32" s="195"/>
      <c r="T32" s="195"/>
    </row>
    <row r="33" spans="1:20" s="194" customFormat="1" ht="25.5">
      <c r="A33" s="226">
        <f t="shared" si="0"/>
        <v>195</v>
      </c>
      <c r="B33" s="123"/>
      <c r="C33" s="123" t="s">
        <v>229</v>
      </c>
      <c r="D33" s="131" t="s">
        <v>365</v>
      </c>
      <c r="E33" s="321"/>
      <c r="F33" s="651"/>
      <c r="G33" s="651"/>
      <c r="H33" s="651"/>
      <c r="I33" s="349" t="str">
        <f t="shared" si="1"/>
        <v xml:space="preserve">  </v>
      </c>
      <c r="R33" s="195"/>
      <c r="S33" s="195"/>
      <c r="T33" s="195"/>
    </row>
    <row r="34" spans="1:20" s="194" customFormat="1" ht="38.25">
      <c r="A34" s="226">
        <f t="shared" si="0"/>
        <v>196</v>
      </c>
      <c r="B34" s="123"/>
      <c r="C34" s="123" t="s">
        <v>230</v>
      </c>
      <c r="D34" s="131" t="s">
        <v>365</v>
      </c>
      <c r="E34" s="321"/>
      <c r="F34" s="651"/>
      <c r="G34" s="651"/>
      <c r="H34" s="651"/>
      <c r="I34" s="349" t="str">
        <f t="shared" si="1"/>
        <v xml:space="preserve">  </v>
      </c>
      <c r="R34" s="195"/>
      <c r="S34" s="195"/>
      <c r="T34" s="195"/>
    </row>
    <row r="35" spans="1:20" s="194" customFormat="1" ht="38.25">
      <c r="A35" s="226">
        <f t="shared" si="0"/>
        <v>197</v>
      </c>
      <c r="B35" s="123"/>
      <c r="C35" s="123" t="s">
        <v>395</v>
      </c>
      <c r="D35" s="131" t="s">
        <v>365</v>
      </c>
      <c r="E35" s="321"/>
      <c r="F35" s="651"/>
      <c r="G35" s="651"/>
      <c r="H35" s="651"/>
      <c r="I35" s="349" t="str">
        <f t="shared" si="1"/>
        <v xml:space="preserve">  </v>
      </c>
      <c r="R35" s="195"/>
      <c r="S35" s="195"/>
      <c r="T35" s="195"/>
    </row>
    <row r="36" spans="1:20" s="194" customFormat="1" ht="25.5">
      <c r="A36" s="226">
        <f t="shared" si="0"/>
        <v>198</v>
      </c>
      <c r="B36" s="123"/>
      <c r="C36" s="123" t="s">
        <v>231</v>
      </c>
      <c r="D36" s="131" t="s">
        <v>365</v>
      </c>
      <c r="E36" s="321"/>
      <c r="F36" s="651"/>
      <c r="G36" s="651"/>
      <c r="H36" s="651"/>
      <c r="I36" s="349" t="str">
        <f t="shared" si="1"/>
        <v xml:space="preserve">  </v>
      </c>
      <c r="R36" s="195"/>
      <c r="S36" s="195"/>
      <c r="T36" s="195"/>
    </row>
    <row r="37" spans="1:20" s="194" customFormat="1" ht="25.5">
      <c r="A37" s="226">
        <f t="shared" si="0"/>
        <v>199</v>
      </c>
      <c r="B37" s="123"/>
      <c r="C37" s="123" t="s">
        <v>232</v>
      </c>
      <c r="D37" s="131" t="s">
        <v>365</v>
      </c>
      <c r="E37" s="321"/>
      <c r="F37" s="651"/>
      <c r="G37" s="651"/>
      <c r="H37" s="651"/>
      <c r="I37" s="349" t="str">
        <f t="shared" si="1"/>
        <v xml:space="preserve">  </v>
      </c>
      <c r="R37" s="195"/>
      <c r="S37" s="195"/>
      <c r="T37" s="195"/>
    </row>
    <row r="38" spans="1:20" s="194" customFormat="1" ht="38.25">
      <c r="A38" s="226">
        <f t="shared" si="0"/>
        <v>200</v>
      </c>
      <c r="B38" s="123"/>
      <c r="C38" s="123" t="s">
        <v>233</v>
      </c>
      <c r="D38" s="131" t="s">
        <v>365</v>
      </c>
      <c r="E38" s="321"/>
      <c r="F38" s="651"/>
      <c r="G38" s="651"/>
      <c r="H38" s="651"/>
      <c r="I38" s="349" t="str">
        <f t="shared" si="1"/>
        <v xml:space="preserve">  </v>
      </c>
      <c r="R38" s="195"/>
      <c r="S38" s="195"/>
      <c r="T38" s="195"/>
    </row>
    <row r="39" spans="1:20" s="194" customFormat="1" ht="38.25">
      <c r="A39" s="226">
        <f t="shared" si="0"/>
        <v>201</v>
      </c>
      <c r="B39" s="123"/>
      <c r="C39" s="123" t="s">
        <v>396</v>
      </c>
      <c r="D39" s="131" t="s">
        <v>365</v>
      </c>
      <c r="E39" s="321"/>
      <c r="F39" s="651"/>
      <c r="G39" s="651"/>
      <c r="H39" s="651"/>
      <c r="I39" s="349" t="str">
        <f t="shared" si="1"/>
        <v xml:space="preserve">  </v>
      </c>
      <c r="R39" s="195"/>
      <c r="S39" s="195"/>
      <c r="T39" s="195"/>
    </row>
    <row r="40" spans="1:20" s="194" customFormat="1" ht="38.25">
      <c r="A40" s="226">
        <f t="shared" si="0"/>
        <v>202</v>
      </c>
      <c r="B40" s="123"/>
      <c r="C40" s="123" t="s">
        <v>397</v>
      </c>
      <c r="D40" s="131" t="s">
        <v>365</v>
      </c>
      <c r="E40" s="321"/>
      <c r="F40" s="651"/>
      <c r="G40" s="651"/>
      <c r="H40" s="651"/>
      <c r="I40" s="349" t="str">
        <f t="shared" si="1"/>
        <v xml:space="preserve">  </v>
      </c>
      <c r="R40" s="195"/>
      <c r="S40" s="195"/>
      <c r="T40" s="195"/>
    </row>
    <row r="41" spans="1:20" s="194" customFormat="1" ht="25.5">
      <c r="A41" s="226">
        <f t="shared" si="0"/>
        <v>203</v>
      </c>
      <c r="B41" s="123"/>
      <c r="C41" s="123" t="s">
        <v>234</v>
      </c>
      <c r="D41" s="131" t="s">
        <v>365</v>
      </c>
      <c r="E41" s="321"/>
      <c r="F41" s="650"/>
      <c r="G41" s="651"/>
      <c r="H41" s="651"/>
      <c r="I41" s="349" t="str">
        <f t="shared" si="1"/>
        <v xml:space="preserve">  </v>
      </c>
      <c r="R41" s="195"/>
      <c r="S41" s="195"/>
      <c r="T41" s="195"/>
    </row>
    <row r="42" spans="1:20" s="194" customFormat="1" ht="25.5">
      <c r="A42" s="226">
        <f t="shared" si="0"/>
        <v>204</v>
      </c>
      <c r="B42" s="123"/>
      <c r="C42" s="123" t="s">
        <v>394</v>
      </c>
      <c r="D42" s="131" t="s">
        <v>365</v>
      </c>
      <c r="E42" s="321"/>
      <c r="F42" s="651"/>
      <c r="G42" s="651"/>
      <c r="H42" s="651"/>
      <c r="I42" s="349" t="str">
        <f t="shared" si="1"/>
        <v xml:space="preserve">  </v>
      </c>
      <c r="R42" s="195"/>
      <c r="S42" s="195"/>
      <c r="T42" s="195"/>
    </row>
    <row r="43" spans="1:20" s="192" customFormat="1">
      <c r="A43" s="226">
        <f t="shared" si="0"/>
        <v>205</v>
      </c>
      <c r="B43" s="190" t="s">
        <v>179</v>
      </c>
      <c r="C43" s="191"/>
      <c r="D43" s="191"/>
      <c r="E43" s="199"/>
      <c r="F43" s="654"/>
      <c r="G43" s="654"/>
      <c r="H43" s="654"/>
      <c r="I43" s="350"/>
      <c r="R43" s="193"/>
      <c r="S43" s="193"/>
      <c r="T43" s="193"/>
    </row>
    <row r="44" spans="1:20" s="194" customFormat="1" ht="25.5">
      <c r="A44" s="226">
        <f t="shared" si="0"/>
        <v>206</v>
      </c>
      <c r="B44" s="123"/>
      <c r="C44" s="123" t="s">
        <v>33</v>
      </c>
      <c r="D44" s="131" t="s">
        <v>365</v>
      </c>
      <c r="E44" s="321"/>
      <c r="F44" s="651"/>
      <c r="G44" s="651"/>
      <c r="H44" s="651"/>
      <c r="I44" s="349" t="str">
        <f t="shared" si="1"/>
        <v xml:space="preserve">  </v>
      </c>
      <c r="R44" s="195"/>
      <c r="S44" s="195"/>
      <c r="T44" s="195"/>
    </row>
    <row r="45" spans="1:20" s="194" customFormat="1" ht="38.25">
      <c r="A45" s="226">
        <f t="shared" si="0"/>
        <v>207</v>
      </c>
      <c r="B45" s="123"/>
      <c r="C45" s="123" t="s">
        <v>214</v>
      </c>
      <c r="D45" s="131" t="s">
        <v>365</v>
      </c>
      <c r="E45" s="321"/>
      <c r="F45" s="651"/>
      <c r="G45" s="651"/>
      <c r="H45" s="651"/>
      <c r="I45" s="349" t="str">
        <f t="shared" si="1"/>
        <v xml:space="preserve">  </v>
      </c>
      <c r="R45" s="195"/>
      <c r="S45" s="195"/>
      <c r="T45" s="195"/>
    </row>
    <row r="46" spans="1:20" s="192" customFormat="1">
      <c r="A46" s="226">
        <f t="shared" si="0"/>
        <v>208</v>
      </c>
      <c r="B46" s="190" t="s">
        <v>185</v>
      </c>
      <c r="C46" s="191"/>
      <c r="D46" s="191"/>
      <c r="E46" s="199"/>
      <c r="F46" s="654"/>
      <c r="G46" s="654"/>
      <c r="H46" s="654"/>
      <c r="I46" s="350"/>
      <c r="R46" s="193"/>
      <c r="S46" s="193"/>
      <c r="T46" s="193"/>
    </row>
    <row r="47" spans="1:20" s="194" customFormat="1" ht="25.5">
      <c r="A47" s="226">
        <f t="shared" si="0"/>
        <v>209</v>
      </c>
      <c r="B47" s="123"/>
      <c r="C47" s="123" t="s">
        <v>235</v>
      </c>
      <c r="D47" s="131" t="s">
        <v>368</v>
      </c>
      <c r="E47" s="321"/>
      <c r="F47" s="651"/>
      <c r="G47" s="651"/>
      <c r="H47" s="651"/>
      <c r="I47" s="349" t="str">
        <f t="shared" si="1"/>
        <v xml:space="preserve">  </v>
      </c>
      <c r="R47" s="195"/>
      <c r="S47" s="195"/>
      <c r="T47" s="195"/>
    </row>
    <row r="48" spans="1:20" s="194" customFormat="1" ht="38.25">
      <c r="A48" s="226">
        <f t="shared" si="0"/>
        <v>210</v>
      </c>
      <c r="B48" s="123"/>
      <c r="C48" s="123" t="s">
        <v>236</v>
      </c>
      <c r="D48" s="131" t="s">
        <v>368</v>
      </c>
      <c r="E48" s="321"/>
      <c r="F48" s="651"/>
      <c r="G48" s="651"/>
      <c r="H48" s="651"/>
      <c r="I48" s="349" t="str">
        <f t="shared" si="1"/>
        <v xml:space="preserve">  </v>
      </c>
      <c r="R48" s="195"/>
      <c r="S48" s="195"/>
      <c r="T48" s="195"/>
    </row>
    <row r="49" spans="1:20" s="194" customFormat="1" ht="25.5">
      <c r="A49" s="226">
        <f t="shared" si="0"/>
        <v>211</v>
      </c>
      <c r="B49" s="123"/>
      <c r="C49" s="123" t="s">
        <v>237</v>
      </c>
      <c r="D49" s="131" t="s">
        <v>368</v>
      </c>
      <c r="E49" s="321"/>
      <c r="F49" s="651"/>
      <c r="G49" s="651"/>
      <c r="H49" s="651"/>
      <c r="I49" s="349" t="str">
        <f t="shared" si="1"/>
        <v xml:space="preserve">  </v>
      </c>
      <c r="R49" s="195"/>
      <c r="S49" s="195"/>
      <c r="T49" s="195"/>
    </row>
    <row r="50" spans="1:20" s="194" customFormat="1" ht="38.25">
      <c r="A50" s="226">
        <f t="shared" si="0"/>
        <v>212</v>
      </c>
      <c r="B50" s="123"/>
      <c r="C50" s="123" t="s">
        <v>186</v>
      </c>
      <c r="D50" s="131" t="s">
        <v>361</v>
      </c>
      <c r="E50" s="321"/>
      <c r="F50" s="651"/>
      <c r="G50" s="651"/>
      <c r="H50" s="651"/>
      <c r="I50" s="349" t="str">
        <f t="shared" si="1"/>
        <v xml:space="preserve">  </v>
      </c>
      <c r="R50" s="195"/>
      <c r="S50" s="195"/>
      <c r="T50" s="195"/>
    </row>
    <row r="51" spans="1:20" s="194" customFormat="1" ht="25.5">
      <c r="A51" s="226">
        <f t="shared" si="0"/>
        <v>213</v>
      </c>
      <c r="B51" s="123"/>
      <c r="C51" s="123" t="s">
        <v>187</v>
      </c>
      <c r="D51" s="131" t="s">
        <v>361</v>
      </c>
      <c r="E51" s="321"/>
      <c r="F51" s="651"/>
      <c r="G51" s="651"/>
      <c r="H51" s="651"/>
      <c r="I51" s="349" t="str">
        <f t="shared" si="1"/>
        <v xml:space="preserve">  </v>
      </c>
      <c r="R51" s="195"/>
      <c r="S51" s="195"/>
      <c r="T51" s="195"/>
    </row>
    <row r="52" spans="1:20" s="192" customFormat="1">
      <c r="A52" s="226">
        <f t="shared" si="0"/>
        <v>214</v>
      </c>
      <c r="B52" s="190" t="s">
        <v>238</v>
      </c>
      <c r="C52" s="191"/>
      <c r="D52" s="191"/>
      <c r="E52" s="199"/>
      <c r="F52" s="654"/>
      <c r="G52" s="654"/>
      <c r="H52" s="654"/>
      <c r="I52" s="350"/>
      <c r="R52" s="193"/>
      <c r="S52" s="193"/>
      <c r="T52" s="193"/>
    </row>
    <row r="53" spans="1:20" s="194" customFormat="1" ht="38.25">
      <c r="A53" s="226">
        <f t="shared" si="0"/>
        <v>215</v>
      </c>
      <c r="B53" s="123"/>
      <c r="C53" s="123" t="s">
        <v>189</v>
      </c>
      <c r="D53" s="131" t="s">
        <v>368</v>
      </c>
      <c r="E53" s="321"/>
      <c r="F53" s="651"/>
      <c r="G53" s="651"/>
      <c r="H53" s="651"/>
      <c r="I53" s="349" t="str">
        <f t="shared" si="1"/>
        <v xml:space="preserve">  </v>
      </c>
      <c r="R53" s="195"/>
      <c r="S53" s="195"/>
      <c r="T53" s="195"/>
    </row>
    <row r="54" spans="1:20" s="194" customFormat="1" ht="38.25">
      <c r="A54" s="226">
        <f t="shared" si="0"/>
        <v>216</v>
      </c>
      <c r="B54" s="123"/>
      <c r="C54" s="123" t="s">
        <v>190</v>
      </c>
      <c r="D54" s="131" t="s">
        <v>371</v>
      </c>
      <c r="E54" s="321"/>
      <c r="F54" s="651"/>
      <c r="G54" s="651"/>
      <c r="H54" s="651"/>
      <c r="I54" s="349" t="str">
        <f t="shared" si="1"/>
        <v xml:space="preserve">  </v>
      </c>
      <c r="R54" s="195"/>
      <c r="S54" s="195"/>
      <c r="T54" s="195"/>
    </row>
    <row r="55" spans="1:20" s="194" customFormat="1">
      <c r="A55" s="226">
        <f t="shared" si="0"/>
        <v>217</v>
      </c>
      <c r="B55" s="123"/>
      <c r="C55" s="123" t="s">
        <v>191</v>
      </c>
      <c r="D55" s="131" t="s">
        <v>365</v>
      </c>
      <c r="E55" s="321"/>
      <c r="F55" s="651"/>
      <c r="G55" s="651"/>
      <c r="H55" s="651"/>
      <c r="I55" s="349" t="str">
        <f t="shared" si="1"/>
        <v xml:space="preserve">  </v>
      </c>
      <c r="R55" s="195"/>
      <c r="S55" s="195"/>
      <c r="T55" s="195"/>
    </row>
    <row r="56" spans="1:20" s="194" customFormat="1" ht="25.5">
      <c r="A56" s="226">
        <f t="shared" si="0"/>
        <v>218</v>
      </c>
      <c r="B56" s="123"/>
      <c r="C56" s="123" t="s">
        <v>192</v>
      </c>
      <c r="D56" s="131" t="s">
        <v>365</v>
      </c>
      <c r="E56" s="321"/>
      <c r="F56" s="651"/>
      <c r="G56" s="651"/>
      <c r="H56" s="651"/>
      <c r="I56" s="349" t="str">
        <f t="shared" si="1"/>
        <v xml:space="preserve">  </v>
      </c>
      <c r="R56" s="195"/>
      <c r="S56" s="195"/>
      <c r="T56" s="195"/>
    </row>
    <row r="57" spans="1:20" s="194" customFormat="1">
      <c r="A57" s="226">
        <f t="shared" si="0"/>
        <v>219</v>
      </c>
      <c r="B57" s="263" t="s">
        <v>484</v>
      </c>
      <c r="C57" s="264"/>
      <c r="D57" s="264"/>
      <c r="E57" s="267"/>
      <c r="F57" s="705"/>
      <c r="G57" s="705"/>
      <c r="H57" s="705"/>
      <c r="I57" s="351"/>
      <c r="J57" s="265"/>
      <c r="K57" s="265"/>
      <c r="L57" s="265"/>
      <c r="M57" s="265"/>
      <c r="N57" s="265"/>
      <c r="O57" s="265"/>
      <c r="P57" s="265"/>
      <c r="Q57" s="265"/>
      <c r="R57" s="266"/>
      <c r="S57" s="266"/>
      <c r="T57" s="266"/>
    </row>
    <row r="58" spans="1:20" s="194" customFormat="1" ht="63.75">
      <c r="A58" s="226">
        <f t="shared" si="0"/>
        <v>220</v>
      </c>
      <c r="B58" s="123"/>
      <c r="C58" s="268" t="s">
        <v>485</v>
      </c>
      <c r="D58" s="131" t="s">
        <v>365</v>
      </c>
      <c r="E58" s="321"/>
      <c r="F58" s="651"/>
      <c r="G58" s="651"/>
      <c r="H58" s="651"/>
      <c r="I58" s="349" t="str">
        <f t="shared" si="1"/>
        <v xml:space="preserve">  </v>
      </c>
      <c r="R58" s="195"/>
      <c r="S58" s="195"/>
      <c r="T58" s="195"/>
    </row>
    <row r="59" spans="1:20" s="194" customFormat="1" ht="25.5">
      <c r="A59" s="226">
        <f t="shared" si="0"/>
        <v>221</v>
      </c>
      <c r="B59" s="123"/>
      <c r="C59" s="268" t="s">
        <v>486</v>
      </c>
      <c r="D59" s="131" t="s">
        <v>365</v>
      </c>
      <c r="E59" s="321"/>
      <c r="F59" s="651"/>
      <c r="G59" s="651"/>
      <c r="H59" s="651"/>
      <c r="I59" s="349" t="str">
        <f t="shared" si="1"/>
        <v xml:space="preserve">  </v>
      </c>
      <c r="R59" s="195"/>
      <c r="S59" s="195"/>
      <c r="T59" s="195"/>
    </row>
    <row r="60" spans="1:20" s="194" customFormat="1" ht="25.5">
      <c r="A60" s="226">
        <f t="shared" si="0"/>
        <v>222</v>
      </c>
      <c r="B60" s="123"/>
      <c r="C60" s="268" t="s">
        <v>487</v>
      </c>
      <c r="D60" s="131" t="s">
        <v>365</v>
      </c>
      <c r="E60" s="321"/>
      <c r="F60" s="651"/>
      <c r="G60" s="651"/>
      <c r="H60" s="651"/>
      <c r="I60" s="349" t="str">
        <f t="shared" si="1"/>
        <v xml:space="preserve">  </v>
      </c>
      <c r="R60" s="195"/>
      <c r="S60" s="195"/>
      <c r="T60" s="195"/>
    </row>
    <row r="61" spans="1:20" s="194" customFormat="1">
      <c r="A61" s="226">
        <f t="shared" si="0"/>
        <v>223</v>
      </c>
      <c r="B61" s="123"/>
      <c r="C61" s="123"/>
      <c r="D61" s="131"/>
      <c r="E61" s="321"/>
      <c r="F61" s="651"/>
      <c r="G61" s="651"/>
      <c r="H61" s="651"/>
      <c r="I61" s="349"/>
      <c r="R61" s="195"/>
      <c r="S61" s="195"/>
      <c r="T61" s="195"/>
    </row>
    <row r="62" spans="1:20" s="194" customFormat="1">
      <c r="A62" s="226">
        <f t="shared" si="0"/>
        <v>224</v>
      </c>
      <c r="B62" s="123"/>
      <c r="C62" s="123"/>
      <c r="D62" s="131"/>
      <c r="E62" s="321"/>
      <c r="F62" s="650"/>
      <c r="G62" s="651"/>
      <c r="H62" s="651"/>
      <c r="I62" s="349"/>
      <c r="R62" s="195"/>
      <c r="S62" s="195"/>
      <c r="T62" s="195"/>
    </row>
    <row r="63" spans="1:20" s="192" customFormat="1">
      <c r="A63" s="129"/>
      <c r="B63" s="128" t="s">
        <v>132</v>
      </c>
      <c r="C63" s="130"/>
      <c r="D63" s="130"/>
      <c r="E63" s="323"/>
      <c r="F63" s="702"/>
      <c r="G63" s="703"/>
      <c r="H63" s="704"/>
      <c r="I63" s="333"/>
    </row>
    <row r="64" spans="1:20" s="192" customFormat="1">
      <c r="A64" s="674"/>
      <c r="B64" s="674"/>
      <c r="C64" s="674"/>
      <c r="D64" s="674"/>
      <c r="E64" s="674"/>
      <c r="F64" s="674"/>
      <c r="G64" s="674"/>
      <c r="H64" s="674"/>
      <c r="I64" s="674"/>
    </row>
    <row r="65" spans="1:9" s="192" customFormat="1">
      <c r="A65" s="674"/>
      <c r="B65" s="674"/>
      <c r="C65" s="674"/>
      <c r="D65" s="674"/>
      <c r="E65" s="674"/>
      <c r="F65" s="674"/>
      <c r="G65" s="674"/>
      <c r="H65" s="674"/>
      <c r="I65" s="674"/>
    </row>
    <row r="66" spans="1:9" s="192" customFormat="1">
      <c r="A66" s="674"/>
      <c r="B66" s="674"/>
      <c r="C66" s="674"/>
      <c r="D66" s="674"/>
      <c r="E66" s="674"/>
      <c r="F66" s="674"/>
      <c r="G66" s="674"/>
      <c r="H66" s="674"/>
      <c r="I66" s="674"/>
    </row>
    <row r="67" spans="1:9" s="192" customFormat="1">
      <c r="A67" s="674"/>
      <c r="B67" s="674"/>
      <c r="C67" s="674"/>
      <c r="D67" s="674"/>
      <c r="E67" s="674"/>
      <c r="F67" s="674"/>
      <c r="G67" s="674"/>
      <c r="H67" s="674"/>
      <c r="I67" s="674"/>
    </row>
    <row r="68" spans="1:9">
      <c r="A68" s="674"/>
      <c r="B68" s="674"/>
      <c r="C68" s="674"/>
      <c r="D68" s="674"/>
      <c r="E68" s="674"/>
      <c r="F68" s="674"/>
      <c r="G68" s="674"/>
      <c r="H68" s="674"/>
      <c r="I68" s="674"/>
    </row>
  </sheetData>
  <sheetProtection selectLockedCells="1"/>
  <mergeCells count="55">
    <mergeCell ref="A64:I68"/>
    <mergeCell ref="F24:H24"/>
    <mergeCell ref="F40:H40"/>
    <mergeCell ref="F55:H55"/>
    <mergeCell ref="F54:H54"/>
    <mergeCell ref="F42:H42"/>
    <mergeCell ref="F52:H52"/>
    <mergeCell ref="F51:H51"/>
    <mergeCell ref="F44:H44"/>
    <mergeCell ref="F53:H53"/>
    <mergeCell ref="F43:H43"/>
    <mergeCell ref="F41:H41"/>
    <mergeCell ref="F50:H50"/>
    <mergeCell ref="F47:H47"/>
    <mergeCell ref="F48:H48"/>
    <mergeCell ref="F49:H49"/>
    <mergeCell ref="F56:H56"/>
    <mergeCell ref="F39:H39"/>
    <mergeCell ref="F46:H46"/>
    <mergeCell ref="F62:H62"/>
    <mergeCell ref="B2:C2"/>
    <mergeCell ref="D2:G2"/>
    <mergeCell ref="H2:I2"/>
    <mergeCell ref="A4:I4"/>
    <mergeCell ref="F26:H26"/>
    <mergeCell ref="B14:H14"/>
    <mergeCell ref="F17:H17"/>
    <mergeCell ref="F18:H18"/>
    <mergeCell ref="F25:H25"/>
    <mergeCell ref="F19:H19"/>
    <mergeCell ref="C16:D16"/>
    <mergeCell ref="F20:H20"/>
    <mergeCell ref="F45:H45"/>
    <mergeCell ref="B11:C11"/>
    <mergeCell ref="F23:H23"/>
    <mergeCell ref="F35:H35"/>
    <mergeCell ref="F36:H36"/>
    <mergeCell ref="F21:H21"/>
    <mergeCell ref="F22:H22"/>
    <mergeCell ref="F63:H63"/>
    <mergeCell ref="F27:H27"/>
    <mergeCell ref="F58:H58"/>
    <mergeCell ref="F59:H59"/>
    <mergeCell ref="F28:H28"/>
    <mergeCell ref="F29:H29"/>
    <mergeCell ref="F37:H37"/>
    <mergeCell ref="F33:H33"/>
    <mergeCell ref="F38:H38"/>
    <mergeCell ref="F34:H34"/>
    <mergeCell ref="F30:H30"/>
    <mergeCell ref="F32:H32"/>
    <mergeCell ref="F31:H31"/>
    <mergeCell ref="F61:H61"/>
    <mergeCell ref="F60:H60"/>
    <mergeCell ref="F57:H57"/>
  </mergeCells>
  <phoneticPr fontId="8" type="noConversion"/>
  <dataValidations count="1">
    <dataValidation type="list" allowBlank="1" showInputMessage="1" showErrorMessage="1" sqref="E18:E62">
      <formula1>Resultados</formula1>
    </dataValidation>
  </dataValidations>
  <pageMargins left="0.74803149606299213" right="0.74803149606299213" top="0.98425196850393704" bottom="0.98425196850393704" header="0.51181102362204722" footer="0.51181102362204722"/>
  <pageSetup paperSize="9" scale="8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T104"/>
  <sheetViews>
    <sheetView showGridLines="0" workbookViewId="0">
      <selection activeCell="H6" sqref="H6"/>
    </sheetView>
  </sheetViews>
  <sheetFormatPr baseColWidth="10" defaultColWidth="11.42578125" defaultRowHeight="12.75"/>
  <cols>
    <col min="1" max="1" width="5.85546875" style="200" customWidth="1"/>
    <col min="2" max="2" width="3.85546875" style="200" customWidth="1"/>
    <col min="3" max="3" width="40.140625" style="200" customWidth="1"/>
    <col min="4" max="4" width="16.140625" style="200" customWidth="1"/>
    <col min="5" max="5" width="14.5703125" style="200" customWidth="1"/>
    <col min="6" max="6" width="9.140625" style="200"/>
    <col min="7" max="7" width="19.42578125" style="200" customWidth="1"/>
    <col min="8" max="8" width="32.5703125" style="200" bestFit="1" customWidth="1"/>
    <col min="9" max="9" width="16.85546875" style="201" customWidth="1"/>
    <col min="10" max="16384" width="11.42578125" style="200"/>
  </cols>
  <sheetData>
    <row r="2" spans="1:20" s="14" customFormat="1" ht="58.5" customHeight="1">
      <c r="A2" s="12"/>
      <c r="B2" s="622"/>
      <c r="C2" s="622"/>
      <c r="D2" s="641" t="s">
        <v>573</v>
      </c>
      <c r="E2" s="642"/>
      <c r="F2" s="642"/>
      <c r="G2" s="665"/>
      <c r="H2" s="622"/>
      <c r="I2" s="622"/>
    </row>
    <row r="4" spans="1:20" s="183" customFormat="1" ht="15.75">
      <c r="A4" s="659" t="s">
        <v>578</v>
      </c>
      <c r="B4" s="660"/>
      <c r="C4" s="660"/>
      <c r="D4" s="660"/>
      <c r="E4" s="660"/>
      <c r="F4" s="660"/>
      <c r="G4" s="660"/>
      <c r="H4" s="660"/>
      <c r="I4" s="661"/>
    </row>
    <row r="5" spans="1:20" s="183" customFormat="1" ht="12">
      <c r="I5" s="184"/>
    </row>
    <row r="6" spans="1:20" s="183" customFormat="1">
      <c r="B6" s="390" t="s">
        <v>79</v>
      </c>
      <c r="C6" s="403"/>
      <c r="D6" s="388"/>
      <c r="E6" s="404"/>
      <c r="F6" s="389"/>
      <c r="G6" s="390" t="s">
        <v>451</v>
      </c>
      <c r="H6" s="387" t="str">
        <f>'Historial de Revisiones'!G4</f>
        <v>GOC-7089</v>
      </c>
      <c r="I6" s="184"/>
    </row>
    <row r="7" spans="1:20" s="183" customFormat="1">
      <c r="B7" s="390" t="s">
        <v>80</v>
      </c>
      <c r="C7" s="403"/>
      <c r="D7" s="388"/>
      <c r="E7" s="404"/>
      <c r="F7" s="389"/>
      <c r="G7" s="390" t="s">
        <v>477</v>
      </c>
      <c r="H7" s="387" t="str">
        <f>'Historial de Revisiones'!G5</f>
        <v>GOC-7092</v>
      </c>
      <c r="I7" s="184"/>
    </row>
    <row r="8" spans="1:20" s="183" customFormat="1">
      <c r="B8" s="390" t="s">
        <v>81</v>
      </c>
      <c r="C8" s="403"/>
      <c r="D8" s="393"/>
      <c r="E8" s="404"/>
      <c r="F8" s="389"/>
      <c r="G8" s="390" t="s">
        <v>124</v>
      </c>
      <c r="H8" s="387">
        <f>'Historial de Revisiones'!G6</f>
        <v>0</v>
      </c>
      <c r="I8" s="184"/>
    </row>
    <row r="9" spans="1:20" s="183" customFormat="1">
      <c r="B9" s="390" t="s">
        <v>82</v>
      </c>
      <c r="C9" s="403"/>
      <c r="D9" s="394"/>
      <c r="E9" s="404"/>
      <c r="F9" s="389"/>
      <c r="G9" s="390" t="s">
        <v>125</v>
      </c>
      <c r="H9" s="387" t="str">
        <f>'Historial de Revisiones'!G7</f>
        <v>Nombre desarrolllador</v>
      </c>
      <c r="I9" s="184"/>
    </row>
    <row r="10" spans="1:20" s="183" customFormat="1">
      <c r="B10" s="405" t="s">
        <v>83</v>
      </c>
      <c r="C10" s="405"/>
      <c r="D10" s="394"/>
      <c r="E10" s="406"/>
      <c r="F10" s="389"/>
      <c r="G10" s="390" t="s">
        <v>126</v>
      </c>
      <c r="H10" s="387" t="str">
        <f>'Historial de Revisiones'!G8</f>
        <v>Nombre de custodio</v>
      </c>
      <c r="I10" s="184"/>
    </row>
    <row r="11" spans="1:20" s="183" customFormat="1">
      <c r="B11" s="653"/>
      <c r="C11" s="653"/>
      <c r="D11" s="395"/>
      <c r="E11" s="406"/>
      <c r="F11" s="389"/>
      <c r="G11" s="390" t="s">
        <v>193</v>
      </c>
      <c r="H11" s="387">
        <f>'Historial de Revisiones'!G9</f>
        <v>0</v>
      </c>
      <c r="I11" s="184"/>
    </row>
    <row r="12" spans="1:20" s="183" customFormat="1" ht="12">
      <c r="E12" s="227"/>
      <c r="F12" s="182"/>
      <c r="G12" s="307"/>
      <c r="H12" s="306"/>
      <c r="I12" s="184"/>
    </row>
    <row r="13" spans="1:20" s="183" customFormat="1" ht="12">
      <c r="B13" s="183" t="s">
        <v>221</v>
      </c>
      <c r="I13" s="184"/>
      <c r="R13" s="185"/>
      <c r="S13" s="185"/>
      <c r="T13" s="185"/>
    </row>
    <row r="14" spans="1:20" s="183" customFormat="1" ht="33.75" customHeight="1">
      <c r="B14" s="670" t="s">
        <v>297</v>
      </c>
      <c r="C14" s="671"/>
      <c r="D14" s="671"/>
      <c r="E14" s="671"/>
      <c r="F14" s="671"/>
      <c r="G14" s="671"/>
      <c r="H14" s="672"/>
      <c r="I14" s="184"/>
      <c r="R14" s="185"/>
      <c r="S14" s="185"/>
      <c r="T14" s="185"/>
    </row>
    <row r="15" spans="1:20" s="183" customFormat="1" ht="14.25" customHeight="1">
      <c r="B15" s="186"/>
      <c r="C15" s="186"/>
      <c r="D15" s="186"/>
      <c r="E15" s="186"/>
      <c r="F15" s="186"/>
      <c r="G15" s="186"/>
      <c r="H15" s="186"/>
      <c r="I15" s="184"/>
      <c r="R15" s="185"/>
      <c r="S15" s="185"/>
      <c r="T15" s="185"/>
    </row>
    <row r="16" spans="1:20" s="183" customFormat="1">
      <c r="B16" s="187" t="s">
        <v>386</v>
      </c>
      <c r="C16" s="664" t="s">
        <v>383</v>
      </c>
      <c r="D16" s="664"/>
      <c r="E16" s="664"/>
      <c r="I16" s="184"/>
      <c r="R16" s="185"/>
      <c r="S16" s="185"/>
      <c r="T16" s="185"/>
    </row>
    <row r="17" spans="1:20" s="51" customFormat="1" ht="12">
      <c r="A17" s="84" t="s">
        <v>247</v>
      </c>
      <c r="B17" s="85" t="s">
        <v>246</v>
      </c>
      <c r="C17" s="86"/>
      <c r="D17" s="84" t="s">
        <v>360</v>
      </c>
      <c r="E17" s="272" t="s">
        <v>283</v>
      </c>
      <c r="F17" s="706" t="s">
        <v>253</v>
      </c>
      <c r="G17" s="706"/>
      <c r="H17" s="706"/>
      <c r="I17" s="352" t="s">
        <v>284</v>
      </c>
      <c r="K17" s="183"/>
      <c r="L17" s="183"/>
      <c r="M17" s="183"/>
      <c r="N17" s="183"/>
      <c r="O17" s="183"/>
      <c r="P17" s="183"/>
    </row>
    <row r="18" spans="1:20" s="192" customFormat="1">
      <c r="A18" s="226">
        <f>'CHK Técnico-VB'!A62+10</f>
        <v>234</v>
      </c>
      <c r="B18" s="190" t="s">
        <v>239</v>
      </c>
      <c r="C18" s="191"/>
      <c r="D18" s="191"/>
      <c r="E18" s="198"/>
      <c r="F18" s="654"/>
      <c r="G18" s="654"/>
      <c r="H18" s="654"/>
      <c r="I18" s="354"/>
      <c r="R18" s="193"/>
      <c r="S18" s="193"/>
      <c r="T18" s="193"/>
    </row>
    <row r="19" spans="1:20" s="194" customFormat="1" ht="25.5">
      <c r="A19" s="226">
        <f>A18+1</f>
        <v>235</v>
      </c>
      <c r="B19" s="123"/>
      <c r="C19" s="123" t="s">
        <v>240</v>
      </c>
      <c r="D19" s="131" t="s">
        <v>365</v>
      </c>
      <c r="E19" s="321"/>
      <c r="F19" s="650"/>
      <c r="G19" s="651"/>
      <c r="H19" s="651"/>
      <c r="I19" s="353"/>
      <c r="R19" s="195"/>
      <c r="S19" s="195"/>
      <c r="T19" s="195"/>
    </row>
    <row r="20" spans="1:20" s="194" customFormat="1" ht="25.5">
      <c r="A20" s="226">
        <f t="shared" ref="A20:A84" si="0">A19+1</f>
        <v>236</v>
      </c>
      <c r="B20" s="123"/>
      <c r="C20" s="123" t="s">
        <v>241</v>
      </c>
      <c r="D20" s="131" t="s">
        <v>365</v>
      </c>
      <c r="E20" s="321"/>
      <c r="F20" s="651"/>
      <c r="G20" s="651"/>
      <c r="H20" s="651"/>
      <c r="I20" s="353" t="str">
        <f>IF(NOT(ISBLANK($I$19)),$I$19,"  ")</f>
        <v xml:space="preserve">  </v>
      </c>
      <c r="R20" s="195"/>
      <c r="S20" s="195"/>
      <c r="T20" s="195"/>
    </row>
    <row r="21" spans="1:20" s="194" customFormat="1">
      <c r="A21" s="226">
        <f t="shared" si="0"/>
        <v>237</v>
      </c>
      <c r="B21" s="123"/>
      <c r="C21" s="123" t="s">
        <v>242</v>
      </c>
      <c r="D21" s="131" t="s">
        <v>365</v>
      </c>
      <c r="E21" s="321"/>
      <c r="F21" s="651"/>
      <c r="G21" s="651"/>
      <c r="H21" s="651"/>
      <c r="I21" s="353" t="str">
        <f t="shared" ref="I21:I89" si="1">IF(NOT(ISBLANK($I$19)),$I$19,"  ")</f>
        <v xml:space="preserve">  </v>
      </c>
      <c r="R21" s="195"/>
      <c r="S21" s="195"/>
      <c r="T21" s="195"/>
    </row>
    <row r="22" spans="1:20" s="194" customFormat="1" ht="25.5">
      <c r="A22" s="226">
        <f t="shared" si="0"/>
        <v>238</v>
      </c>
      <c r="B22" s="123"/>
      <c r="C22" s="123" t="s">
        <v>243</v>
      </c>
      <c r="D22" s="131" t="s">
        <v>365</v>
      </c>
      <c r="E22" s="321"/>
      <c r="F22" s="651"/>
      <c r="G22" s="651"/>
      <c r="H22" s="651"/>
      <c r="I22" s="353" t="str">
        <f t="shared" si="1"/>
        <v xml:space="preserve">  </v>
      </c>
      <c r="R22" s="195"/>
      <c r="S22" s="195"/>
      <c r="T22" s="195"/>
    </row>
    <row r="23" spans="1:20" s="194" customFormat="1" ht="38.25">
      <c r="A23" s="226">
        <f t="shared" si="0"/>
        <v>239</v>
      </c>
      <c r="B23" s="123"/>
      <c r="C23" s="123" t="s">
        <v>244</v>
      </c>
      <c r="D23" s="131" t="s">
        <v>365</v>
      </c>
      <c r="E23" s="321"/>
      <c r="F23" s="651"/>
      <c r="G23" s="651"/>
      <c r="H23" s="651"/>
      <c r="I23" s="353" t="str">
        <f t="shared" si="1"/>
        <v xml:space="preserve">  </v>
      </c>
      <c r="R23" s="195"/>
      <c r="S23" s="195"/>
      <c r="T23" s="195"/>
    </row>
    <row r="24" spans="1:20" s="194" customFormat="1" ht="25.5">
      <c r="A24" s="226">
        <f t="shared" si="0"/>
        <v>240</v>
      </c>
      <c r="B24" s="123"/>
      <c r="C24" s="123" t="s">
        <v>245</v>
      </c>
      <c r="D24" s="131" t="s">
        <v>365</v>
      </c>
      <c r="E24" s="321"/>
      <c r="F24" s="651"/>
      <c r="G24" s="651"/>
      <c r="H24" s="651"/>
      <c r="I24" s="353" t="str">
        <f t="shared" si="1"/>
        <v xml:space="preserve">  </v>
      </c>
      <c r="R24" s="195"/>
      <c r="S24" s="195"/>
      <c r="T24" s="195"/>
    </row>
    <row r="25" spans="1:20" s="192" customFormat="1">
      <c r="A25" s="226">
        <f t="shared" si="0"/>
        <v>241</v>
      </c>
      <c r="B25" s="190" t="s">
        <v>133</v>
      </c>
      <c r="C25" s="191"/>
      <c r="D25" s="191"/>
      <c r="E25" s="198"/>
      <c r="F25" s="707">
        <v>0</v>
      </c>
      <c r="G25" s="707"/>
      <c r="H25" s="707"/>
      <c r="I25" s="355">
        <v>0</v>
      </c>
      <c r="R25" s="193"/>
      <c r="S25" s="193"/>
      <c r="T25" s="193"/>
    </row>
    <row r="26" spans="1:20" s="194" customFormat="1" ht="38.25">
      <c r="A26" s="226">
        <f t="shared" si="0"/>
        <v>242</v>
      </c>
      <c r="B26" s="123"/>
      <c r="C26" s="123" t="s">
        <v>352</v>
      </c>
      <c r="D26" s="131" t="s">
        <v>361</v>
      </c>
      <c r="E26" s="321"/>
      <c r="F26" s="651"/>
      <c r="G26" s="651"/>
      <c r="H26" s="651"/>
      <c r="I26" s="353" t="str">
        <f t="shared" si="1"/>
        <v xml:space="preserve">  </v>
      </c>
      <c r="R26" s="195"/>
      <c r="S26" s="195"/>
      <c r="T26" s="195"/>
    </row>
    <row r="27" spans="1:20" s="194" customFormat="1" ht="25.5">
      <c r="A27" s="226">
        <f t="shared" si="0"/>
        <v>243</v>
      </c>
      <c r="B27" s="123"/>
      <c r="C27" s="123" t="s">
        <v>8</v>
      </c>
      <c r="D27" s="123" t="s">
        <v>361</v>
      </c>
      <c r="E27" s="322"/>
      <c r="F27" s="651"/>
      <c r="G27" s="651"/>
      <c r="H27" s="651"/>
      <c r="I27" s="353" t="str">
        <f t="shared" si="1"/>
        <v xml:space="preserve">  </v>
      </c>
      <c r="R27" s="195"/>
      <c r="S27" s="195"/>
      <c r="T27" s="195"/>
    </row>
    <row r="28" spans="1:20" s="194" customFormat="1" ht="25.5">
      <c r="A28" s="226">
        <f t="shared" si="0"/>
        <v>244</v>
      </c>
      <c r="B28" s="125"/>
      <c r="C28" s="228" t="s">
        <v>391</v>
      </c>
      <c r="D28" s="228" t="s">
        <v>367</v>
      </c>
      <c r="E28" s="322"/>
      <c r="F28" s="651"/>
      <c r="G28" s="651"/>
      <c r="H28" s="651"/>
      <c r="I28" s="353" t="str">
        <f t="shared" si="1"/>
        <v xml:space="preserve">  </v>
      </c>
      <c r="R28" s="195"/>
      <c r="S28" s="195"/>
      <c r="T28" s="195"/>
    </row>
    <row r="29" spans="1:20" s="194" customFormat="1" ht="25.5">
      <c r="A29" s="226">
        <f t="shared" si="0"/>
        <v>245</v>
      </c>
      <c r="B29" s="125"/>
      <c r="C29" s="196" t="s">
        <v>351</v>
      </c>
      <c r="D29" s="228" t="s">
        <v>367</v>
      </c>
      <c r="E29" s="322"/>
      <c r="F29" s="651"/>
      <c r="G29" s="651"/>
      <c r="H29" s="651"/>
      <c r="I29" s="353" t="str">
        <f t="shared" si="1"/>
        <v xml:space="preserve">  </v>
      </c>
      <c r="R29" s="195"/>
      <c r="S29" s="195"/>
      <c r="T29" s="195"/>
    </row>
    <row r="30" spans="1:20" s="192" customFormat="1">
      <c r="A30" s="226">
        <f t="shared" si="0"/>
        <v>246</v>
      </c>
      <c r="B30" s="190" t="s">
        <v>145</v>
      </c>
      <c r="C30" s="191"/>
      <c r="D30" s="191"/>
      <c r="E30" s="199"/>
      <c r="F30" s="654"/>
      <c r="G30" s="654"/>
      <c r="H30" s="654"/>
      <c r="I30" s="354"/>
      <c r="R30" s="193"/>
      <c r="S30" s="193"/>
      <c r="T30" s="193"/>
    </row>
    <row r="31" spans="1:20" s="194" customFormat="1" ht="25.5">
      <c r="A31" s="226">
        <f t="shared" si="0"/>
        <v>247</v>
      </c>
      <c r="B31" s="123"/>
      <c r="C31" s="123" t="s">
        <v>9</v>
      </c>
      <c r="D31" s="131" t="s">
        <v>369</v>
      </c>
      <c r="E31" s="321"/>
      <c r="F31" s="651"/>
      <c r="G31" s="651"/>
      <c r="H31" s="651"/>
      <c r="I31" s="353" t="str">
        <f t="shared" si="1"/>
        <v xml:space="preserve">  </v>
      </c>
      <c r="R31" s="195"/>
      <c r="S31" s="195"/>
      <c r="T31" s="195"/>
    </row>
    <row r="32" spans="1:20" s="194" customFormat="1" ht="23.25" customHeight="1">
      <c r="A32" s="226">
        <f t="shared" si="0"/>
        <v>248</v>
      </c>
      <c r="B32" s="123"/>
      <c r="C32" s="123" t="s">
        <v>10</v>
      </c>
      <c r="D32" s="131" t="s">
        <v>369</v>
      </c>
      <c r="E32" s="321"/>
      <c r="F32" s="651"/>
      <c r="G32" s="651"/>
      <c r="H32" s="651"/>
      <c r="I32" s="353" t="str">
        <f t="shared" si="1"/>
        <v xml:space="preserve">  </v>
      </c>
      <c r="R32" s="195"/>
      <c r="S32" s="195"/>
      <c r="T32" s="195"/>
    </row>
    <row r="33" spans="1:20" s="194" customFormat="1" ht="25.5">
      <c r="A33" s="226">
        <f t="shared" si="0"/>
        <v>249</v>
      </c>
      <c r="B33" s="123"/>
      <c r="C33" s="123" t="s">
        <v>11</v>
      </c>
      <c r="D33" s="131" t="s">
        <v>369</v>
      </c>
      <c r="E33" s="321"/>
      <c r="F33" s="651"/>
      <c r="G33" s="651"/>
      <c r="H33" s="651"/>
      <c r="I33" s="353" t="str">
        <f t="shared" si="1"/>
        <v xml:space="preserve">  </v>
      </c>
      <c r="R33" s="195"/>
      <c r="S33" s="195"/>
      <c r="T33" s="195"/>
    </row>
    <row r="34" spans="1:20" s="194" customFormat="1" ht="25.5">
      <c r="A34" s="226">
        <f t="shared" si="0"/>
        <v>250</v>
      </c>
      <c r="B34" s="123"/>
      <c r="C34" s="251" t="s">
        <v>733</v>
      </c>
      <c r="D34" s="131" t="s">
        <v>369</v>
      </c>
      <c r="E34" s="321"/>
      <c r="F34" s="651"/>
      <c r="G34" s="651"/>
      <c r="H34" s="651"/>
      <c r="I34" s="353" t="str">
        <f t="shared" si="1"/>
        <v xml:space="preserve">  </v>
      </c>
      <c r="R34" s="195"/>
      <c r="S34" s="195"/>
      <c r="T34" s="195"/>
    </row>
    <row r="35" spans="1:20" s="194" customFormat="1" ht="25.5">
      <c r="A35" s="226">
        <f t="shared" si="0"/>
        <v>251</v>
      </c>
      <c r="B35" s="123"/>
      <c r="C35" s="123" t="s">
        <v>12</v>
      </c>
      <c r="D35" s="131" t="s">
        <v>369</v>
      </c>
      <c r="E35" s="321"/>
      <c r="F35" s="651"/>
      <c r="G35" s="651"/>
      <c r="H35" s="651"/>
      <c r="I35" s="353" t="str">
        <f t="shared" si="1"/>
        <v xml:space="preserve">  </v>
      </c>
      <c r="R35" s="195"/>
      <c r="S35" s="195"/>
      <c r="T35" s="195"/>
    </row>
    <row r="36" spans="1:20" s="192" customFormat="1">
      <c r="A36" s="226">
        <f t="shared" si="0"/>
        <v>252</v>
      </c>
      <c r="B36" s="190" t="s">
        <v>13</v>
      </c>
      <c r="C36" s="191"/>
      <c r="D36" s="191"/>
      <c r="E36" s="199"/>
      <c r="F36" s="654"/>
      <c r="G36" s="654"/>
      <c r="H36" s="654"/>
      <c r="I36" s="354"/>
      <c r="R36" s="193"/>
      <c r="S36" s="193"/>
      <c r="T36" s="193"/>
    </row>
    <row r="37" spans="1:20" s="194" customFormat="1">
      <c r="A37" s="226">
        <f t="shared" si="0"/>
        <v>253</v>
      </c>
      <c r="B37" s="123"/>
      <c r="C37" s="123" t="s">
        <v>14</v>
      </c>
      <c r="D37" s="131" t="s">
        <v>369</v>
      </c>
      <c r="E37" s="321"/>
      <c r="F37" s="651"/>
      <c r="G37" s="651"/>
      <c r="H37" s="651"/>
      <c r="I37" s="353" t="str">
        <f t="shared" si="1"/>
        <v xml:space="preserve">  </v>
      </c>
      <c r="R37" s="195"/>
      <c r="S37" s="195"/>
      <c r="T37" s="195"/>
    </row>
    <row r="38" spans="1:20" s="194" customFormat="1" ht="25.5">
      <c r="A38" s="226">
        <f t="shared" si="0"/>
        <v>254</v>
      </c>
      <c r="B38" s="123"/>
      <c r="C38" s="123" t="s">
        <v>15</v>
      </c>
      <c r="D38" s="131" t="s">
        <v>369</v>
      </c>
      <c r="E38" s="321"/>
      <c r="F38" s="651"/>
      <c r="G38" s="651"/>
      <c r="H38" s="651"/>
      <c r="I38" s="353" t="str">
        <f t="shared" si="1"/>
        <v xml:space="preserve">  </v>
      </c>
      <c r="R38" s="195"/>
      <c r="S38" s="195"/>
      <c r="T38" s="195"/>
    </row>
    <row r="39" spans="1:20" s="194" customFormat="1">
      <c r="A39" s="226">
        <f t="shared" si="0"/>
        <v>255</v>
      </c>
      <c r="B39" s="123"/>
      <c r="C39" s="123" t="s">
        <v>16</v>
      </c>
      <c r="D39" s="131" t="s">
        <v>369</v>
      </c>
      <c r="E39" s="321"/>
      <c r="F39" s="651"/>
      <c r="G39" s="651"/>
      <c r="H39" s="651"/>
      <c r="I39" s="353" t="str">
        <f t="shared" si="1"/>
        <v xml:space="preserve">  </v>
      </c>
      <c r="R39" s="195"/>
      <c r="S39" s="195"/>
      <c r="T39" s="195"/>
    </row>
    <row r="40" spans="1:20" s="194" customFormat="1" ht="25.5">
      <c r="A40" s="226">
        <f t="shared" si="0"/>
        <v>256</v>
      </c>
      <c r="B40" s="123"/>
      <c r="C40" s="123" t="s">
        <v>17</v>
      </c>
      <c r="D40" s="131" t="s">
        <v>369</v>
      </c>
      <c r="E40" s="321"/>
      <c r="F40" s="651"/>
      <c r="G40" s="651"/>
      <c r="H40" s="651"/>
      <c r="I40" s="353" t="str">
        <f t="shared" si="1"/>
        <v xml:space="preserve">  </v>
      </c>
      <c r="R40" s="195"/>
      <c r="S40" s="195"/>
      <c r="T40" s="195"/>
    </row>
    <row r="41" spans="1:20" s="194" customFormat="1" ht="25.5">
      <c r="A41" s="226">
        <f t="shared" si="0"/>
        <v>257</v>
      </c>
      <c r="B41" s="123"/>
      <c r="C41" s="123" t="s">
        <v>18</v>
      </c>
      <c r="D41" s="131" t="s">
        <v>369</v>
      </c>
      <c r="E41" s="321"/>
      <c r="F41" s="651"/>
      <c r="G41" s="651"/>
      <c r="H41" s="651"/>
      <c r="I41" s="353" t="str">
        <f t="shared" si="1"/>
        <v xml:space="preserve">  </v>
      </c>
      <c r="R41" s="195"/>
      <c r="S41" s="195"/>
      <c r="T41" s="195"/>
    </row>
    <row r="42" spans="1:20" s="194" customFormat="1" ht="25.5">
      <c r="A42" s="226">
        <f t="shared" si="0"/>
        <v>258</v>
      </c>
      <c r="B42" s="123"/>
      <c r="C42" s="123" t="s">
        <v>19</v>
      </c>
      <c r="D42" s="131" t="s">
        <v>369</v>
      </c>
      <c r="E42" s="321"/>
      <c r="F42" s="651"/>
      <c r="G42" s="651"/>
      <c r="H42" s="651"/>
      <c r="I42" s="353" t="str">
        <f t="shared" si="1"/>
        <v xml:space="preserve">  </v>
      </c>
      <c r="R42" s="195"/>
      <c r="S42" s="195"/>
      <c r="T42" s="195"/>
    </row>
    <row r="43" spans="1:20" s="194" customFormat="1" ht="25.5">
      <c r="A43" s="226">
        <f t="shared" si="0"/>
        <v>259</v>
      </c>
      <c r="B43" s="123"/>
      <c r="C43" s="123" t="s">
        <v>20</v>
      </c>
      <c r="D43" s="131" t="s">
        <v>369</v>
      </c>
      <c r="E43" s="321"/>
      <c r="F43" s="651"/>
      <c r="G43" s="651"/>
      <c r="H43" s="651"/>
      <c r="I43" s="353" t="str">
        <f t="shared" si="1"/>
        <v xml:space="preserve">  </v>
      </c>
      <c r="R43" s="195"/>
      <c r="S43" s="195"/>
      <c r="T43" s="195"/>
    </row>
    <row r="44" spans="1:20" s="194" customFormat="1" ht="25.5">
      <c r="A44" s="226">
        <f t="shared" si="0"/>
        <v>260</v>
      </c>
      <c r="B44" s="123"/>
      <c r="C44" s="123" t="s">
        <v>21</v>
      </c>
      <c r="D44" s="131" t="s">
        <v>369</v>
      </c>
      <c r="E44" s="321"/>
      <c r="F44" s="651"/>
      <c r="G44" s="651"/>
      <c r="H44" s="651"/>
      <c r="I44" s="353" t="str">
        <f t="shared" si="1"/>
        <v xml:space="preserve">  </v>
      </c>
      <c r="R44" s="195"/>
      <c r="S44" s="195"/>
      <c r="T44" s="195"/>
    </row>
    <row r="45" spans="1:20" s="194" customFormat="1" ht="25.5">
      <c r="A45" s="226">
        <f t="shared" si="0"/>
        <v>261</v>
      </c>
      <c r="B45" s="123"/>
      <c r="C45" s="123" t="s">
        <v>22</v>
      </c>
      <c r="D45" s="131" t="s">
        <v>369</v>
      </c>
      <c r="E45" s="321"/>
      <c r="F45" s="651"/>
      <c r="G45" s="651"/>
      <c r="H45" s="651"/>
      <c r="I45" s="353" t="str">
        <f t="shared" si="1"/>
        <v xml:space="preserve">  </v>
      </c>
      <c r="R45" s="195"/>
      <c r="S45" s="195"/>
      <c r="T45" s="195"/>
    </row>
    <row r="46" spans="1:20" s="192" customFormat="1">
      <c r="A46" s="226">
        <f t="shared" si="0"/>
        <v>262</v>
      </c>
      <c r="B46" s="190" t="s">
        <v>23</v>
      </c>
      <c r="C46" s="191"/>
      <c r="D46" s="191"/>
      <c r="E46" s="199"/>
      <c r="F46" s="654"/>
      <c r="G46" s="654"/>
      <c r="H46" s="654"/>
      <c r="I46" s="354"/>
      <c r="R46" s="193"/>
      <c r="S46" s="193"/>
      <c r="T46" s="193"/>
    </row>
    <row r="47" spans="1:20" s="194" customFormat="1" ht="25.5">
      <c r="A47" s="226">
        <f t="shared" si="0"/>
        <v>263</v>
      </c>
      <c r="B47" s="123"/>
      <c r="C47" s="123" t="s">
        <v>24</v>
      </c>
      <c r="D47" s="131" t="s">
        <v>369</v>
      </c>
      <c r="E47" s="321"/>
      <c r="F47" s="651"/>
      <c r="G47" s="651"/>
      <c r="H47" s="651"/>
      <c r="I47" s="353" t="str">
        <f t="shared" si="1"/>
        <v xml:space="preserve">  </v>
      </c>
      <c r="R47" s="195"/>
      <c r="S47" s="195"/>
      <c r="T47" s="195"/>
    </row>
    <row r="48" spans="1:20" s="194" customFormat="1" ht="25.5">
      <c r="A48" s="226">
        <f t="shared" si="0"/>
        <v>264</v>
      </c>
      <c r="B48" s="123"/>
      <c r="C48" s="123" t="s">
        <v>25</v>
      </c>
      <c r="D48" s="131" t="s">
        <v>369</v>
      </c>
      <c r="E48" s="321"/>
      <c r="F48" s="651"/>
      <c r="G48" s="651"/>
      <c r="H48" s="651"/>
      <c r="I48" s="353" t="str">
        <f t="shared" si="1"/>
        <v xml:space="preserve">  </v>
      </c>
      <c r="R48" s="195"/>
      <c r="S48" s="195"/>
      <c r="T48" s="195"/>
    </row>
    <row r="49" spans="1:20" s="194" customFormat="1">
      <c r="A49" s="226">
        <f t="shared" si="0"/>
        <v>265</v>
      </c>
      <c r="B49" s="123"/>
      <c r="C49" s="123" t="s">
        <v>26</v>
      </c>
      <c r="D49" s="131" t="s">
        <v>369</v>
      </c>
      <c r="E49" s="321"/>
      <c r="F49" s="651"/>
      <c r="G49" s="651"/>
      <c r="H49" s="651"/>
      <c r="I49" s="353" t="str">
        <f t="shared" si="1"/>
        <v xml:space="preserve">  </v>
      </c>
      <c r="R49" s="195"/>
      <c r="S49" s="195"/>
      <c r="T49" s="195"/>
    </row>
    <row r="50" spans="1:20" s="194" customFormat="1" ht="38.25">
      <c r="A50" s="226">
        <f t="shared" si="0"/>
        <v>266</v>
      </c>
      <c r="B50" s="123"/>
      <c r="C50" s="123" t="s">
        <v>392</v>
      </c>
      <c r="D50" s="131" t="s">
        <v>369</v>
      </c>
      <c r="E50" s="321"/>
      <c r="F50" s="651"/>
      <c r="G50" s="651"/>
      <c r="H50" s="651"/>
      <c r="I50" s="353" t="str">
        <f t="shared" si="1"/>
        <v xml:space="preserve">  </v>
      </c>
      <c r="R50" s="195"/>
      <c r="S50" s="195"/>
      <c r="T50" s="195"/>
    </row>
    <row r="51" spans="1:20" s="194" customFormat="1" ht="51">
      <c r="A51" s="226">
        <f t="shared" si="0"/>
        <v>267</v>
      </c>
      <c r="B51" s="123"/>
      <c r="C51" s="123" t="s">
        <v>450</v>
      </c>
      <c r="D51" s="131" t="s">
        <v>369</v>
      </c>
      <c r="E51" s="321"/>
      <c r="F51" s="651"/>
      <c r="G51" s="651"/>
      <c r="H51" s="651"/>
      <c r="I51" s="353" t="str">
        <f t="shared" si="1"/>
        <v xml:space="preserve">  </v>
      </c>
      <c r="R51" s="195"/>
      <c r="S51" s="195"/>
      <c r="T51" s="195"/>
    </row>
    <row r="52" spans="1:20" s="192" customFormat="1">
      <c r="A52" s="226">
        <f t="shared" si="0"/>
        <v>268</v>
      </c>
      <c r="B52" s="190" t="s">
        <v>27</v>
      </c>
      <c r="C52" s="191"/>
      <c r="D52" s="191"/>
      <c r="E52" s="199"/>
      <c r="F52" s="654"/>
      <c r="G52" s="654"/>
      <c r="H52" s="654"/>
      <c r="I52" s="354"/>
      <c r="R52" s="193"/>
      <c r="S52" s="193"/>
      <c r="T52" s="193"/>
    </row>
    <row r="53" spans="1:20" s="194" customFormat="1" ht="25.5">
      <c r="A53" s="226">
        <f t="shared" si="0"/>
        <v>269</v>
      </c>
      <c r="B53" s="123"/>
      <c r="C53" s="123" t="s">
        <v>28</v>
      </c>
      <c r="D53" s="131" t="s">
        <v>365</v>
      </c>
      <c r="E53" s="321"/>
      <c r="F53" s="651"/>
      <c r="G53" s="651"/>
      <c r="H53" s="651"/>
      <c r="I53" s="353" t="str">
        <f t="shared" si="1"/>
        <v xml:space="preserve">  </v>
      </c>
      <c r="R53" s="195"/>
      <c r="S53" s="195"/>
      <c r="T53" s="195"/>
    </row>
    <row r="54" spans="1:20" s="194" customFormat="1" ht="38.25">
      <c r="A54" s="226">
        <f t="shared" si="0"/>
        <v>270</v>
      </c>
      <c r="B54" s="123"/>
      <c r="C54" s="251" t="s">
        <v>734</v>
      </c>
      <c r="D54" s="131" t="s">
        <v>365</v>
      </c>
      <c r="E54" s="321"/>
      <c r="F54" s="651"/>
      <c r="G54" s="651"/>
      <c r="H54" s="651"/>
      <c r="I54" s="353" t="str">
        <f t="shared" si="1"/>
        <v xml:space="preserve">  </v>
      </c>
      <c r="R54" s="195"/>
      <c r="S54" s="195"/>
      <c r="T54" s="195"/>
    </row>
    <row r="55" spans="1:20" s="194" customFormat="1" ht="38.25">
      <c r="A55" s="226">
        <f t="shared" si="0"/>
        <v>271</v>
      </c>
      <c r="B55" s="123"/>
      <c r="C55" s="123" t="s">
        <v>29</v>
      </c>
      <c r="D55" s="131" t="s">
        <v>365</v>
      </c>
      <c r="E55" s="321"/>
      <c r="F55" s="651"/>
      <c r="G55" s="651"/>
      <c r="H55" s="651"/>
      <c r="I55" s="353" t="str">
        <f t="shared" si="1"/>
        <v xml:space="preserve">  </v>
      </c>
      <c r="R55" s="195"/>
      <c r="S55" s="195"/>
      <c r="T55" s="195"/>
    </row>
    <row r="56" spans="1:20" s="194" customFormat="1" ht="25.5">
      <c r="A56" s="226">
        <f t="shared" si="0"/>
        <v>272</v>
      </c>
      <c r="B56" s="123"/>
      <c r="C56" s="123" t="s">
        <v>30</v>
      </c>
      <c r="D56" s="131" t="s">
        <v>66</v>
      </c>
      <c r="E56" s="321"/>
      <c r="F56" s="651"/>
      <c r="G56" s="651"/>
      <c r="H56" s="651"/>
      <c r="I56" s="353" t="str">
        <f t="shared" si="1"/>
        <v xml:space="preserve">  </v>
      </c>
      <c r="R56" s="195"/>
      <c r="S56" s="195"/>
      <c r="T56" s="195"/>
    </row>
    <row r="57" spans="1:20" s="194" customFormat="1" ht="25.5">
      <c r="A57" s="226">
        <f t="shared" si="0"/>
        <v>273</v>
      </c>
      <c r="B57" s="123"/>
      <c r="C57" s="123" t="s">
        <v>31</v>
      </c>
      <c r="D57" s="131" t="s">
        <v>66</v>
      </c>
      <c r="E57" s="321"/>
      <c r="F57" s="651"/>
      <c r="G57" s="651"/>
      <c r="H57" s="651"/>
      <c r="I57" s="353" t="str">
        <f t="shared" si="1"/>
        <v xml:space="preserve">  </v>
      </c>
      <c r="R57" s="195"/>
      <c r="S57" s="195"/>
      <c r="T57" s="195"/>
    </row>
    <row r="58" spans="1:20" s="194" customFormat="1" ht="25.5">
      <c r="A58" s="226">
        <f t="shared" si="0"/>
        <v>274</v>
      </c>
      <c r="B58" s="123"/>
      <c r="C58" s="123" t="s">
        <v>32</v>
      </c>
      <c r="D58" s="131" t="s">
        <v>66</v>
      </c>
      <c r="E58" s="321"/>
      <c r="F58" s="651"/>
      <c r="G58" s="651"/>
      <c r="H58" s="651"/>
      <c r="I58" s="353" t="str">
        <f t="shared" si="1"/>
        <v xml:space="preserve">  </v>
      </c>
      <c r="R58" s="195"/>
      <c r="S58" s="195"/>
      <c r="T58" s="195"/>
    </row>
    <row r="59" spans="1:20" s="192" customFormat="1">
      <c r="A59" s="226">
        <f t="shared" si="0"/>
        <v>275</v>
      </c>
      <c r="B59" s="190" t="s">
        <v>179</v>
      </c>
      <c r="C59" s="191"/>
      <c r="D59" s="191"/>
      <c r="E59" s="199"/>
      <c r="F59" s="654"/>
      <c r="G59" s="654"/>
      <c r="H59" s="654"/>
      <c r="I59" s="354"/>
      <c r="R59" s="193"/>
      <c r="S59" s="193"/>
      <c r="T59" s="193"/>
    </row>
    <row r="60" spans="1:20" s="194" customFormat="1" ht="25.5">
      <c r="A60" s="226">
        <f t="shared" si="0"/>
        <v>276</v>
      </c>
      <c r="B60" s="123"/>
      <c r="C60" s="123" t="s">
        <v>33</v>
      </c>
      <c r="D60" s="131" t="s">
        <v>365</v>
      </c>
      <c r="E60" s="321"/>
      <c r="F60" s="651"/>
      <c r="G60" s="651"/>
      <c r="H60" s="651"/>
      <c r="I60" s="353" t="str">
        <f t="shared" si="1"/>
        <v xml:space="preserve">  </v>
      </c>
      <c r="R60" s="195"/>
      <c r="S60" s="195"/>
      <c r="T60" s="195"/>
    </row>
    <row r="61" spans="1:20" s="194" customFormat="1" ht="38.25">
      <c r="A61" s="226">
        <f t="shared" si="0"/>
        <v>277</v>
      </c>
      <c r="B61" s="123"/>
      <c r="C61" s="123" t="s">
        <v>34</v>
      </c>
      <c r="D61" s="131" t="s">
        <v>365</v>
      </c>
      <c r="E61" s="321"/>
      <c r="F61" s="651"/>
      <c r="G61" s="651"/>
      <c r="H61" s="651"/>
      <c r="I61" s="353" t="str">
        <f t="shared" si="1"/>
        <v xml:space="preserve">  </v>
      </c>
      <c r="R61" s="195"/>
      <c r="S61" s="195"/>
      <c r="T61" s="195"/>
    </row>
    <row r="62" spans="1:20" s="194" customFormat="1" ht="25.5">
      <c r="A62" s="226">
        <f t="shared" si="0"/>
        <v>278</v>
      </c>
      <c r="B62" s="123"/>
      <c r="C62" s="123" t="s">
        <v>35</v>
      </c>
      <c r="D62" s="131" t="s">
        <v>365</v>
      </c>
      <c r="E62" s="321"/>
      <c r="F62" s="651"/>
      <c r="G62" s="651"/>
      <c r="H62" s="651"/>
      <c r="I62" s="353" t="str">
        <f t="shared" si="1"/>
        <v xml:space="preserve">  </v>
      </c>
      <c r="R62" s="195"/>
      <c r="S62" s="195"/>
      <c r="T62" s="195"/>
    </row>
    <row r="63" spans="1:20" s="194" customFormat="1" ht="25.5">
      <c r="A63" s="226">
        <f t="shared" si="0"/>
        <v>279</v>
      </c>
      <c r="B63" s="123"/>
      <c r="C63" s="123" t="s">
        <v>36</v>
      </c>
      <c r="D63" s="131" t="s">
        <v>365</v>
      </c>
      <c r="E63" s="321"/>
      <c r="F63" s="651"/>
      <c r="G63" s="651"/>
      <c r="H63" s="651"/>
      <c r="I63" s="353" t="str">
        <f t="shared" si="1"/>
        <v xml:space="preserve">  </v>
      </c>
      <c r="R63" s="195"/>
      <c r="S63" s="195"/>
      <c r="T63" s="195"/>
    </row>
    <row r="64" spans="1:20" s="194" customFormat="1" ht="38.25">
      <c r="A64" s="226">
        <f t="shared" si="0"/>
        <v>280</v>
      </c>
      <c r="B64" s="123"/>
      <c r="C64" s="123" t="s">
        <v>37</v>
      </c>
      <c r="D64" s="131" t="s">
        <v>365</v>
      </c>
      <c r="E64" s="321"/>
      <c r="F64" s="651"/>
      <c r="G64" s="651"/>
      <c r="H64" s="651"/>
      <c r="I64" s="353" t="str">
        <f t="shared" si="1"/>
        <v xml:space="preserve">  </v>
      </c>
      <c r="R64" s="195"/>
      <c r="S64" s="195"/>
      <c r="T64" s="195"/>
    </row>
    <row r="65" spans="1:20" s="194" customFormat="1" ht="25.5">
      <c r="A65" s="226">
        <f t="shared" si="0"/>
        <v>281</v>
      </c>
      <c r="B65" s="123"/>
      <c r="C65" s="123" t="s">
        <v>38</v>
      </c>
      <c r="D65" s="131" t="s">
        <v>365</v>
      </c>
      <c r="E65" s="321"/>
      <c r="F65" s="651"/>
      <c r="G65" s="651"/>
      <c r="H65" s="651"/>
      <c r="I65" s="353" t="str">
        <f t="shared" si="1"/>
        <v xml:space="preserve">  </v>
      </c>
      <c r="R65" s="195"/>
      <c r="S65" s="195"/>
      <c r="T65" s="195"/>
    </row>
    <row r="66" spans="1:20" s="194" customFormat="1" ht="25.5">
      <c r="A66" s="226">
        <f t="shared" si="0"/>
        <v>282</v>
      </c>
      <c r="B66" s="123"/>
      <c r="C66" s="123" t="s">
        <v>39</v>
      </c>
      <c r="D66" s="131" t="s">
        <v>66</v>
      </c>
      <c r="E66" s="321"/>
      <c r="F66" s="651"/>
      <c r="G66" s="651"/>
      <c r="H66" s="651"/>
      <c r="I66" s="353" t="str">
        <f t="shared" si="1"/>
        <v xml:space="preserve">  </v>
      </c>
      <c r="R66" s="195"/>
      <c r="S66" s="195"/>
      <c r="T66" s="195"/>
    </row>
    <row r="67" spans="1:20" s="194" customFormat="1" ht="25.5">
      <c r="A67" s="226">
        <f t="shared" si="0"/>
        <v>283</v>
      </c>
      <c r="B67" s="123"/>
      <c r="C67" s="123" t="s">
        <v>40</v>
      </c>
      <c r="D67" s="131" t="s">
        <v>365</v>
      </c>
      <c r="E67" s="321"/>
      <c r="F67" s="651"/>
      <c r="G67" s="651"/>
      <c r="H67" s="651"/>
      <c r="I67" s="353" t="str">
        <f t="shared" si="1"/>
        <v xml:space="preserve">  </v>
      </c>
      <c r="R67" s="195"/>
      <c r="S67" s="195"/>
      <c r="T67" s="195"/>
    </row>
    <row r="68" spans="1:20" s="194" customFormat="1" ht="38.25">
      <c r="A68" s="226">
        <f t="shared" si="0"/>
        <v>284</v>
      </c>
      <c r="B68" s="123"/>
      <c r="C68" s="123" t="s">
        <v>41</v>
      </c>
      <c r="D68" s="131" t="s">
        <v>365</v>
      </c>
      <c r="E68" s="321"/>
      <c r="F68" s="651"/>
      <c r="G68" s="651"/>
      <c r="H68" s="651"/>
      <c r="I68" s="353" t="str">
        <f t="shared" si="1"/>
        <v xml:space="preserve">  </v>
      </c>
      <c r="R68" s="195"/>
      <c r="S68" s="195"/>
      <c r="T68" s="195"/>
    </row>
    <row r="69" spans="1:20" s="194" customFormat="1" ht="25.5">
      <c r="A69" s="226">
        <f t="shared" si="0"/>
        <v>285</v>
      </c>
      <c r="B69" s="123"/>
      <c r="C69" s="123" t="s">
        <v>42</v>
      </c>
      <c r="D69" s="131" t="s">
        <v>365</v>
      </c>
      <c r="E69" s="321"/>
      <c r="F69" s="651"/>
      <c r="G69" s="651"/>
      <c r="H69" s="651"/>
      <c r="I69" s="353" t="str">
        <f t="shared" si="1"/>
        <v xml:space="preserve">  </v>
      </c>
      <c r="R69" s="195"/>
      <c r="S69" s="195"/>
      <c r="T69" s="195"/>
    </row>
    <row r="70" spans="1:20" s="194" customFormat="1" ht="25.5">
      <c r="A70" s="226">
        <f t="shared" si="0"/>
        <v>286</v>
      </c>
      <c r="B70" s="123"/>
      <c r="C70" s="123" t="s">
        <v>43</v>
      </c>
      <c r="D70" s="131" t="s">
        <v>365</v>
      </c>
      <c r="E70" s="321"/>
      <c r="F70" s="651"/>
      <c r="G70" s="651"/>
      <c r="H70" s="651"/>
      <c r="I70" s="353" t="str">
        <f t="shared" si="1"/>
        <v xml:space="preserve">  </v>
      </c>
      <c r="R70" s="195"/>
      <c r="S70" s="195"/>
      <c r="T70" s="195"/>
    </row>
    <row r="71" spans="1:20" s="194" customFormat="1" ht="25.5">
      <c r="A71" s="226">
        <f t="shared" si="0"/>
        <v>287</v>
      </c>
      <c r="B71" s="123"/>
      <c r="C71" s="123" t="s">
        <v>44</v>
      </c>
      <c r="D71" s="131" t="s">
        <v>365</v>
      </c>
      <c r="E71" s="321"/>
      <c r="F71" s="651"/>
      <c r="G71" s="651"/>
      <c r="H71" s="651"/>
      <c r="I71" s="353" t="str">
        <f t="shared" si="1"/>
        <v xml:space="preserve">  </v>
      </c>
      <c r="R71" s="195"/>
      <c r="S71" s="195"/>
      <c r="T71" s="195"/>
    </row>
    <row r="72" spans="1:20" s="194" customFormat="1" ht="25.5">
      <c r="A72" s="226">
        <f t="shared" si="0"/>
        <v>288</v>
      </c>
      <c r="B72" s="123"/>
      <c r="C72" s="123" t="s">
        <v>45</v>
      </c>
      <c r="D72" s="131" t="s">
        <v>365</v>
      </c>
      <c r="E72" s="321"/>
      <c r="F72" s="651"/>
      <c r="G72" s="651"/>
      <c r="H72" s="651"/>
      <c r="I72" s="353" t="str">
        <f t="shared" si="1"/>
        <v xml:space="preserve">  </v>
      </c>
      <c r="R72" s="195"/>
      <c r="S72" s="195"/>
      <c r="T72" s="195"/>
    </row>
    <row r="73" spans="1:20" s="194" customFormat="1" ht="25.5">
      <c r="A73" s="226">
        <f t="shared" si="0"/>
        <v>289</v>
      </c>
      <c r="B73" s="123"/>
      <c r="C73" s="123" t="s">
        <v>46</v>
      </c>
      <c r="D73" s="131" t="s">
        <v>365</v>
      </c>
      <c r="E73" s="321"/>
      <c r="F73" s="651"/>
      <c r="G73" s="651"/>
      <c r="H73" s="651"/>
      <c r="I73" s="353" t="str">
        <f t="shared" si="1"/>
        <v xml:space="preserve">  </v>
      </c>
      <c r="R73" s="195"/>
      <c r="S73" s="195"/>
      <c r="T73" s="195"/>
    </row>
    <row r="74" spans="1:20" s="192" customFormat="1">
      <c r="A74" s="226">
        <f t="shared" si="0"/>
        <v>290</v>
      </c>
      <c r="B74" s="190" t="s">
        <v>182</v>
      </c>
      <c r="C74" s="191"/>
      <c r="D74" s="191"/>
      <c r="E74" s="199"/>
      <c r="F74" s="654"/>
      <c r="G74" s="654"/>
      <c r="H74" s="654"/>
      <c r="I74" s="354"/>
      <c r="R74" s="193"/>
      <c r="S74" s="193"/>
      <c r="T74" s="193"/>
    </row>
    <row r="75" spans="1:20" s="194" customFormat="1" ht="25.5">
      <c r="A75" s="226">
        <f t="shared" si="0"/>
        <v>291</v>
      </c>
      <c r="B75" s="123"/>
      <c r="C75" s="123" t="s">
        <v>47</v>
      </c>
      <c r="D75" s="131" t="s">
        <v>365</v>
      </c>
      <c r="E75" s="321"/>
      <c r="F75" s="651"/>
      <c r="G75" s="651"/>
      <c r="H75" s="651"/>
      <c r="I75" s="353" t="str">
        <f t="shared" si="1"/>
        <v xml:space="preserve">  </v>
      </c>
      <c r="R75" s="195"/>
      <c r="S75" s="195"/>
      <c r="T75" s="195"/>
    </row>
    <row r="76" spans="1:20" s="194" customFormat="1" ht="38.25">
      <c r="A76" s="226">
        <f t="shared" si="0"/>
        <v>292</v>
      </c>
      <c r="B76" s="123"/>
      <c r="C76" s="123" t="s">
        <v>48</v>
      </c>
      <c r="D76" s="131" t="s">
        <v>66</v>
      </c>
      <c r="E76" s="321"/>
      <c r="F76" s="651"/>
      <c r="G76" s="651"/>
      <c r="H76" s="651"/>
      <c r="I76" s="353" t="str">
        <f t="shared" si="1"/>
        <v xml:space="preserve">  </v>
      </c>
      <c r="R76" s="195"/>
      <c r="S76" s="195"/>
      <c r="T76" s="195"/>
    </row>
    <row r="77" spans="1:20" s="194" customFormat="1" ht="25.5">
      <c r="A77" s="226">
        <f t="shared" si="0"/>
        <v>293</v>
      </c>
      <c r="B77" s="123"/>
      <c r="C77" s="123" t="s">
        <v>49</v>
      </c>
      <c r="D77" s="131" t="s">
        <v>66</v>
      </c>
      <c r="E77" s="321"/>
      <c r="F77" s="651"/>
      <c r="G77" s="651"/>
      <c r="H77" s="651"/>
      <c r="I77" s="353" t="str">
        <f t="shared" si="1"/>
        <v xml:space="preserve">  </v>
      </c>
      <c r="R77" s="195"/>
      <c r="S77" s="195"/>
      <c r="T77" s="195"/>
    </row>
    <row r="78" spans="1:20" s="194" customFormat="1">
      <c r="A78" s="226">
        <f t="shared" si="0"/>
        <v>294</v>
      </c>
      <c r="B78" s="123"/>
      <c r="C78" s="123" t="s">
        <v>50</v>
      </c>
      <c r="D78" s="131" t="s">
        <v>365</v>
      </c>
      <c r="E78" s="321"/>
      <c r="F78" s="651"/>
      <c r="G78" s="651"/>
      <c r="H78" s="651"/>
      <c r="I78" s="353" t="str">
        <f t="shared" si="1"/>
        <v xml:space="preserve">  </v>
      </c>
      <c r="R78" s="195"/>
      <c r="S78" s="195"/>
      <c r="T78" s="195"/>
    </row>
    <row r="79" spans="1:20" s="192" customFormat="1">
      <c r="A79" s="226">
        <f t="shared" si="0"/>
        <v>295</v>
      </c>
      <c r="B79" s="190" t="s">
        <v>185</v>
      </c>
      <c r="C79" s="191"/>
      <c r="D79" s="191"/>
      <c r="E79" s="199"/>
      <c r="F79" s="654"/>
      <c r="G79" s="654"/>
      <c r="H79" s="654"/>
      <c r="I79" s="354"/>
      <c r="R79" s="193"/>
      <c r="S79" s="193"/>
      <c r="T79" s="193"/>
    </row>
    <row r="80" spans="1:20" s="194" customFormat="1" ht="38.25">
      <c r="A80" s="226">
        <f t="shared" si="0"/>
        <v>296</v>
      </c>
      <c r="B80" s="123"/>
      <c r="C80" s="123" t="s">
        <v>51</v>
      </c>
      <c r="D80" s="131" t="s">
        <v>367</v>
      </c>
      <c r="E80" s="321"/>
      <c r="F80" s="651"/>
      <c r="G80" s="651"/>
      <c r="H80" s="651"/>
      <c r="I80" s="353" t="str">
        <f t="shared" si="1"/>
        <v xml:space="preserve">  </v>
      </c>
      <c r="R80" s="195"/>
      <c r="S80" s="195"/>
      <c r="T80" s="195"/>
    </row>
    <row r="81" spans="1:20" s="194" customFormat="1" ht="38.25">
      <c r="A81" s="226">
        <f t="shared" si="0"/>
        <v>297</v>
      </c>
      <c r="B81" s="123"/>
      <c r="C81" s="123" t="s">
        <v>52</v>
      </c>
      <c r="D81" s="131" t="s">
        <v>367</v>
      </c>
      <c r="E81" s="321"/>
      <c r="F81" s="651"/>
      <c r="G81" s="651"/>
      <c r="H81" s="651"/>
      <c r="I81" s="353" t="str">
        <f t="shared" si="1"/>
        <v xml:space="preserve">  </v>
      </c>
      <c r="R81" s="195"/>
      <c r="S81" s="195"/>
      <c r="T81" s="195"/>
    </row>
    <row r="82" spans="1:20" s="194" customFormat="1" ht="25.5">
      <c r="A82" s="226">
        <f t="shared" si="0"/>
        <v>298</v>
      </c>
      <c r="B82" s="123"/>
      <c r="C82" s="123" t="s">
        <v>53</v>
      </c>
      <c r="D82" s="131" t="s">
        <v>367</v>
      </c>
      <c r="E82" s="321"/>
      <c r="F82" s="651"/>
      <c r="G82" s="651"/>
      <c r="H82" s="651"/>
      <c r="I82" s="353" t="str">
        <f t="shared" si="1"/>
        <v xml:space="preserve">  </v>
      </c>
      <c r="R82" s="195"/>
      <c r="S82" s="195"/>
      <c r="T82" s="195"/>
    </row>
    <row r="83" spans="1:20" s="194" customFormat="1" ht="38.25">
      <c r="A83" s="226">
        <f t="shared" si="0"/>
        <v>299</v>
      </c>
      <c r="B83" s="123"/>
      <c r="C83" s="123" t="s">
        <v>186</v>
      </c>
      <c r="D83" s="131" t="s">
        <v>361</v>
      </c>
      <c r="E83" s="321"/>
      <c r="F83" s="651"/>
      <c r="G83" s="651"/>
      <c r="H83" s="651"/>
      <c r="I83" s="353" t="str">
        <f t="shared" si="1"/>
        <v xml:space="preserve">  </v>
      </c>
      <c r="R83" s="195"/>
      <c r="S83" s="195"/>
      <c r="T83" s="195"/>
    </row>
    <row r="84" spans="1:20" s="194" customFormat="1" ht="25.5">
      <c r="A84" s="226">
        <f t="shared" si="0"/>
        <v>300</v>
      </c>
      <c r="B84" s="123"/>
      <c r="C84" s="123" t="s">
        <v>187</v>
      </c>
      <c r="D84" s="131" t="s">
        <v>361</v>
      </c>
      <c r="E84" s="321"/>
      <c r="F84" s="651"/>
      <c r="G84" s="651"/>
      <c r="H84" s="651"/>
      <c r="I84" s="353" t="str">
        <f t="shared" si="1"/>
        <v xml:space="preserve">  </v>
      </c>
      <c r="R84" s="195"/>
      <c r="S84" s="195"/>
      <c r="T84" s="195"/>
    </row>
    <row r="85" spans="1:20" s="192" customFormat="1">
      <c r="A85" s="226">
        <f t="shared" ref="A85:A97" si="2">A84+1</f>
        <v>301</v>
      </c>
      <c r="B85" s="190" t="s">
        <v>220</v>
      </c>
      <c r="C85" s="191"/>
      <c r="D85" s="191"/>
      <c r="E85" s="199"/>
      <c r="F85" s="654"/>
      <c r="G85" s="654"/>
      <c r="H85" s="654"/>
      <c r="I85" s="354"/>
      <c r="R85" s="193"/>
      <c r="S85" s="193"/>
      <c r="T85" s="193"/>
    </row>
    <row r="86" spans="1:20" s="194" customFormat="1" ht="25.5">
      <c r="A86" s="226">
        <f t="shared" si="2"/>
        <v>302</v>
      </c>
      <c r="B86" s="123"/>
      <c r="C86" s="123" t="s">
        <v>189</v>
      </c>
      <c r="D86" s="131" t="s">
        <v>368</v>
      </c>
      <c r="E86" s="321"/>
      <c r="F86" s="651"/>
      <c r="G86" s="651"/>
      <c r="H86" s="651"/>
      <c r="I86" s="353" t="str">
        <f t="shared" si="1"/>
        <v xml:space="preserve">  </v>
      </c>
      <c r="R86" s="195"/>
      <c r="S86" s="195"/>
      <c r="T86" s="195"/>
    </row>
    <row r="87" spans="1:20" s="194" customFormat="1" ht="38.25">
      <c r="A87" s="226">
        <f t="shared" si="2"/>
        <v>303</v>
      </c>
      <c r="B87" s="123"/>
      <c r="C87" s="123" t="s">
        <v>190</v>
      </c>
      <c r="D87" s="131" t="s">
        <v>371</v>
      </c>
      <c r="E87" s="321"/>
      <c r="F87" s="651"/>
      <c r="G87" s="651"/>
      <c r="H87" s="651"/>
      <c r="I87" s="353" t="str">
        <f t="shared" si="1"/>
        <v xml:space="preserve">  </v>
      </c>
      <c r="R87" s="195"/>
      <c r="S87" s="195"/>
      <c r="T87" s="195"/>
    </row>
    <row r="88" spans="1:20" s="194" customFormat="1">
      <c r="A88" s="226">
        <f t="shared" si="2"/>
        <v>304</v>
      </c>
      <c r="B88" s="123"/>
      <c r="C88" s="123" t="s">
        <v>191</v>
      </c>
      <c r="D88" s="131" t="s">
        <v>365</v>
      </c>
      <c r="E88" s="321"/>
      <c r="F88" s="651"/>
      <c r="G88" s="651"/>
      <c r="H88" s="651"/>
      <c r="I88" s="353" t="str">
        <f t="shared" si="1"/>
        <v xml:space="preserve">  </v>
      </c>
      <c r="R88" s="195"/>
      <c r="S88" s="195"/>
      <c r="T88" s="195"/>
    </row>
    <row r="89" spans="1:20" s="194" customFormat="1" ht="25.5">
      <c r="A89" s="226">
        <f t="shared" si="2"/>
        <v>305</v>
      </c>
      <c r="B89" s="123"/>
      <c r="C89" s="123" t="s">
        <v>54</v>
      </c>
      <c r="D89" s="131" t="s">
        <v>365</v>
      </c>
      <c r="E89" s="321"/>
      <c r="F89" s="651"/>
      <c r="G89" s="651"/>
      <c r="H89" s="651"/>
      <c r="I89" s="353" t="str">
        <f t="shared" si="1"/>
        <v xml:space="preserve">  </v>
      </c>
      <c r="R89" s="195"/>
      <c r="S89" s="195"/>
      <c r="T89" s="195"/>
    </row>
    <row r="90" spans="1:20" s="194" customFormat="1">
      <c r="A90" s="226">
        <f t="shared" si="2"/>
        <v>306</v>
      </c>
      <c r="B90" s="126"/>
      <c r="C90" s="123"/>
      <c r="D90" s="131"/>
      <c r="E90" s="321"/>
      <c r="F90" s="651"/>
      <c r="G90" s="651"/>
      <c r="H90" s="651"/>
      <c r="I90" s="353"/>
      <c r="R90" s="195"/>
      <c r="S90" s="195"/>
      <c r="T90" s="195"/>
    </row>
    <row r="91" spans="1:20" s="194" customFormat="1">
      <c r="A91" s="226">
        <f t="shared" si="2"/>
        <v>307</v>
      </c>
      <c r="B91" s="126"/>
      <c r="C91" s="123"/>
      <c r="D91" s="131"/>
      <c r="E91" s="321"/>
      <c r="F91" s="651"/>
      <c r="G91" s="651"/>
      <c r="H91" s="651"/>
      <c r="I91" s="353"/>
      <c r="R91" s="195"/>
      <c r="S91" s="195"/>
      <c r="T91" s="195"/>
    </row>
    <row r="92" spans="1:20" s="194" customFormat="1">
      <c r="A92" s="226">
        <f t="shared" si="2"/>
        <v>308</v>
      </c>
      <c r="B92" s="127"/>
      <c r="C92" s="123"/>
      <c r="D92" s="131"/>
      <c r="E92" s="321"/>
      <c r="F92" s="651"/>
      <c r="G92" s="651"/>
      <c r="H92" s="651"/>
      <c r="I92" s="353"/>
      <c r="R92" s="195"/>
      <c r="S92" s="195"/>
      <c r="T92" s="195"/>
    </row>
    <row r="93" spans="1:20" s="194" customFormat="1">
      <c r="A93" s="226">
        <f t="shared" si="2"/>
        <v>309</v>
      </c>
      <c r="B93" s="127"/>
      <c r="C93" s="123"/>
      <c r="D93" s="131"/>
      <c r="E93" s="308"/>
      <c r="F93" s="651"/>
      <c r="G93" s="651"/>
      <c r="H93" s="651"/>
      <c r="I93" s="353"/>
      <c r="R93" s="195"/>
      <c r="S93" s="195"/>
      <c r="T93" s="195"/>
    </row>
    <row r="94" spans="1:20" s="194" customFormat="1">
      <c r="A94" s="226">
        <f t="shared" si="2"/>
        <v>310</v>
      </c>
      <c r="B94" s="127"/>
      <c r="C94" s="123"/>
      <c r="D94" s="131"/>
      <c r="E94" s="308"/>
      <c r="F94" s="651"/>
      <c r="G94" s="651"/>
      <c r="H94" s="651"/>
      <c r="I94" s="353"/>
      <c r="R94" s="195"/>
      <c r="S94" s="195"/>
      <c r="T94" s="195"/>
    </row>
    <row r="95" spans="1:20" s="194" customFormat="1">
      <c r="A95" s="226">
        <f t="shared" si="2"/>
        <v>311</v>
      </c>
      <c r="B95" s="127"/>
      <c r="C95" s="123"/>
      <c r="D95" s="131"/>
      <c r="E95" s="308"/>
      <c r="F95" s="651"/>
      <c r="G95" s="651"/>
      <c r="H95" s="651"/>
      <c r="I95" s="353"/>
      <c r="R95" s="195"/>
      <c r="S95" s="195"/>
      <c r="T95" s="195"/>
    </row>
    <row r="96" spans="1:20" s="194" customFormat="1">
      <c r="A96" s="226">
        <f t="shared" si="2"/>
        <v>312</v>
      </c>
      <c r="B96" s="127"/>
      <c r="C96" s="123"/>
      <c r="D96" s="131"/>
      <c r="E96" s="308"/>
      <c r="F96" s="651"/>
      <c r="G96" s="651"/>
      <c r="H96" s="651"/>
      <c r="I96" s="353"/>
      <c r="R96" s="195"/>
      <c r="S96" s="195"/>
      <c r="T96" s="195"/>
    </row>
    <row r="97" spans="1:20" s="194" customFormat="1">
      <c r="A97" s="226">
        <f t="shared" si="2"/>
        <v>313</v>
      </c>
      <c r="B97" s="127"/>
      <c r="C97" s="123"/>
      <c r="D97" s="131"/>
      <c r="E97" s="308"/>
      <c r="F97" s="650"/>
      <c r="G97" s="651"/>
      <c r="H97" s="651"/>
      <c r="I97" s="353"/>
      <c r="R97" s="195"/>
      <c r="S97" s="195"/>
      <c r="T97" s="195"/>
    </row>
    <row r="98" spans="1:20" s="192" customFormat="1">
      <c r="A98" s="326"/>
      <c r="B98" s="128" t="s">
        <v>132</v>
      </c>
      <c r="C98" s="324"/>
      <c r="D98" s="130"/>
      <c r="E98" s="325"/>
      <c r="F98" s="708"/>
      <c r="G98" s="708"/>
      <c r="H98" s="708"/>
      <c r="I98" s="333"/>
    </row>
    <row r="99" spans="1:20" s="192" customFormat="1">
      <c r="A99" s="674"/>
      <c r="B99" s="674"/>
      <c r="C99" s="674"/>
      <c r="D99" s="674"/>
      <c r="E99" s="674"/>
      <c r="F99" s="674"/>
      <c r="G99" s="674"/>
      <c r="H99" s="674"/>
      <c r="I99" s="674"/>
    </row>
    <row r="100" spans="1:20" s="192" customFormat="1">
      <c r="A100" s="674"/>
      <c r="B100" s="674"/>
      <c r="C100" s="674"/>
      <c r="D100" s="674"/>
      <c r="E100" s="674"/>
      <c r="F100" s="674"/>
      <c r="G100" s="674"/>
      <c r="H100" s="674"/>
      <c r="I100" s="674"/>
    </row>
    <row r="101" spans="1:20" s="192" customFormat="1">
      <c r="A101" s="674"/>
      <c r="B101" s="674"/>
      <c r="C101" s="674"/>
      <c r="D101" s="674"/>
      <c r="E101" s="674"/>
      <c r="F101" s="674"/>
      <c r="G101" s="674"/>
      <c r="H101" s="674"/>
      <c r="I101" s="674"/>
    </row>
    <row r="102" spans="1:20" s="192" customFormat="1">
      <c r="A102" s="674"/>
      <c r="B102" s="674"/>
      <c r="C102" s="674"/>
      <c r="D102" s="674"/>
      <c r="E102" s="674"/>
      <c r="F102" s="674"/>
      <c r="G102" s="674"/>
      <c r="H102" s="674"/>
      <c r="I102" s="674"/>
    </row>
    <row r="103" spans="1:20" s="192" customFormat="1">
      <c r="A103" s="674"/>
      <c r="B103" s="674"/>
      <c r="C103" s="674"/>
      <c r="D103" s="674"/>
      <c r="E103" s="674"/>
      <c r="F103" s="674"/>
      <c r="G103" s="674"/>
      <c r="H103" s="674"/>
      <c r="I103" s="674"/>
    </row>
    <row r="104" spans="1:20">
      <c r="A104" s="674"/>
      <c r="B104" s="674"/>
      <c r="C104" s="674"/>
      <c r="D104" s="674"/>
      <c r="E104" s="674"/>
      <c r="F104" s="674"/>
      <c r="G104" s="674"/>
      <c r="H104" s="674"/>
      <c r="I104" s="674"/>
    </row>
  </sheetData>
  <sheetProtection selectLockedCells="1"/>
  <mergeCells count="90">
    <mergeCell ref="F96:H96"/>
    <mergeCell ref="F97:H97"/>
    <mergeCell ref="F83:H83"/>
    <mergeCell ref="A99:I104"/>
    <mergeCell ref="F84:H84"/>
    <mergeCell ref="F85:H85"/>
    <mergeCell ref="F98:H98"/>
    <mergeCell ref="F95:H95"/>
    <mergeCell ref="F89:H89"/>
    <mergeCell ref="F91:H91"/>
    <mergeCell ref="F90:H90"/>
    <mergeCell ref="F81:H81"/>
    <mergeCell ref="F88:H88"/>
    <mergeCell ref="F80:H80"/>
    <mergeCell ref="F87:H87"/>
    <mergeCell ref="F86:H86"/>
    <mergeCell ref="F82:H82"/>
    <mergeCell ref="F70:H70"/>
    <mergeCell ref="F68:H68"/>
    <mergeCell ref="F94:H94"/>
    <mergeCell ref="B2:C2"/>
    <mergeCell ref="D2:G2"/>
    <mergeCell ref="H2:I2"/>
    <mergeCell ref="F67:H67"/>
    <mergeCell ref="F69:H69"/>
    <mergeCell ref="C16:E16"/>
    <mergeCell ref="F32:H32"/>
    <mergeCell ref="F33:H33"/>
    <mergeCell ref="F53:H53"/>
    <mergeCell ref="F54:H54"/>
    <mergeCell ref="F55:H55"/>
    <mergeCell ref="F46:H46"/>
    <mergeCell ref="F34:H34"/>
    <mergeCell ref="F19:H19"/>
    <mergeCell ref="F20:H20"/>
    <mergeCell ref="F27:H27"/>
    <mergeCell ref="F64:H64"/>
    <mergeCell ref="F56:H56"/>
    <mergeCell ref="F61:H61"/>
    <mergeCell ref="F63:H63"/>
    <mergeCell ref="F45:H45"/>
    <mergeCell ref="F51:H51"/>
    <mergeCell ref="F47:H47"/>
    <mergeCell ref="F57:H57"/>
    <mergeCell ref="F52:H52"/>
    <mergeCell ref="F49:H49"/>
    <mergeCell ref="F58:H58"/>
    <mergeCell ref="F30:H30"/>
    <mergeCell ref="F50:H50"/>
    <mergeCell ref="A4:I4"/>
    <mergeCell ref="F48:H48"/>
    <mergeCell ref="F25:H25"/>
    <mergeCell ref="F41:H41"/>
    <mergeCell ref="F35:H35"/>
    <mergeCell ref="F39:H39"/>
    <mergeCell ref="F40:H40"/>
    <mergeCell ref="F18:H18"/>
    <mergeCell ref="F21:H21"/>
    <mergeCell ref="F22:H22"/>
    <mergeCell ref="F26:H26"/>
    <mergeCell ref="F23:H23"/>
    <mergeCell ref="F24:H24"/>
    <mergeCell ref="B11:C11"/>
    <mergeCell ref="F28:H28"/>
    <mergeCell ref="F29:H29"/>
    <mergeCell ref="F65:H65"/>
    <mergeCell ref="F62:H62"/>
    <mergeCell ref="F60:H60"/>
    <mergeCell ref="B14:H14"/>
    <mergeCell ref="F93:H93"/>
    <mergeCell ref="F44:H44"/>
    <mergeCell ref="F36:H36"/>
    <mergeCell ref="F38:H38"/>
    <mergeCell ref="F37:H37"/>
    <mergeCell ref="F66:H66"/>
    <mergeCell ref="F17:H17"/>
    <mergeCell ref="F31:H31"/>
    <mergeCell ref="F92:H92"/>
    <mergeCell ref="F42:H42"/>
    <mergeCell ref="F43:H43"/>
    <mergeCell ref="F59:H59"/>
    <mergeCell ref="F71:H71"/>
    <mergeCell ref="F79:H79"/>
    <mergeCell ref="F77:H77"/>
    <mergeCell ref="F73:H73"/>
    <mergeCell ref="F78:H78"/>
    <mergeCell ref="F75:H75"/>
    <mergeCell ref="F76:H76"/>
    <mergeCell ref="F74:H74"/>
    <mergeCell ref="F72:H72"/>
  </mergeCells>
  <phoneticPr fontId="8" type="noConversion"/>
  <dataValidations disablePrompts="1" count="1">
    <dataValidation type="list" allowBlank="1" showInputMessage="1" showErrorMessage="1" sqref="E18:E97">
      <formula1>Resultados</formula1>
    </dataValidation>
  </dataValidations>
  <pageMargins left="0.74803149606299213" right="0.74803149606299213" top="0.98425196850393704" bottom="0.98425196850393704" header="0.51181102362204722" footer="0.51181102362204722"/>
  <pageSetup paperSize="9" scale="85" orientation="portrait" verticalDpi="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T68"/>
  <sheetViews>
    <sheetView showGridLines="0" topLeftCell="A4" zoomScale="90" zoomScaleNormal="90" workbookViewId="0">
      <selection activeCell="C12" sqref="C12"/>
    </sheetView>
  </sheetViews>
  <sheetFormatPr baseColWidth="10" defaultColWidth="11.42578125" defaultRowHeight="12.75"/>
  <cols>
    <col min="1" max="1" width="5.85546875" style="200" customWidth="1"/>
    <col min="2" max="2" width="3.85546875" style="200" customWidth="1"/>
    <col min="3" max="3" width="40.140625" style="200" customWidth="1"/>
    <col min="4" max="4" width="16.140625" style="200" customWidth="1"/>
    <col min="5" max="5" width="14.5703125" style="200" customWidth="1"/>
    <col min="6" max="6" width="11.42578125" style="200"/>
    <col min="7" max="7" width="19.42578125" style="200" customWidth="1"/>
    <col min="8" max="8" width="34.5703125" style="200" bestFit="1" customWidth="1"/>
    <col min="9" max="9" width="16.85546875" style="201" customWidth="1"/>
    <col min="10" max="16384" width="11.42578125" style="200"/>
  </cols>
  <sheetData>
    <row r="2" spans="1:20" s="368" customFormat="1" ht="58.5" customHeight="1">
      <c r="A2" s="12"/>
      <c r="B2" s="622"/>
      <c r="C2" s="622"/>
      <c r="D2" s="641" t="s">
        <v>573</v>
      </c>
      <c r="E2" s="642"/>
      <c r="F2" s="642"/>
      <c r="G2" s="665"/>
      <c r="H2" s="622"/>
      <c r="I2" s="622"/>
    </row>
    <row r="4" spans="1:20" s="183" customFormat="1" ht="15.75">
      <c r="A4" s="659" t="s">
        <v>895</v>
      </c>
      <c r="B4" s="660"/>
      <c r="C4" s="660"/>
      <c r="D4" s="660"/>
      <c r="E4" s="660"/>
      <c r="F4" s="660"/>
      <c r="G4" s="660"/>
      <c r="H4" s="660"/>
      <c r="I4" s="661"/>
    </row>
    <row r="5" spans="1:20" s="183" customFormat="1" ht="12">
      <c r="I5" s="184"/>
    </row>
    <row r="6" spans="1:20" s="183" customFormat="1">
      <c r="B6" s="396" t="s">
        <v>79</v>
      </c>
      <c r="C6" s="397"/>
      <c r="D6" s="398" t="str">
        <f>'Historial de Revisiones'!D4</f>
        <v>LP02</v>
      </c>
      <c r="E6" s="404"/>
      <c r="F6" s="389"/>
      <c r="G6" s="390" t="s">
        <v>451</v>
      </c>
      <c r="H6" s="387" t="str">
        <f>'Historial de Revisiones'!G4</f>
        <v>GOC-7089</v>
      </c>
      <c r="I6" s="184"/>
    </row>
    <row r="7" spans="1:20" s="183" customFormat="1">
      <c r="B7" s="396" t="s">
        <v>80</v>
      </c>
      <c r="C7" s="397"/>
      <c r="D7" s="398" t="str">
        <f>'Historial de Revisiones'!D5</f>
        <v>Luis Marcilla</v>
      </c>
      <c r="E7" s="404"/>
      <c r="F7" s="389"/>
      <c r="G7" s="390" t="s">
        <v>477</v>
      </c>
      <c r="H7" s="387" t="str">
        <f>'Historial de Revisiones'!G5</f>
        <v>GOC-7092</v>
      </c>
      <c r="I7" s="184"/>
    </row>
    <row r="8" spans="1:20" s="183" customFormat="1">
      <c r="B8" s="396" t="s">
        <v>81</v>
      </c>
      <c r="C8" s="397"/>
      <c r="D8" s="401">
        <f>'Historial de Revisiones'!D6</f>
        <v>673</v>
      </c>
      <c r="E8" s="404"/>
      <c r="F8" s="389"/>
      <c r="G8" s="390" t="s">
        <v>124</v>
      </c>
      <c r="H8" s="387">
        <f>'Historial de Revisiones'!G6</f>
        <v>0</v>
      </c>
      <c r="I8" s="184"/>
    </row>
    <row r="9" spans="1:20" s="183" customFormat="1">
      <c r="B9" s="396" t="s">
        <v>82</v>
      </c>
      <c r="C9" s="397"/>
      <c r="D9" s="402">
        <f>'Historial de Revisiones'!D7</f>
        <v>44228</v>
      </c>
      <c r="E9" s="404"/>
      <c r="F9" s="389"/>
      <c r="G9" s="390" t="s">
        <v>125</v>
      </c>
      <c r="H9" s="387" t="str">
        <f>'Historial de Revisiones'!G7</f>
        <v>Nombre desarrolllador</v>
      </c>
      <c r="I9" s="184"/>
    </row>
    <row r="10" spans="1:20" s="183" customFormat="1">
      <c r="B10" s="693" t="s">
        <v>83</v>
      </c>
      <c r="C10" s="694"/>
      <c r="D10" s="402">
        <f>'Historial de Revisiones'!D8</f>
        <v>44295</v>
      </c>
      <c r="E10" s="406"/>
      <c r="F10" s="389"/>
      <c r="G10" s="390" t="s">
        <v>126</v>
      </c>
      <c r="H10" s="387" t="str">
        <f>'Historial de Revisiones'!G8</f>
        <v>Nombre de custodio</v>
      </c>
      <c r="I10" s="184"/>
    </row>
    <row r="11" spans="1:20" s="183" customFormat="1">
      <c r="B11" s="653"/>
      <c r="C11" s="653"/>
      <c r="D11" s="395"/>
      <c r="E11" s="406"/>
      <c r="F11" s="389"/>
      <c r="G11" s="390" t="s">
        <v>193</v>
      </c>
      <c r="H11" s="387">
        <f>'Historial de Revisiones'!G9</f>
        <v>0</v>
      </c>
      <c r="I11" s="184"/>
    </row>
    <row r="12" spans="1:20" s="183" customFormat="1" ht="12">
      <c r="E12" s="227"/>
      <c r="F12" s="182"/>
      <c r="G12" s="307"/>
      <c r="H12" s="306"/>
      <c r="I12" s="184"/>
    </row>
    <row r="13" spans="1:20" s="183" customFormat="1" ht="12">
      <c r="B13" s="183" t="s">
        <v>221</v>
      </c>
      <c r="I13" s="184"/>
      <c r="R13" s="185"/>
      <c r="S13" s="185"/>
      <c r="T13" s="185"/>
    </row>
    <row r="14" spans="1:20" s="183" customFormat="1" ht="33.75" customHeight="1">
      <c r="B14" s="670" t="s">
        <v>297</v>
      </c>
      <c r="C14" s="671"/>
      <c r="D14" s="671"/>
      <c r="E14" s="671"/>
      <c r="F14" s="671"/>
      <c r="G14" s="671"/>
      <c r="H14" s="672"/>
      <c r="I14" s="184"/>
      <c r="R14" s="185"/>
      <c r="S14" s="185"/>
      <c r="T14" s="185"/>
    </row>
    <row r="15" spans="1:20" s="183" customFormat="1" ht="14.25" customHeight="1">
      <c r="B15" s="186"/>
      <c r="C15" s="186"/>
      <c r="D15" s="186"/>
      <c r="E15" s="186"/>
      <c r="F15" s="186"/>
      <c r="G15" s="186"/>
      <c r="H15" s="186"/>
      <c r="I15" s="184"/>
      <c r="R15" s="185"/>
      <c r="S15" s="185"/>
      <c r="T15" s="185"/>
    </row>
    <row r="16" spans="1:20" s="183" customFormat="1">
      <c r="B16" s="187" t="s">
        <v>386</v>
      </c>
      <c r="C16" s="664" t="s">
        <v>383</v>
      </c>
      <c r="D16" s="664"/>
      <c r="E16" s="664"/>
      <c r="I16" s="184"/>
      <c r="R16" s="185"/>
      <c r="S16" s="185"/>
      <c r="T16" s="185"/>
    </row>
    <row r="17" spans="1:20" s="51" customFormat="1" ht="12">
      <c r="A17" s="84" t="s">
        <v>247</v>
      </c>
      <c r="B17" s="85" t="s">
        <v>246</v>
      </c>
      <c r="C17" s="86"/>
      <c r="D17" s="84" t="s">
        <v>360</v>
      </c>
      <c r="E17" s="272" t="s">
        <v>283</v>
      </c>
      <c r="F17" s="706" t="s">
        <v>253</v>
      </c>
      <c r="G17" s="706"/>
      <c r="H17" s="706"/>
      <c r="I17" s="352" t="s">
        <v>284</v>
      </c>
      <c r="K17" s="183"/>
      <c r="L17" s="183"/>
      <c r="M17" s="183"/>
      <c r="N17" s="183"/>
      <c r="O17" s="183"/>
      <c r="P17" s="183"/>
    </row>
    <row r="18" spans="1:20" s="192" customFormat="1">
      <c r="A18" s="226">
        <f>'CHK Técnico-VB'!A62+10</f>
        <v>234</v>
      </c>
      <c r="B18" s="190" t="s">
        <v>239</v>
      </c>
      <c r="C18" s="191"/>
      <c r="D18" s="191"/>
      <c r="E18" s="198"/>
      <c r="F18" s="654"/>
      <c r="G18" s="654"/>
      <c r="H18" s="654"/>
      <c r="I18" s="354"/>
      <c r="R18" s="193"/>
      <c r="S18" s="193"/>
      <c r="T18" s="193"/>
    </row>
    <row r="19" spans="1:20" s="194" customFormat="1">
      <c r="A19" s="226">
        <f>A18+1</f>
        <v>235</v>
      </c>
      <c r="B19" s="123"/>
      <c r="C19" s="251" t="s">
        <v>880</v>
      </c>
      <c r="D19" s="131" t="s">
        <v>365</v>
      </c>
      <c r="E19" s="321" t="s">
        <v>130</v>
      </c>
      <c r="F19" s="650"/>
      <c r="G19" s="651"/>
      <c r="H19" s="651"/>
      <c r="I19" s="433">
        <v>44900</v>
      </c>
      <c r="R19" s="195"/>
      <c r="S19" s="195"/>
      <c r="T19" s="195"/>
    </row>
    <row r="20" spans="1:20" s="194" customFormat="1" ht="25.5">
      <c r="A20" s="226">
        <f t="shared" ref="A20:A51" si="0">A19+1</f>
        <v>236</v>
      </c>
      <c r="B20" s="123"/>
      <c r="C20" s="251" t="s">
        <v>881</v>
      </c>
      <c r="D20" s="131" t="s">
        <v>365</v>
      </c>
      <c r="E20" s="321" t="s">
        <v>130</v>
      </c>
      <c r="F20" s="651"/>
      <c r="G20" s="651"/>
      <c r="H20" s="651"/>
      <c r="I20" s="433">
        <f>IF(NOT(ISBLANK($I$19)),$I$19,"  ")</f>
        <v>44900</v>
      </c>
      <c r="R20" s="195"/>
      <c r="S20" s="195"/>
      <c r="T20" s="195"/>
    </row>
    <row r="21" spans="1:20" s="194" customFormat="1" ht="25.5">
      <c r="A21" s="226">
        <f t="shared" si="0"/>
        <v>237</v>
      </c>
      <c r="B21" s="123"/>
      <c r="C21" s="251" t="s">
        <v>882</v>
      </c>
      <c r="D21" s="131" t="s">
        <v>365</v>
      </c>
      <c r="E21" s="321" t="s">
        <v>130</v>
      </c>
      <c r="F21" s="651"/>
      <c r="G21" s="651"/>
      <c r="H21" s="651"/>
      <c r="I21" s="433">
        <f t="shared" ref="I21:I53" si="1">IF(NOT(ISBLANK($I$19)),$I$19,"  ")</f>
        <v>44900</v>
      </c>
      <c r="R21" s="195"/>
      <c r="S21" s="195"/>
      <c r="T21" s="195"/>
    </row>
    <row r="22" spans="1:20" s="194" customFormat="1" ht="25.5">
      <c r="A22" s="226">
        <f t="shared" si="0"/>
        <v>238</v>
      </c>
      <c r="B22" s="123"/>
      <c r="C22" s="251" t="s">
        <v>885</v>
      </c>
      <c r="D22" s="131" t="s">
        <v>365</v>
      </c>
      <c r="E22" s="321" t="s">
        <v>130</v>
      </c>
      <c r="F22" s="651"/>
      <c r="G22" s="651"/>
      <c r="H22" s="651"/>
      <c r="I22" s="433">
        <f t="shared" si="1"/>
        <v>44900</v>
      </c>
      <c r="R22" s="195"/>
      <c r="S22" s="195"/>
      <c r="T22" s="195"/>
    </row>
    <row r="23" spans="1:20" s="194" customFormat="1" ht="25.5">
      <c r="A23" s="226">
        <f t="shared" si="0"/>
        <v>239</v>
      </c>
      <c r="B23" s="123"/>
      <c r="C23" s="251" t="s">
        <v>886</v>
      </c>
      <c r="D23" s="131" t="s">
        <v>365</v>
      </c>
      <c r="E23" s="321" t="s">
        <v>130</v>
      </c>
      <c r="F23" s="651"/>
      <c r="G23" s="651"/>
      <c r="H23" s="651"/>
      <c r="I23" s="433">
        <f t="shared" si="1"/>
        <v>44900</v>
      </c>
      <c r="R23" s="195"/>
      <c r="S23" s="195"/>
      <c r="T23" s="195"/>
    </row>
    <row r="24" spans="1:20" s="194" customFormat="1" ht="38.25">
      <c r="A24" s="226">
        <f t="shared" si="0"/>
        <v>240</v>
      </c>
      <c r="B24" s="123"/>
      <c r="C24" s="251" t="s">
        <v>890</v>
      </c>
      <c r="D24" s="131" t="s">
        <v>365</v>
      </c>
      <c r="E24" s="321" t="s">
        <v>130</v>
      </c>
      <c r="F24" s="651"/>
      <c r="G24" s="651"/>
      <c r="H24" s="651"/>
      <c r="I24" s="433">
        <f t="shared" si="1"/>
        <v>44900</v>
      </c>
      <c r="R24" s="195"/>
      <c r="S24" s="195"/>
      <c r="T24" s="195"/>
    </row>
    <row r="25" spans="1:20" s="194" customFormat="1" ht="38.25">
      <c r="A25" s="226">
        <f t="shared" si="0"/>
        <v>241</v>
      </c>
      <c r="B25" s="123"/>
      <c r="C25" s="251" t="s">
        <v>883</v>
      </c>
      <c r="D25" s="131" t="s">
        <v>365</v>
      </c>
      <c r="E25" s="321" t="s">
        <v>130</v>
      </c>
      <c r="F25" s="651"/>
      <c r="G25" s="651"/>
      <c r="H25" s="651"/>
      <c r="I25" s="433">
        <f t="shared" si="1"/>
        <v>44900</v>
      </c>
      <c r="R25" s="195"/>
      <c r="S25" s="195"/>
      <c r="T25" s="195"/>
    </row>
    <row r="26" spans="1:20" s="194" customFormat="1" ht="25.5">
      <c r="A26" s="226">
        <f t="shared" si="0"/>
        <v>242</v>
      </c>
      <c r="B26" s="123"/>
      <c r="C26" s="251" t="s">
        <v>887</v>
      </c>
      <c r="D26" s="131" t="s">
        <v>365</v>
      </c>
      <c r="E26" s="321" t="s">
        <v>130</v>
      </c>
      <c r="F26" s="651"/>
      <c r="G26" s="651"/>
      <c r="H26" s="651"/>
      <c r="I26" s="433">
        <f t="shared" si="1"/>
        <v>44900</v>
      </c>
      <c r="R26" s="195"/>
      <c r="S26" s="195"/>
      <c r="T26" s="195"/>
    </row>
    <row r="27" spans="1:20" s="194" customFormat="1" ht="25.5">
      <c r="A27" s="226">
        <f t="shared" si="0"/>
        <v>243</v>
      </c>
      <c r="B27" s="123"/>
      <c r="C27" s="251" t="s">
        <v>884</v>
      </c>
      <c r="D27" s="131" t="s">
        <v>365</v>
      </c>
      <c r="E27" s="321" t="s">
        <v>130</v>
      </c>
      <c r="F27" s="651"/>
      <c r="G27" s="651"/>
      <c r="H27" s="651"/>
      <c r="I27" s="433">
        <f t="shared" si="1"/>
        <v>44900</v>
      </c>
      <c r="R27" s="195"/>
      <c r="S27" s="195"/>
      <c r="T27" s="195"/>
    </row>
    <row r="28" spans="1:20" s="192" customFormat="1">
      <c r="A28" s="226">
        <f t="shared" si="0"/>
        <v>244</v>
      </c>
      <c r="B28" s="190" t="s">
        <v>133</v>
      </c>
      <c r="C28" s="191"/>
      <c r="D28" s="191"/>
      <c r="E28" s="198"/>
      <c r="F28" s="707">
        <v>0</v>
      </c>
      <c r="G28" s="707"/>
      <c r="H28" s="707"/>
      <c r="I28" s="355">
        <v>0</v>
      </c>
      <c r="R28" s="193"/>
      <c r="S28" s="193"/>
      <c r="T28" s="193"/>
    </row>
    <row r="29" spans="1:20" s="194" customFormat="1" ht="25.5">
      <c r="A29" s="226">
        <f t="shared" si="0"/>
        <v>245</v>
      </c>
      <c r="B29" s="123"/>
      <c r="C29" s="251" t="s">
        <v>888</v>
      </c>
      <c r="D29" s="131" t="s">
        <v>361</v>
      </c>
      <c r="E29" s="321" t="s">
        <v>130</v>
      </c>
      <c r="F29" s="651"/>
      <c r="G29" s="651"/>
      <c r="H29" s="651"/>
      <c r="I29" s="433">
        <f t="shared" si="1"/>
        <v>44900</v>
      </c>
      <c r="R29" s="195"/>
      <c r="S29" s="195"/>
      <c r="T29" s="195"/>
    </row>
    <row r="30" spans="1:20" s="194" customFormat="1" ht="25.5">
      <c r="A30" s="226">
        <f t="shared" si="0"/>
        <v>246</v>
      </c>
      <c r="B30" s="123"/>
      <c r="C30" s="123" t="s">
        <v>8</v>
      </c>
      <c r="D30" s="123" t="s">
        <v>361</v>
      </c>
      <c r="E30" s="322" t="s">
        <v>130</v>
      </c>
      <c r="F30" s="651"/>
      <c r="G30" s="651"/>
      <c r="H30" s="651"/>
      <c r="I30" s="433">
        <f t="shared" si="1"/>
        <v>44900</v>
      </c>
      <c r="R30" s="195"/>
      <c r="S30" s="195"/>
      <c r="T30" s="195"/>
    </row>
    <row r="31" spans="1:20" s="194" customFormat="1" ht="25.5">
      <c r="A31" s="226">
        <f t="shared" si="0"/>
        <v>247</v>
      </c>
      <c r="B31" s="125"/>
      <c r="C31" s="228" t="s">
        <v>391</v>
      </c>
      <c r="D31" s="228" t="s">
        <v>367</v>
      </c>
      <c r="E31" s="322" t="s">
        <v>130</v>
      </c>
      <c r="F31" s="651"/>
      <c r="G31" s="651"/>
      <c r="H31" s="651"/>
      <c r="I31" s="433">
        <f t="shared" si="1"/>
        <v>44900</v>
      </c>
      <c r="R31" s="195"/>
      <c r="S31" s="195"/>
      <c r="T31" s="195"/>
    </row>
    <row r="32" spans="1:20" s="194" customFormat="1" ht="25.5">
      <c r="A32" s="226">
        <f t="shared" si="0"/>
        <v>248</v>
      </c>
      <c r="B32" s="125"/>
      <c r="C32" s="196" t="s">
        <v>351</v>
      </c>
      <c r="D32" s="228" t="s">
        <v>367</v>
      </c>
      <c r="E32" s="322" t="s">
        <v>130</v>
      </c>
      <c r="F32" s="651"/>
      <c r="G32" s="651"/>
      <c r="H32" s="651"/>
      <c r="I32" s="433">
        <f t="shared" si="1"/>
        <v>44900</v>
      </c>
      <c r="R32" s="195"/>
      <c r="S32" s="195"/>
      <c r="T32" s="195"/>
    </row>
    <row r="33" spans="1:20" s="192" customFormat="1">
      <c r="A33" s="226">
        <f t="shared" si="0"/>
        <v>249</v>
      </c>
      <c r="B33" s="190" t="s">
        <v>145</v>
      </c>
      <c r="C33" s="191"/>
      <c r="D33" s="191"/>
      <c r="E33" s="262"/>
      <c r="F33" s="654"/>
      <c r="G33" s="654"/>
      <c r="H33" s="654"/>
      <c r="I33" s="354"/>
      <c r="R33" s="193"/>
      <c r="S33" s="193"/>
      <c r="T33" s="193"/>
    </row>
    <row r="34" spans="1:20" s="194" customFormat="1" ht="25.5">
      <c r="A34" s="226">
        <f t="shared" si="0"/>
        <v>250</v>
      </c>
      <c r="B34" s="123"/>
      <c r="C34" s="123" t="s">
        <v>9</v>
      </c>
      <c r="D34" s="131" t="s">
        <v>369</v>
      </c>
      <c r="E34" s="321" t="s">
        <v>130</v>
      </c>
      <c r="F34" s="651"/>
      <c r="G34" s="651"/>
      <c r="H34" s="651"/>
      <c r="I34" s="433">
        <f t="shared" si="1"/>
        <v>44900</v>
      </c>
      <c r="R34" s="195"/>
      <c r="S34" s="195"/>
      <c r="T34" s="195"/>
    </row>
    <row r="35" spans="1:20" s="194" customFormat="1" ht="25.5">
      <c r="A35" s="226">
        <f t="shared" si="0"/>
        <v>251</v>
      </c>
      <c r="B35" s="123"/>
      <c r="C35" s="123" t="s">
        <v>12</v>
      </c>
      <c r="D35" s="131" t="s">
        <v>369</v>
      </c>
      <c r="E35" s="321" t="s">
        <v>130</v>
      </c>
      <c r="F35" s="651"/>
      <c r="G35" s="651"/>
      <c r="H35" s="651"/>
      <c r="I35" s="433">
        <f t="shared" si="1"/>
        <v>44900</v>
      </c>
      <c r="R35" s="195"/>
      <c r="S35" s="195"/>
      <c r="T35" s="195"/>
    </row>
    <row r="36" spans="1:20" s="192" customFormat="1">
      <c r="A36" s="226">
        <f t="shared" si="0"/>
        <v>252</v>
      </c>
      <c r="B36" s="190" t="s">
        <v>889</v>
      </c>
      <c r="C36" s="191"/>
      <c r="D36" s="191"/>
      <c r="E36" s="262"/>
      <c r="F36" s="654"/>
      <c r="G36" s="654"/>
      <c r="H36" s="654"/>
      <c r="I36" s="354"/>
      <c r="R36" s="193"/>
      <c r="S36" s="193"/>
      <c r="T36" s="193"/>
    </row>
    <row r="37" spans="1:20" s="194" customFormat="1">
      <c r="A37" s="226">
        <f t="shared" si="0"/>
        <v>253</v>
      </c>
      <c r="B37" s="123"/>
      <c r="C37" s="123" t="s">
        <v>14</v>
      </c>
      <c r="D37" s="131" t="s">
        <v>369</v>
      </c>
      <c r="E37" s="321" t="s">
        <v>130</v>
      </c>
      <c r="F37" s="651"/>
      <c r="G37" s="651"/>
      <c r="H37" s="651"/>
      <c r="I37" s="433">
        <f t="shared" si="1"/>
        <v>44900</v>
      </c>
      <c r="R37" s="195"/>
      <c r="S37" s="195"/>
      <c r="T37" s="195"/>
    </row>
    <row r="38" spans="1:20" s="194" customFormat="1" ht="25.5">
      <c r="A38" s="226">
        <f t="shared" si="0"/>
        <v>254</v>
      </c>
      <c r="B38" s="123"/>
      <c r="C38" s="123" t="s">
        <v>15</v>
      </c>
      <c r="D38" s="131" t="s">
        <v>369</v>
      </c>
      <c r="E38" s="321" t="s">
        <v>130</v>
      </c>
      <c r="F38" s="651"/>
      <c r="G38" s="651"/>
      <c r="H38" s="651"/>
      <c r="I38" s="433">
        <f t="shared" si="1"/>
        <v>44900</v>
      </c>
      <c r="R38" s="195"/>
      <c r="S38" s="195"/>
      <c r="T38" s="195"/>
    </row>
    <row r="39" spans="1:20" s="194" customFormat="1">
      <c r="A39" s="226">
        <f t="shared" si="0"/>
        <v>255</v>
      </c>
      <c r="B39" s="123"/>
      <c r="C39" s="123" t="s">
        <v>16</v>
      </c>
      <c r="D39" s="131" t="s">
        <v>369</v>
      </c>
      <c r="E39" s="321" t="s">
        <v>130</v>
      </c>
      <c r="F39" s="651"/>
      <c r="G39" s="651"/>
      <c r="H39" s="651"/>
      <c r="I39" s="433">
        <f t="shared" si="1"/>
        <v>44900</v>
      </c>
      <c r="R39" s="195"/>
      <c r="S39" s="195"/>
      <c r="T39" s="195"/>
    </row>
    <row r="40" spans="1:20" s="194" customFormat="1" ht="25.5">
      <c r="A40" s="226">
        <f t="shared" si="0"/>
        <v>256</v>
      </c>
      <c r="B40" s="123"/>
      <c r="C40" s="123" t="s">
        <v>17</v>
      </c>
      <c r="D40" s="131" t="s">
        <v>369</v>
      </c>
      <c r="E40" s="321" t="s">
        <v>130</v>
      </c>
      <c r="F40" s="651"/>
      <c r="G40" s="651"/>
      <c r="H40" s="651"/>
      <c r="I40" s="433">
        <f t="shared" si="1"/>
        <v>44900</v>
      </c>
      <c r="R40" s="195"/>
      <c r="S40" s="195"/>
      <c r="T40" s="195"/>
    </row>
    <row r="41" spans="1:20" s="194" customFormat="1" ht="25.5">
      <c r="A41" s="226">
        <f t="shared" si="0"/>
        <v>257</v>
      </c>
      <c r="B41" s="123"/>
      <c r="C41" s="123" t="s">
        <v>21</v>
      </c>
      <c r="D41" s="131" t="s">
        <v>369</v>
      </c>
      <c r="E41" s="321" t="s">
        <v>130</v>
      </c>
      <c r="F41" s="651"/>
      <c r="G41" s="651"/>
      <c r="H41" s="651"/>
      <c r="I41" s="433">
        <f t="shared" si="1"/>
        <v>44900</v>
      </c>
      <c r="R41" s="195"/>
      <c r="S41" s="195"/>
      <c r="T41" s="195"/>
    </row>
    <row r="42" spans="1:20" s="192" customFormat="1">
      <c r="A42" s="226">
        <f t="shared" si="0"/>
        <v>258</v>
      </c>
      <c r="B42" s="190" t="s">
        <v>27</v>
      </c>
      <c r="C42" s="191"/>
      <c r="D42" s="191"/>
      <c r="E42" s="262"/>
      <c r="F42" s="654"/>
      <c r="G42" s="654"/>
      <c r="H42" s="654"/>
      <c r="I42" s="354"/>
      <c r="R42" s="193"/>
      <c r="S42" s="193"/>
      <c r="T42" s="193"/>
    </row>
    <row r="43" spans="1:20" s="194" customFormat="1" ht="25.5">
      <c r="A43" s="226">
        <f t="shared" si="0"/>
        <v>259</v>
      </c>
      <c r="B43" s="123"/>
      <c r="C43" s="251" t="s">
        <v>894</v>
      </c>
      <c r="D43" s="131" t="s">
        <v>365</v>
      </c>
      <c r="E43" s="321" t="s">
        <v>130</v>
      </c>
      <c r="F43" s="651"/>
      <c r="G43" s="651"/>
      <c r="H43" s="651"/>
      <c r="I43" s="433">
        <f t="shared" si="1"/>
        <v>44900</v>
      </c>
      <c r="R43" s="195"/>
      <c r="S43" s="195"/>
      <c r="T43" s="195"/>
    </row>
    <row r="44" spans="1:20" s="194" customFormat="1">
      <c r="A44" s="226">
        <f t="shared" si="0"/>
        <v>260</v>
      </c>
      <c r="B44" s="123"/>
      <c r="C44" s="251" t="s">
        <v>891</v>
      </c>
      <c r="D44" s="131" t="s">
        <v>365</v>
      </c>
      <c r="E44" s="321" t="s">
        <v>130</v>
      </c>
      <c r="F44" s="651"/>
      <c r="G44" s="651"/>
      <c r="H44" s="651"/>
      <c r="I44" s="433">
        <f t="shared" si="1"/>
        <v>44900</v>
      </c>
      <c r="R44" s="195"/>
      <c r="S44" s="195"/>
      <c r="T44" s="195"/>
    </row>
    <row r="45" spans="1:20" s="194" customFormat="1" ht="25.5">
      <c r="A45" s="226">
        <f t="shared" si="0"/>
        <v>261</v>
      </c>
      <c r="B45" s="123"/>
      <c r="C45" s="251" t="s">
        <v>892</v>
      </c>
      <c r="D45" s="131" t="s">
        <v>66</v>
      </c>
      <c r="E45" s="321" t="s">
        <v>130</v>
      </c>
      <c r="F45" s="651"/>
      <c r="G45" s="651"/>
      <c r="H45" s="651"/>
      <c r="I45" s="433">
        <f t="shared" si="1"/>
        <v>44900</v>
      </c>
      <c r="R45" s="195"/>
      <c r="S45" s="195"/>
      <c r="T45" s="195"/>
    </row>
    <row r="46" spans="1:20" s="192" customFormat="1" ht="22.5" customHeight="1">
      <c r="A46" s="226">
        <f t="shared" si="0"/>
        <v>262</v>
      </c>
      <c r="B46" s="190" t="s">
        <v>179</v>
      </c>
      <c r="C46" s="191"/>
      <c r="D46" s="191"/>
      <c r="E46" s="262"/>
      <c r="F46" s="654"/>
      <c r="G46" s="654"/>
      <c r="H46" s="654"/>
      <c r="I46" s="354"/>
      <c r="R46" s="193"/>
      <c r="S46" s="193"/>
      <c r="T46" s="193"/>
    </row>
    <row r="47" spans="1:20" s="194" customFormat="1" ht="39.75" customHeight="1">
      <c r="A47" s="226">
        <f t="shared" si="0"/>
        <v>263</v>
      </c>
      <c r="B47" s="123"/>
      <c r="C47" s="123" t="s">
        <v>33</v>
      </c>
      <c r="D47" s="131" t="s">
        <v>365</v>
      </c>
      <c r="E47" s="321" t="s">
        <v>130</v>
      </c>
      <c r="F47" s="651"/>
      <c r="G47" s="651"/>
      <c r="H47" s="651"/>
      <c r="I47" s="433">
        <f t="shared" si="1"/>
        <v>44900</v>
      </c>
      <c r="R47" s="195"/>
      <c r="S47" s="195"/>
      <c r="T47" s="195"/>
    </row>
    <row r="48" spans="1:20" s="194" customFormat="1" ht="25.5">
      <c r="A48" s="226">
        <f t="shared" si="0"/>
        <v>264</v>
      </c>
      <c r="B48" s="123"/>
      <c r="C48" s="251" t="s">
        <v>45</v>
      </c>
      <c r="D48" s="131" t="s">
        <v>365</v>
      </c>
      <c r="E48" s="321" t="s">
        <v>130</v>
      </c>
      <c r="F48" s="651"/>
      <c r="G48" s="651"/>
      <c r="H48" s="651"/>
      <c r="I48" s="433">
        <f t="shared" si="1"/>
        <v>44900</v>
      </c>
      <c r="R48" s="195"/>
      <c r="S48" s="195"/>
      <c r="T48" s="195"/>
    </row>
    <row r="49" spans="1:20" s="194" customFormat="1" ht="25.5">
      <c r="A49" s="226">
        <f t="shared" si="0"/>
        <v>265</v>
      </c>
      <c r="B49" s="123"/>
      <c r="C49" s="123" t="s">
        <v>46</v>
      </c>
      <c r="D49" s="131" t="s">
        <v>365</v>
      </c>
      <c r="E49" s="321" t="s">
        <v>130</v>
      </c>
      <c r="F49" s="651"/>
      <c r="G49" s="651"/>
      <c r="H49" s="651"/>
      <c r="I49" s="433">
        <f t="shared" si="1"/>
        <v>44900</v>
      </c>
      <c r="R49" s="195"/>
      <c r="S49" s="195"/>
      <c r="T49" s="195"/>
    </row>
    <row r="50" spans="1:20" s="192" customFormat="1">
      <c r="A50" s="226">
        <f t="shared" si="0"/>
        <v>266</v>
      </c>
      <c r="B50" s="190" t="s">
        <v>185</v>
      </c>
      <c r="C50" s="191"/>
      <c r="D50" s="191"/>
      <c r="E50" s="262"/>
      <c r="F50" s="654"/>
      <c r="G50" s="654"/>
      <c r="H50" s="654"/>
      <c r="I50" s="354"/>
      <c r="R50" s="193"/>
      <c r="S50" s="193"/>
      <c r="T50" s="193"/>
    </row>
    <row r="51" spans="1:20" s="194" customFormat="1" ht="25.5">
      <c r="A51" s="226">
        <f t="shared" si="0"/>
        <v>267</v>
      </c>
      <c r="B51" s="123"/>
      <c r="C51" s="251" t="s">
        <v>893</v>
      </c>
      <c r="D51" s="131" t="s">
        <v>367</v>
      </c>
      <c r="E51" s="321" t="s">
        <v>130</v>
      </c>
      <c r="F51" s="651"/>
      <c r="G51" s="651"/>
      <c r="H51" s="651"/>
      <c r="I51" s="433">
        <f t="shared" si="1"/>
        <v>44900</v>
      </c>
      <c r="R51" s="195"/>
      <c r="S51" s="195"/>
      <c r="T51" s="195"/>
    </row>
    <row r="52" spans="1:20" s="194" customFormat="1" ht="38.25">
      <c r="A52" s="226">
        <f t="shared" ref="A52:A61" si="2">A51+1</f>
        <v>268</v>
      </c>
      <c r="B52" s="123"/>
      <c r="C52" s="123" t="s">
        <v>186</v>
      </c>
      <c r="D52" s="131" t="s">
        <v>361</v>
      </c>
      <c r="E52" s="321" t="s">
        <v>130</v>
      </c>
      <c r="F52" s="651"/>
      <c r="G52" s="651"/>
      <c r="H52" s="651"/>
      <c r="I52" s="433">
        <f t="shared" si="1"/>
        <v>44900</v>
      </c>
      <c r="R52" s="195"/>
      <c r="S52" s="195"/>
      <c r="T52" s="195"/>
    </row>
    <row r="53" spans="1:20" s="194" customFormat="1" ht="25.5">
      <c r="A53" s="226">
        <f t="shared" si="2"/>
        <v>269</v>
      </c>
      <c r="B53" s="123"/>
      <c r="C53" s="123" t="s">
        <v>187</v>
      </c>
      <c r="D53" s="131" t="s">
        <v>361</v>
      </c>
      <c r="E53" s="321" t="s">
        <v>130</v>
      </c>
      <c r="F53" s="651"/>
      <c r="G53" s="651"/>
      <c r="H53" s="651"/>
      <c r="I53" s="433">
        <f t="shared" si="1"/>
        <v>44900</v>
      </c>
      <c r="R53" s="195"/>
      <c r="S53" s="195"/>
      <c r="T53" s="195"/>
    </row>
    <row r="54" spans="1:20" s="194" customFormat="1">
      <c r="A54" s="226">
        <f t="shared" si="2"/>
        <v>270</v>
      </c>
      <c r="B54" s="126"/>
      <c r="C54" s="123"/>
      <c r="D54" s="131"/>
      <c r="E54" s="321"/>
      <c r="F54" s="651"/>
      <c r="G54" s="651"/>
      <c r="H54" s="651"/>
      <c r="I54" s="433"/>
      <c r="R54" s="195"/>
      <c r="S54" s="195"/>
      <c r="T54" s="195"/>
    </row>
    <row r="55" spans="1:20" s="194" customFormat="1">
      <c r="A55" s="226">
        <f t="shared" si="2"/>
        <v>271</v>
      </c>
      <c r="B55" s="126"/>
      <c r="C55" s="123"/>
      <c r="D55" s="131"/>
      <c r="E55" s="321"/>
      <c r="F55" s="651"/>
      <c r="G55" s="651"/>
      <c r="H55" s="651"/>
      <c r="I55" s="433"/>
      <c r="R55" s="195"/>
      <c r="S55" s="195"/>
      <c r="T55" s="195"/>
    </row>
    <row r="56" spans="1:20" s="194" customFormat="1">
      <c r="A56" s="226">
        <f t="shared" si="2"/>
        <v>272</v>
      </c>
      <c r="B56" s="127"/>
      <c r="C56" s="123"/>
      <c r="D56" s="131"/>
      <c r="E56" s="321"/>
      <c r="F56" s="651"/>
      <c r="G56" s="651"/>
      <c r="H56" s="651"/>
      <c r="I56" s="433"/>
      <c r="R56" s="195"/>
      <c r="S56" s="195"/>
      <c r="T56" s="195"/>
    </row>
    <row r="57" spans="1:20" s="194" customFormat="1">
      <c r="A57" s="226">
        <f t="shared" si="2"/>
        <v>273</v>
      </c>
      <c r="B57" s="127"/>
      <c r="C57" s="123"/>
      <c r="D57" s="131"/>
      <c r="E57" s="308"/>
      <c r="F57" s="651"/>
      <c r="G57" s="651"/>
      <c r="H57" s="651"/>
      <c r="I57" s="433"/>
      <c r="R57" s="195"/>
      <c r="S57" s="195"/>
      <c r="T57" s="195"/>
    </row>
    <row r="58" spans="1:20" s="194" customFormat="1">
      <c r="A58" s="226">
        <f t="shared" si="2"/>
        <v>274</v>
      </c>
      <c r="B58" s="127"/>
      <c r="C58" s="123"/>
      <c r="D58" s="131"/>
      <c r="E58" s="308"/>
      <c r="F58" s="651"/>
      <c r="G58" s="651"/>
      <c r="H58" s="651"/>
      <c r="I58" s="433"/>
      <c r="R58" s="195"/>
      <c r="S58" s="195"/>
      <c r="T58" s="195"/>
    </row>
    <row r="59" spans="1:20" s="194" customFormat="1">
      <c r="A59" s="226">
        <f t="shared" si="2"/>
        <v>275</v>
      </c>
      <c r="B59" s="127"/>
      <c r="C59" s="123"/>
      <c r="D59" s="131"/>
      <c r="E59" s="308"/>
      <c r="F59" s="651"/>
      <c r="G59" s="651"/>
      <c r="H59" s="651"/>
      <c r="I59" s="433"/>
      <c r="R59" s="195"/>
      <c r="S59" s="195"/>
      <c r="T59" s="195"/>
    </row>
    <row r="60" spans="1:20" s="194" customFormat="1">
      <c r="A60" s="226">
        <f t="shared" si="2"/>
        <v>276</v>
      </c>
      <c r="B60" s="127"/>
      <c r="C60" s="123"/>
      <c r="D60" s="131"/>
      <c r="E60" s="308"/>
      <c r="F60" s="651"/>
      <c r="G60" s="651"/>
      <c r="H60" s="651"/>
      <c r="I60" s="433"/>
      <c r="R60" s="195"/>
      <c r="S60" s="195"/>
      <c r="T60" s="195"/>
    </row>
    <row r="61" spans="1:20" s="194" customFormat="1">
      <c r="A61" s="226">
        <f t="shared" si="2"/>
        <v>277</v>
      </c>
      <c r="B61" s="127"/>
      <c r="C61" s="123"/>
      <c r="D61" s="131"/>
      <c r="E61" s="308"/>
      <c r="F61" s="650"/>
      <c r="G61" s="651"/>
      <c r="H61" s="651"/>
      <c r="I61" s="433"/>
      <c r="R61" s="195"/>
      <c r="S61" s="195"/>
      <c r="T61" s="195"/>
    </row>
    <row r="62" spans="1:20" s="192" customFormat="1">
      <c r="A62" s="326"/>
      <c r="B62" s="128" t="s">
        <v>132</v>
      </c>
      <c r="C62" s="324"/>
      <c r="D62" s="130"/>
      <c r="E62" s="325"/>
      <c r="F62" s="708"/>
      <c r="G62" s="708"/>
      <c r="H62" s="708"/>
      <c r="I62" s="333"/>
    </row>
    <row r="63" spans="1:20" s="192" customFormat="1">
      <c r="A63" s="674"/>
      <c r="B63" s="674"/>
      <c r="C63" s="674"/>
      <c r="D63" s="674"/>
      <c r="E63" s="674"/>
      <c r="F63" s="674"/>
      <c r="G63" s="674"/>
      <c r="H63" s="674"/>
      <c r="I63" s="674"/>
    </row>
    <row r="64" spans="1:20" s="192" customFormat="1">
      <c r="A64" s="674"/>
      <c r="B64" s="674"/>
      <c r="C64" s="674"/>
      <c r="D64" s="674"/>
      <c r="E64" s="674"/>
      <c r="F64" s="674"/>
      <c r="G64" s="674"/>
      <c r="H64" s="674"/>
      <c r="I64" s="674"/>
    </row>
    <row r="65" spans="1:9" s="192" customFormat="1">
      <c r="A65" s="674"/>
      <c r="B65" s="674"/>
      <c r="C65" s="674"/>
      <c r="D65" s="674"/>
      <c r="E65" s="674"/>
      <c r="F65" s="674"/>
      <c r="G65" s="674"/>
      <c r="H65" s="674"/>
      <c r="I65" s="674"/>
    </row>
    <row r="66" spans="1:9" s="192" customFormat="1">
      <c r="A66" s="674"/>
      <c r="B66" s="674"/>
      <c r="C66" s="674"/>
      <c r="D66" s="674"/>
      <c r="E66" s="674"/>
      <c r="F66" s="674"/>
      <c r="G66" s="674"/>
      <c r="H66" s="674"/>
      <c r="I66" s="674"/>
    </row>
    <row r="67" spans="1:9" s="192" customFormat="1">
      <c r="A67" s="674"/>
      <c r="B67" s="674"/>
      <c r="C67" s="674"/>
      <c r="D67" s="674"/>
      <c r="E67" s="674"/>
      <c r="F67" s="674"/>
      <c r="G67" s="674"/>
      <c r="H67" s="674"/>
      <c r="I67" s="674"/>
    </row>
    <row r="68" spans="1:9">
      <c r="A68" s="674"/>
      <c r="B68" s="674"/>
      <c r="C68" s="674"/>
      <c r="D68" s="674"/>
      <c r="E68" s="674"/>
      <c r="F68" s="674"/>
      <c r="G68" s="674"/>
      <c r="H68" s="674"/>
      <c r="I68" s="674"/>
    </row>
  </sheetData>
  <sheetProtection selectLockedCells="1"/>
  <mergeCells count="55">
    <mergeCell ref="F46:H46"/>
    <mergeCell ref="F47:H47"/>
    <mergeCell ref="F42:H42"/>
    <mergeCell ref="F43:H43"/>
    <mergeCell ref="F44:H44"/>
    <mergeCell ref="F45:H45"/>
    <mergeCell ref="F51:H51"/>
    <mergeCell ref="F52:H52"/>
    <mergeCell ref="F53:H53"/>
    <mergeCell ref="F50:H50"/>
    <mergeCell ref="F48:H48"/>
    <mergeCell ref="F49:H49"/>
    <mergeCell ref="F61:H61"/>
    <mergeCell ref="F62:H62"/>
    <mergeCell ref="A63:I68"/>
    <mergeCell ref="F54:H54"/>
    <mergeCell ref="F55:H55"/>
    <mergeCell ref="F56:H56"/>
    <mergeCell ref="F57:H57"/>
    <mergeCell ref="F58:H58"/>
    <mergeCell ref="F59:H59"/>
    <mergeCell ref="F60:H60"/>
    <mergeCell ref="F40:H40"/>
    <mergeCell ref="F41:H41"/>
    <mergeCell ref="F35:H35"/>
    <mergeCell ref="F36:H36"/>
    <mergeCell ref="F37:H37"/>
    <mergeCell ref="F38:H38"/>
    <mergeCell ref="F39:H39"/>
    <mergeCell ref="F31:H31"/>
    <mergeCell ref="F32:H32"/>
    <mergeCell ref="F33:H33"/>
    <mergeCell ref="F34:H34"/>
    <mergeCell ref="F22:H22"/>
    <mergeCell ref="F23:H23"/>
    <mergeCell ref="F24:H24"/>
    <mergeCell ref="F28:H28"/>
    <mergeCell ref="F29:H29"/>
    <mergeCell ref="F30:H30"/>
    <mergeCell ref="F25:H25"/>
    <mergeCell ref="F26:H26"/>
    <mergeCell ref="F27:H27"/>
    <mergeCell ref="F21:H21"/>
    <mergeCell ref="B2:C2"/>
    <mergeCell ref="D2:G2"/>
    <mergeCell ref="H2:I2"/>
    <mergeCell ref="A4:I4"/>
    <mergeCell ref="B11:C11"/>
    <mergeCell ref="B14:H14"/>
    <mergeCell ref="C16:E16"/>
    <mergeCell ref="F17:H17"/>
    <mergeCell ref="F18:H18"/>
    <mergeCell ref="F19:H19"/>
    <mergeCell ref="F20:H20"/>
    <mergeCell ref="B10:C10"/>
  </mergeCells>
  <dataValidations count="1">
    <dataValidation type="list" allowBlank="1" showInputMessage="1" showErrorMessage="1" sqref="E18:E61">
      <formula1>Resultados</formula1>
    </dataValidation>
  </dataValidations>
  <pageMargins left="0.74803149606299213" right="0.74803149606299213" top="0.98425196850393704" bottom="0.98425196850393704" header="0.51181102362204722" footer="0.51181102362204722"/>
  <pageSetup paperSize="9" scale="85" orientation="portrait" verticalDpi="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T88"/>
  <sheetViews>
    <sheetView showGridLines="0" topLeftCell="C1" workbookViewId="0">
      <selection activeCell="J6" sqref="J6"/>
    </sheetView>
  </sheetViews>
  <sheetFormatPr baseColWidth="10" defaultColWidth="11.42578125" defaultRowHeight="12.75"/>
  <cols>
    <col min="1" max="1" width="5.85546875" style="243" customWidth="1"/>
    <col min="2" max="2" width="3.85546875" style="243" customWidth="1"/>
    <col min="3" max="3" width="40.140625" style="243" customWidth="1"/>
    <col min="4" max="4" width="15" style="243" customWidth="1"/>
    <col min="5" max="5" width="14.5703125" style="243" customWidth="1"/>
    <col min="6" max="6" width="9.140625" style="243"/>
    <col min="7" max="7" width="19.42578125" style="243" customWidth="1"/>
    <col min="8" max="8" width="32.5703125" style="243" bestFit="1" customWidth="1"/>
    <col min="9" max="9" width="16.85546875" style="244" customWidth="1"/>
    <col min="10" max="16384" width="11.42578125" style="243"/>
  </cols>
  <sheetData>
    <row r="2" spans="1:20" s="14" customFormat="1" ht="53.25" customHeight="1">
      <c r="A2" s="12"/>
      <c r="B2" s="622"/>
      <c r="C2" s="622"/>
      <c r="D2" s="641" t="s">
        <v>573</v>
      </c>
      <c r="E2" s="642"/>
      <c r="F2" s="642"/>
      <c r="G2" s="665"/>
      <c r="H2" s="622"/>
      <c r="I2" s="622"/>
    </row>
    <row r="4" spans="1:20" s="229" customFormat="1" ht="15.75">
      <c r="A4" s="682" t="s">
        <v>579</v>
      </c>
      <c r="B4" s="683"/>
      <c r="C4" s="683"/>
      <c r="D4" s="683"/>
      <c r="E4" s="683"/>
      <c r="F4" s="683"/>
      <c r="G4" s="683"/>
      <c r="H4" s="683"/>
      <c r="I4" s="684"/>
    </row>
    <row r="5" spans="1:20" s="229" customFormat="1" ht="12">
      <c r="I5" s="230"/>
    </row>
    <row r="6" spans="1:20" s="229" customFormat="1">
      <c r="B6" s="407" t="s">
        <v>79</v>
      </c>
      <c r="C6" s="408"/>
      <c r="D6" s="409"/>
      <c r="E6" s="410"/>
      <c r="F6" s="411"/>
      <c r="G6" s="407" t="s">
        <v>451</v>
      </c>
      <c r="H6" s="387" t="str">
        <f>'Historial de Revisiones'!G4</f>
        <v>GOC-7089</v>
      </c>
      <c r="I6" s="230"/>
    </row>
    <row r="7" spans="1:20" s="229" customFormat="1">
      <c r="B7" s="407" t="s">
        <v>80</v>
      </c>
      <c r="C7" s="408"/>
      <c r="D7" s="409"/>
      <c r="E7" s="410"/>
      <c r="F7" s="411"/>
      <c r="G7" s="407" t="s">
        <v>477</v>
      </c>
      <c r="H7" s="387" t="str">
        <f>'Historial de Revisiones'!G5</f>
        <v>GOC-7092</v>
      </c>
      <c r="I7" s="230"/>
    </row>
    <row r="8" spans="1:20" s="229" customFormat="1">
      <c r="B8" s="407" t="s">
        <v>81</v>
      </c>
      <c r="C8" s="408"/>
      <c r="D8" s="412"/>
      <c r="E8" s="410"/>
      <c r="F8" s="411"/>
      <c r="G8" s="407" t="s">
        <v>124</v>
      </c>
      <c r="H8" s="387">
        <f>'Historial de Revisiones'!G6</f>
        <v>0</v>
      </c>
      <c r="I8" s="230"/>
    </row>
    <row r="9" spans="1:20" s="229" customFormat="1">
      <c r="B9" s="407" t="s">
        <v>82</v>
      </c>
      <c r="C9" s="408"/>
      <c r="D9" s="413"/>
      <c r="E9" s="410"/>
      <c r="F9" s="411"/>
      <c r="G9" s="407" t="s">
        <v>125</v>
      </c>
      <c r="H9" s="387" t="str">
        <f>'Historial de Revisiones'!G7</f>
        <v>Nombre desarrolllador</v>
      </c>
      <c r="I9" s="230"/>
    </row>
    <row r="10" spans="1:20" s="229" customFormat="1">
      <c r="B10" s="414" t="s">
        <v>83</v>
      </c>
      <c r="C10" s="415"/>
      <c r="D10" s="416"/>
      <c r="E10" s="417"/>
      <c r="F10" s="411"/>
      <c r="G10" s="407" t="s">
        <v>126</v>
      </c>
      <c r="H10" s="387" t="str">
        <f>'Historial de Revisiones'!G8</f>
        <v>Nombre de custodio</v>
      </c>
      <c r="I10" s="230"/>
    </row>
    <row r="11" spans="1:20" s="229" customFormat="1">
      <c r="B11" s="718"/>
      <c r="C11" s="718"/>
      <c r="D11" s="418"/>
      <c r="E11" s="417"/>
      <c r="F11" s="411"/>
      <c r="G11" s="407" t="s">
        <v>193</v>
      </c>
      <c r="H11" s="387">
        <f>'Historial de Revisiones'!G9</f>
        <v>0</v>
      </c>
      <c r="I11" s="230"/>
    </row>
    <row r="12" spans="1:20" s="229" customFormat="1" ht="12">
      <c r="E12" s="246"/>
      <c r="F12" s="245"/>
      <c r="G12" s="331"/>
      <c r="H12" s="330"/>
      <c r="I12" s="230"/>
    </row>
    <row r="13" spans="1:20" s="229" customFormat="1" ht="12">
      <c r="B13" s="229" t="s">
        <v>221</v>
      </c>
      <c r="I13" s="230"/>
      <c r="R13" s="231"/>
      <c r="S13" s="231"/>
      <c r="T13" s="231"/>
    </row>
    <row r="14" spans="1:20" s="229" customFormat="1" ht="37.5" customHeight="1">
      <c r="B14" s="709" t="s">
        <v>297</v>
      </c>
      <c r="C14" s="710"/>
      <c r="D14" s="710"/>
      <c r="E14" s="710"/>
      <c r="F14" s="710"/>
      <c r="G14" s="710"/>
      <c r="H14" s="711"/>
      <c r="I14" s="230"/>
      <c r="R14" s="231"/>
      <c r="S14" s="231"/>
      <c r="T14" s="231"/>
    </row>
    <row r="15" spans="1:20" s="229" customFormat="1" ht="14.25" customHeight="1">
      <c r="B15" s="232"/>
      <c r="C15" s="232"/>
      <c r="D15" s="232"/>
      <c r="E15" s="232"/>
      <c r="F15" s="232"/>
      <c r="G15" s="232"/>
      <c r="H15" s="232"/>
      <c r="I15" s="230"/>
      <c r="R15" s="231"/>
      <c r="S15" s="231"/>
      <c r="T15" s="231"/>
    </row>
    <row r="16" spans="1:20" s="229" customFormat="1">
      <c r="B16" s="233"/>
      <c r="C16" s="712"/>
      <c r="D16" s="712"/>
      <c r="E16" s="712"/>
      <c r="I16" s="230"/>
      <c r="R16" s="231"/>
      <c r="S16" s="231"/>
      <c r="T16" s="231"/>
    </row>
    <row r="17" spans="1:20" s="160" customFormat="1" ht="12">
      <c r="A17" s="157" t="s">
        <v>247</v>
      </c>
      <c r="B17" s="158" t="s">
        <v>246</v>
      </c>
      <c r="C17" s="159"/>
      <c r="D17" s="157" t="s">
        <v>360</v>
      </c>
      <c r="E17" s="273" t="s">
        <v>283</v>
      </c>
      <c r="F17" s="713" t="s">
        <v>253</v>
      </c>
      <c r="G17" s="713"/>
      <c r="H17" s="713"/>
      <c r="I17" s="356" t="s">
        <v>284</v>
      </c>
      <c r="K17" s="229"/>
      <c r="L17" s="229"/>
      <c r="M17" s="229"/>
      <c r="N17" s="229"/>
      <c r="O17" s="229"/>
      <c r="P17" s="229"/>
    </row>
    <row r="18" spans="1:20" s="239" customFormat="1">
      <c r="A18" s="234">
        <f>'CHK Técnico-JAVA'!A97+10</f>
        <v>323</v>
      </c>
      <c r="B18" s="235" t="s">
        <v>239</v>
      </c>
      <c r="C18" s="236"/>
      <c r="D18" s="236"/>
      <c r="E18" s="237"/>
      <c r="F18" s="715"/>
      <c r="G18" s="715"/>
      <c r="H18" s="715"/>
      <c r="I18" s="357"/>
      <c r="R18" s="240"/>
      <c r="S18" s="240"/>
      <c r="T18" s="240"/>
    </row>
    <row r="19" spans="1:20" s="241" customFormat="1" ht="25.5">
      <c r="A19" s="234">
        <f t="shared" ref="A19:A81" si="0">A18+1</f>
        <v>324</v>
      </c>
      <c r="B19" s="161"/>
      <c r="C19" s="161" t="s">
        <v>405</v>
      </c>
      <c r="D19" s="162" t="s">
        <v>365</v>
      </c>
      <c r="E19" s="328"/>
      <c r="F19" s="716"/>
      <c r="G19" s="714"/>
      <c r="H19" s="714"/>
      <c r="I19" s="358"/>
      <c r="R19" s="242"/>
      <c r="S19" s="242"/>
      <c r="T19" s="242"/>
    </row>
    <row r="20" spans="1:20" s="241" customFormat="1" ht="25.5">
      <c r="A20" s="234">
        <f t="shared" si="0"/>
        <v>325</v>
      </c>
      <c r="B20" s="161"/>
      <c r="C20" s="161" t="s">
        <v>245</v>
      </c>
      <c r="D20" s="162" t="s">
        <v>365</v>
      </c>
      <c r="E20" s="328"/>
      <c r="F20" s="714"/>
      <c r="G20" s="714"/>
      <c r="H20" s="714"/>
      <c r="I20" s="353" t="str">
        <f>IF(NOT(ISBLANK($I$19)),$I$19,"  ")</f>
        <v xml:space="preserve">  </v>
      </c>
      <c r="R20" s="242"/>
      <c r="S20" s="242"/>
      <c r="T20" s="242"/>
    </row>
    <row r="21" spans="1:20" s="239" customFormat="1">
      <c r="A21" s="234">
        <f t="shared" si="0"/>
        <v>326</v>
      </c>
      <c r="B21" s="235" t="s">
        <v>133</v>
      </c>
      <c r="C21" s="236"/>
      <c r="D21" s="236"/>
      <c r="E21" s="237"/>
      <c r="F21" s="717">
        <v>0</v>
      </c>
      <c r="G21" s="717"/>
      <c r="H21" s="717"/>
      <c r="I21" s="359"/>
      <c r="R21" s="240"/>
      <c r="S21" s="240"/>
      <c r="T21" s="240"/>
    </row>
    <row r="22" spans="1:20" s="241" customFormat="1" ht="25.5">
      <c r="A22" s="234">
        <f t="shared" si="0"/>
        <v>327</v>
      </c>
      <c r="B22" s="161"/>
      <c r="C22" s="161" t="s">
        <v>406</v>
      </c>
      <c r="D22" s="162" t="s">
        <v>361</v>
      </c>
      <c r="E22" s="328"/>
      <c r="F22" s="714"/>
      <c r="G22" s="714"/>
      <c r="H22" s="714"/>
      <c r="I22" s="353" t="str">
        <f>IF(NOT(ISBLANK($I$19)),$I$19,"  ")</f>
        <v xml:space="preserve">  </v>
      </c>
      <c r="R22" s="242"/>
      <c r="S22" s="242"/>
      <c r="T22" s="242"/>
    </row>
    <row r="23" spans="1:20" s="241" customFormat="1" ht="25.5">
      <c r="A23" s="234">
        <f t="shared" si="0"/>
        <v>328</v>
      </c>
      <c r="B23" s="161"/>
      <c r="C23" s="161" t="s">
        <v>8</v>
      </c>
      <c r="D23" s="161" t="s">
        <v>361</v>
      </c>
      <c r="E23" s="329"/>
      <c r="F23" s="714"/>
      <c r="G23" s="714"/>
      <c r="H23" s="714"/>
      <c r="I23" s="353" t="str">
        <f>IF(NOT(ISBLANK($I$19)),$I$19,"  ")</f>
        <v xml:space="preserve">  </v>
      </c>
      <c r="R23" s="242"/>
      <c r="S23" s="242"/>
      <c r="T23" s="242"/>
    </row>
    <row r="24" spans="1:20" s="241" customFormat="1" ht="25.5">
      <c r="A24" s="234">
        <f t="shared" si="0"/>
        <v>329</v>
      </c>
      <c r="B24" s="163"/>
      <c r="C24" s="228" t="s">
        <v>391</v>
      </c>
      <c r="D24" s="228" t="s">
        <v>367</v>
      </c>
      <c r="E24" s="329"/>
      <c r="F24" s="714"/>
      <c r="G24" s="714"/>
      <c r="H24" s="714"/>
      <c r="I24" s="353" t="str">
        <f>IF(NOT(ISBLANK($I$19)),$I$19,"  ")</f>
        <v xml:space="preserve">  </v>
      </c>
      <c r="R24" s="242"/>
      <c r="S24" s="242"/>
      <c r="T24" s="242"/>
    </row>
    <row r="25" spans="1:20" s="241" customFormat="1" ht="25.5">
      <c r="A25" s="234">
        <f t="shared" si="0"/>
        <v>330</v>
      </c>
      <c r="B25" s="163"/>
      <c r="C25" s="196" t="s">
        <v>351</v>
      </c>
      <c r="D25" s="228" t="s">
        <v>367</v>
      </c>
      <c r="E25" s="329"/>
      <c r="F25" s="714"/>
      <c r="G25" s="714"/>
      <c r="H25" s="714"/>
      <c r="I25" s="353" t="str">
        <f>IF(NOT(ISBLANK($I$19)),$I$19,"  ")</f>
        <v xml:space="preserve">  </v>
      </c>
      <c r="R25" s="242"/>
      <c r="S25" s="242"/>
      <c r="T25" s="242"/>
    </row>
    <row r="26" spans="1:20" s="239" customFormat="1">
      <c r="A26" s="234">
        <f t="shared" si="0"/>
        <v>331</v>
      </c>
      <c r="B26" s="235" t="s">
        <v>145</v>
      </c>
      <c r="C26" s="236"/>
      <c r="D26" s="236"/>
      <c r="E26" s="238"/>
      <c r="F26" s="715"/>
      <c r="G26" s="715"/>
      <c r="H26" s="715"/>
      <c r="I26" s="357"/>
      <c r="R26" s="240"/>
      <c r="S26" s="240"/>
      <c r="T26" s="240"/>
    </row>
    <row r="27" spans="1:20" s="241" customFormat="1" ht="25.5">
      <c r="A27" s="234">
        <f t="shared" si="0"/>
        <v>332</v>
      </c>
      <c r="B27" s="161"/>
      <c r="C27" s="161" t="s">
        <v>9</v>
      </c>
      <c r="D27" s="162" t="s">
        <v>369</v>
      </c>
      <c r="E27" s="328"/>
      <c r="F27" s="716"/>
      <c r="G27" s="714"/>
      <c r="H27" s="714"/>
      <c r="I27" s="353" t="str">
        <f t="shared" ref="I27:I32" si="1">IF(NOT(ISBLANK($I$19)),$I$19,"  ")</f>
        <v xml:space="preserve">  </v>
      </c>
      <c r="R27" s="242"/>
      <c r="S27" s="242"/>
      <c r="T27" s="242"/>
    </row>
    <row r="28" spans="1:20" s="241" customFormat="1">
      <c r="A28" s="234">
        <f t="shared" si="0"/>
        <v>333</v>
      </c>
      <c r="B28" s="161"/>
      <c r="C28" s="161" t="s">
        <v>10</v>
      </c>
      <c r="D28" s="162" t="s">
        <v>369</v>
      </c>
      <c r="E28" s="328"/>
      <c r="F28" s="714"/>
      <c r="G28" s="714"/>
      <c r="H28" s="714"/>
      <c r="I28" s="353" t="str">
        <f t="shared" si="1"/>
        <v xml:space="preserve">  </v>
      </c>
      <c r="R28" s="242"/>
      <c r="S28" s="242"/>
      <c r="T28" s="242"/>
    </row>
    <row r="29" spans="1:20" s="241" customFormat="1" ht="25.5">
      <c r="A29" s="234">
        <f t="shared" si="0"/>
        <v>334</v>
      </c>
      <c r="B29" s="161"/>
      <c r="C29" s="161" t="s">
        <v>407</v>
      </c>
      <c r="D29" s="162" t="s">
        <v>369</v>
      </c>
      <c r="E29" s="328"/>
      <c r="F29" s="714"/>
      <c r="G29" s="714"/>
      <c r="H29" s="714"/>
      <c r="I29" s="353" t="str">
        <f t="shared" si="1"/>
        <v xml:space="preserve">  </v>
      </c>
      <c r="R29" s="242"/>
      <c r="S29" s="242"/>
      <c r="T29" s="242"/>
    </row>
    <row r="30" spans="1:20" s="241" customFormat="1" ht="25.5">
      <c r="A30" s="234">
        <f t="shared" si="0"/>
        <v>335</v>
      </c>
      <c r="B30" s="161"/>
      <c r="C30" s="161" t="s">
        <v>408</v>
      </c>
      <c r="D30" s="162" t="s">
        <v>369</v>
      </c>
      <c r="E30" s="328"/>
      <c r="F30" s="714"/>
      <c r="G30" s="714"/>
      <c r="H30" s="714"/>
      <c r="I30" s="353" t="str">
        <f t="shared" si="1"/>
        <v xml:space="preserve">  </v>
      </c>
      <c r="R30" s="242"/>
      <c r="S30" s="242"/>
      <c r="T30" s="242"/>
    </row>
    <row r="31" spans="1:20" s="241" customFormat="1" ht="25.5">
      <c r="A31" s="234">
        <f t="shared" si="0"/>
        <v>336</v>
      </c>
      <c r="B31" s="161"/>
      <c r="C31" s="161" t="s">
        <v>409</v>
      </c>
      <c r="D31" s="162" t="s">
        <v>369</v>
      </c>
      <c r="E31" s="328"/>
      <c r="F31" s="714"/>
      <c r="G31" s="714"/>
      <c r="H31" s="714"/>
      <c r="I31" s="353" t="str">
        <f t="shared" si="1"/>
        <v xml:space="preserve">  </v>
      </c>
      <c r="R31" s="242"/>
      <c r="S31" s="242"/>
      <c r="T31" s="242"/>
    </row>
    <row r="32" spans="1:20" s="241" customFormat="1" ht="51">
      <c r="A32" s="234">
        <f t="shared" si="0"/>
        <v>337</v>
      </c>
      <c r="B32" s="161"/>
      <c r="C32" s="255" t="s">
        <v>737</v>
      </c>
      <c r="D32" s="162" t="s">
        <v>369</v>
      </c>
      <c r="E32" s="329"/>
      <c r="F32" s="714"/>
      <c r="G32" s="714"/>
      <c r="H32" s="714"/>
      <c r="I32" s="353" t="str">
        <f t="shared" si="1"/>
        <v xml:space="preserve">  </v>
      </c>
      <c r="R32" s="242"/>
      <c r="S32" s="242"/>
      <c r="T32" s="242"/>
    </row>
    <row r="33" spans="1:20" s="239" customFormat="1">
      <c r="A33" s="234">
        <f t="shared" si="0"/>
        <v>338</v>
      </c>
      <c r="B33" s="235" t="s">
        <v>410</v>
      </c>
      <c r="C33" s="236"/>
      <c r="D33" s="236"/>
      <c r="E33" s="238"/>
      <c r="F33" s="715"/>
      <c r="G33" s="715"/>
      <c r="H33" s="715"/>
      <c r="I33" s="357"/>
      <c r="R33" s="240"/>
      <c r="S33" s="240"/>
      <c r="T33" s="240"/>
    </row>
    <row r="34" spans="1:20" s="241" customFormat="1">
      <c r="A34" s="234">
        <f t="shared" si="0"/>
        <v>339</v>
      </c>
      <c r="B34" s="161"/>
      <c r="C34" s="161" t="s">
        <v>14</v>
      </c>
      <c r="D34" s="162" t="s">
        <v>369</v>
      </c>
      <c r="E34" s="328"/>
      <c r="F34" s="714"/>
      <c r="G34" s="714"/>
      <c r="H34" s="714"/>
      <c r="I34" s="353" t="str">
        <f t="shared" ref="I34:I72" si="2">IF(NOT(ISBLANK($I$19)),$I$19,"  ")</f>
        <v xml:space="preserve">  </v>
      </c>
      <c r="R34" s="242"/>
      <c r="S34" s="242"/>
      <c r="T34" s="242"/>
    </row>
    <row r="35" spans="1:20" s="241" customFormat="1" ht="25.5">
      <c r="A35" s="234">
        <f t="shared" si="0"/>
        <v>340</v>
      </c>
      <c r="B35" s="161"/>
      <c r="C35" s="161" t="s">
        <v>15</v>
      </c>
      <c r="D35" s="162" t="s">
        <v>369</v>
      </c>
      <c r="E35" s="328"/>
      <c r="F35" s="714"/>
      <c r="G35" s="714"/>
      <c r="H35" s="714"/>
      <c r="I35" s="353" t="str">
        <f t="shared" si="2"/>
        <v xml:space="preserve">  </v>
      </c>
      <c r="R35" s="242"/>
      <c r="S35" s="242"/>
      <c r="T35" s="242"/>
    </row>
    <row r="36" spans="1:20" s="241" customFormat="1">
      <c r="A36" s="234">
        <f t="shared" si="0"/>
        <v>341</v>
      </c>
      <c r="B36" s="161"/>
      <c r="C36" s="161" t="s">
        <v>16</v>
      </c>
      <c r="D36" s="162" t="s">
        <v>369</v>
      </c>
      <c r="E36" s="328"/>
      <c r="F36" s="714"/>
      <c r="G36" s="714"/>
      <c r="H36" s="714"/>
      <c r="I36" s="353" t="str">
        <f t="shared" si="2"/>
        <v xml:space="preserve">  </v>
      </c>
      <c r="R36" s="242"/>
      <c r="S36" s="242"/>
      <c r="T36" s="242"/>
    </row>
    <row r="37" spans="1:20" s="241" customFormat="1" ht="25.5">
      <c r="A37" s="234">
        <f t="shared" si="0"/>
        <v>342</v>
      </c>
      <c r="B37" s="161"/>
      <c r="C37" s="161" t="s">
        <v>17</v>
      </c>
      <c r="D37" s="162" t="s">
        <v>369</v>
      </c>
      <c r="E37" s="328"/>
      <c r="F37" s="714"/>
      <c r="G37" s="714"/>
      <c r="H37" s="714"/>
      <c r="I37" s="353" t="str">
        <f t="shared" si="2"/>
        <v xml:space="preserve">  </v>
      </c>
      <c r="R37" s="242"/>
      <c r="S37" s="242"/>
      <c r="T37" s="242"/>
    </row>
    <row r="38" spans="1:20" s="241" customFormat="1" ht="25.5">
      <c r="A38" s="234">
        <f t="shared" si="0"/>
        <v>343</v>
      </c>
      <c r="B38" s="161"/>
      <c r="C38" s="161" t="s">
        <v>18</v>
      </c>
      <c r="D38" s="162" t="s">
        <v>369</v>
      </c>
      <c r="E38" s="328"/>
      <c r="F38" s="714"/>
      <c r="G38" s="714"/>
      <c r="H38" s="714"/>
      <c r="I38" s="353" t="str">
        <f t="shared" si="2"/>
        <v xml:space="preserve">  </v>
      </c>
      <c r="R38" s="242"/>
      <c r="S38" s="242"/>
      <c r="T38" s="242"/>
    </row>
    <row r="39" spans="1:20" s="241" customFormat="1" ht="25.5">
      <c r="A39" s="234">
        <f t="shared" si="0"/>
        <v>344</v>
      </c>
      <c r="B39" s="161"/>
      <c r="C39" s="161" t="s">
        <v>19</v>
      </c>
      <c r="D39" s="162" t="s">
        <v>369</v>
      </c>
      <c r="E39" s="328"/>
      <c r="F39" s="714"/>
      <c r="G39" s="714"/>
      <c r="H39" s="714"/>
      <c r="I39" s="353" t="str">
        <f t="shared" si="2"/>
        <v xml:space="preserve">  </v>
      </c>
      <c r="R39" s="242"/>
      <c r="S39" s="242"/>
      <c r="T39" s="242"/>
    </row>
    <row r="40" spans="1:20" s="241" customFormat="1" ht="38.25">
      <c r="A40" s="234">
        <f t="shared" si="0"/>
        <v>345</v>
      </c>
      <c r="B40" s="161"/>
      <c r="C40" s="161" t="s">
        <v>411</v>
      </c>
      <c r="D40" s="162" t="s">
        <v>369</v>
      </c>
      <c r="E40" s="328"/>
      <c r="F40" s="714"/>
      <c r="G40" s="714"/>
      <c r="H40" s="714"/>
      <c r="I40" s="353" t="str">
        <f t="shared" si="2"/>
        <v xml:space="preserve">  </v>
      </c>
      <c r="R40" s="242"/>
      <c r="S40" s="242"/>
      <c r="T40" s="242"/>
    </row>
    <row r="41" spans="1:20" s="241" customFormat="1" ht="25.5">
      <c r="A41" s="234">
        <f t="shared" si="0"/>
        <v>346</v>
      </c>
      <c r="B41" s="161"/>
      <c r="C41" s="161" t="s">
        <v>21</v>
      </c>
      <c r="D41" s="162" t="s">
        <v>369</v>
      </c>
      <c r="E41" s="328"/>
      <c r="F41" s="714"/>
      <c r="G41" s="714"/>
      <c r="H41" s="714"/>
      <c r="I41" s="353" t="str">
        <f t="shared" si="2"/>
        <v xml:space="preserve">  </v>
      </c>
      <c r="R41" s="242"/>
      <c r="S41" s="242"/>
      <c r="T41" s="242"/>
    </row>
    <row r="42" spans="1:20" s="241" customFormat="1" ht="25.5">
      <c r="A42" s="234">
        <f t="shared" si="0"/>
        <v>347</v>
      </c>
      <c r="B42" s="161"/>
      <c r="C42" s="161" t="s">
        <v>412</v>
      </c>
      <c r="D42" s="162" t="s">
        <v>369</v>
      </c>
      <c r="E42" s="328"/>
      <c r="F42" s="714"/>
      <c r="G42" s="714"/>
      <c r="H42" s="714"/>
      <c r="I42" s="353" t="str">
        <f t="shared" si="2"/>
        <v xml:space="preserve">  </v>
      </c>
      <c r="R42" s="242"/>
      <c r="S42" s="242"/>
      <c r="T42" s="242"/>
    </row>
    <row r="43" spans="1:20" s="241" customFormat="1">
      <c r="A43" s="234">
        <f t="shared" si="0"/>
        <v>348</v>
      </c>
      <c r="B43" s="161"/>
      <c r="C43" s="161" t="s">
        <v>413</v>
      </c>
      <c r="D43" s="162" t="s">
        <v>369</v>
      </c>
      <c r="E43" s="328"/>
      <c r="F43" s="714"/>
      <c r="G43" s="714"/>
      <c r="H43" s="714"/>
      <c r="I43" s="353" t="str">
        <f t="shared" si="2"/>
        <v xml:space="preserve">  </v>
      </c>
      <c r="R43" s="242"/>
      <c r="S43" s="242"/>
      <c r="T43" s="242"/>
    </row>
    <row r="44" spans="1:20" s="241" customFormat="1" ht="38.25">
      <c r="A44" s="234">
        <f t="shared" si="0"/>
        <v>349</v>
      </c>
      <c r="B44" s="161"/>
      <c r="C44" s="255" t="s">
        <v>738</v>
      </c>
      <c r="D44" s="162" t="s">
        <v>369</v>
      </c>
      <c r="E44" s="328"/>
      <c r="F44" s="719"/>
      <c r="G44" s="719"/>
      <c r="H44" s="719"/>
      <c r="I44" s="353" t="str">
        <f t="shared" si="2"/>
        <v xml:space="preserve">  </v>
      </c>
      <c r="R44" s="242"/>
      <c r="S44" s="242"/>
      <c r="T44" s="242"/>
    </row>
    <row r="45" spans="1:20" s="241" customFormat="1" ht="38.25">
      <c r="A45" s="234">
        <f t="shared" si="0"/>
        <v>350</v>
      </c>
      <c r="B45" s="161"/>
      <c r="C45" s="255" t="s">
        <v>735</v>
      </c>
      <c r="D45" s="162" t="s">
        <v>369</v>
      </c>
      <c r="E45" s="328"/>
      <c r="F45" s="719"/>
      <c r="G45" s="719"/>
      <c r="H45" s="719"/>
      <c r="I45" s="353" t="str">
        <f t="shared" si="2"/>
        <v xml:space="preserve">  </v>
      </c>
      <c r="R45" s="242"/>
      <c r="S45" s="242"/>
      <c r="T45" s="242"/>
    </row>
    <row r="46" spans="1:20" s="241" customFormat="1" ht="25.5">
      <c r="A46" s="234">
        <f t="shared" si="0"/>
        <v>351</v>
      </c>
      <c r="B46" s="161"/>
      <c r="C46" s="255" t="s">
        <v>736</v>
      </c>
      <c r="D46" s="162" t="s">
        <v>369</v>
      </c>
      <c r="E46" s="328"/>
      <c r="F46" s="719"/>
      <c r="G46" s="719"/>
      <c r="H46" s="719"/>
      <c r="I46" s="353" t="str">
        <f t="shared" si="2"/>
        <v xml:space="preserve">  </v>
      </c>
      <c r="R46" s="242"/>
      <c r="S46" s="242"/>
      <c r="T46" s="242"/>
    </row>
    <row r="47" spans="1:20" s="241" customFormat="1" ht="25.5">
      <c r="A47" s="234">
        <f t="shared" si="0"/>
        <v>352</v>
      </c>
      <c r="B47" s="161"/>
      <c r="C47" s="161" t="s">
        <v>414</v>
      </c>
      <c r="D47" s="162" t="s">
        <v>369</v>
      </c>
      <c r="E47" s="328"/>
      <c r="F47" s="719"/>
      <c r="G47" s="719"/>
      <c r="H47" s="719"/>
      <c r="I47" s="353" t="str">
        <f t="shared" si="2"/>
        <v xml:space="preserve">  </v>
      </c>
      <c r="R47" s="242"/>
      <c r="S47" s="242"/>
      <c r="T47" s="242"/>
    </row>
    <row r="48" spans="1:20" s="239" customFormat="1">
      <c r="A48" s="234">
        <f t="shared" si="0"/>
        <v>353</v>
      </c>
      <c r="B48" s="235" t="s">
        <v>415</v>
      </c>
      <c r="C48" s="236"/>
      <c r="D48" s="236"/>
      <c r="E48" s="238"/>
      <c r="F48" s="715"/>
      <c r="G48" s="715"/>
      <c r="H48" s="715"/>
      <c r="I48" s="357"/>
      <c r="R48" s="240"/>
      <c r="S48" s="240"/>
      <c r="T48" s="240"/>
    </row>
    <row r="49" spans="1:20" s="241" customFormat="1" ht="25.5">
      <c r="A49" s="234">
        <f t="shared" si="0"/>
        <v>354</v>
      </c>
      <c r="B49" s="161"/>
      <c r="C49" s="161" t="s">
        <v>416</v>
      </c>
      <c r="D49" s="162" t="s">
        <v>369</v>
      </c>
      <c r="E49" s="328"/>
      <c r="F49" s="714"/>
      <c r="G49" s="714"/>
      <c r="H49" s="714"/>
      <c r="I49" s="353" t="str">
        <f t="shared" si="2"/>
        <v xml:space="preserve">  </v>
      </c>
      <c r="R49" s="242"/>
      <c r="S49" s="242"/>
      <c r="T49" s="242"/>
    </row>
    <row r="50" spans="1:20" s="241" customFormat="1" ht="38.25">
      <c r="A50" s="234">
        <f t="shared" si="0"/>
        <v>355</v>
      </c>
      <c r="B50" s="161"/>
      <c r="C50" s="161" t="s">
        <v>392</v>
      </c>
      <c r="D50" s="162" t="s">
        <v>369</v>
      </c>
      <c r="E50" s="328"/>
      <c r="F50" s="714"/>
      <c r="G50" s="714"/>
      <c r="H50" s="714"/>
      <c r="I50" s="353" t="str">
        <f t="shared" si="2"/>
        <v xml:space="preserve">  </v>
      </c>
      <c r="R50" s="242"/>
      <c r="S50" s="242"/>
      <c r="T50" s="242"/>
    </row>
    <row r="51" spans="1:20" s="239" customFormat="1">
      <c r="A51" s="234">
        <f t="shared" si="0"/>
        <v>356</v>
      </c>
      <c r="B51" s="235" t="s">
        <v>179</v>
      </c>
      <c r="C51" s="236"/>
      <c r="D51" s="236"/>
      <c r="E51" s="238"/>
      <c r="F51" s="715"/>
      <c r="G51" s="715"/>
      <c r="H51" s="715"/>
      <c r="I51" s="357"/>
      <c r="R51" s="240"/>
      <c r="S51" s="240"/>
      <c r="T51" s="240"/>
    </row>
    <row r="52" spans="1:20" s="241" customFormat="1" ht="25.5">
      <c r="A52" s="234">
        <f t="shared" si="0"/>
        <v>357</v>
      </c>
      <c r="B52" s="161"/>
      <c r="C52" s="161" t="s">
        <v>33</v>
      </c>
      <c r="D52" s="162" t="s">
        <v>365</v>
      </c>
      <c r="E52" s="328"/>
      <c r="F52" s="714"/>
      <c r="G52" s="714"/>
      <c r="H52" s="714"/>
      <c r="I52" s="353" t="str">
        <f t="shared" si="2"/>
        <v xml:space="preserve">  </v>
      </c>
      <c r="R52" s="242"/>
      <c r="S52" s="242"/>
      <c r="T52" s="242"/>
    </row>
    <row r="53" spans="1:20" s="241" customFormat="1" ht="25.5">
      <c r="A53" s="234">
        <f t="shared" si="0"/>
        <v>358</v>
      </c>
      <c r="B53" s="161"/>
      <c r="C53" s="161" t="s">
        <v>417</v>
      </c>
      <c r="D53" s="162" t="s">
        <v>365</v>
      </c>
      <c r="E53" s="328"/>
      <c r="F53" s="714"/>
      <c r="G53" s="714"/>
      <c r="H53" s="714"/>
      <c r="I53" s="353" t="str">
        <f t="shared" si="2"/>
        <v xml:space="preserve">  </v>
      </c>
      <c r="R53" s="242"/>
      <c r="S53" s="242"/>
      <c r="T53" s="242"/>
    </row>
    <row r="54" spans="1:20" s="241" customFormat="1" ht="25.5">
      <c r="A54" s="234">
        <f t="shared" si="0"/>
        <v>359</v>
      </c>
      <c r="B54" s="161"/>
      <c r="C54" s="161" t="s">
        <v>35</v>
      </c>
      <c r="D54" s="162" t="s">
        <v>365</v>
      </c>
      <c r="E54" s="328"/>
      <c r="F54" s="714"/>
      <c r="G54" s="714"/>
      <c r="H54" s="714"/>
      <c r="I54" s="353" t="str">
        <f t="shared" si="2"/>
        <v xml:space="preserve">  </v>
      </c>
      <c r="R54" s="242"/>
      <c r="S54" s="242"/>
      <c r="T54" s="242"/>
    </row>
    <row r="55" spans="1:20" s="241" customFormat="1" ht="25.5">
      <c r="A55" s="234">
        <f t="shared" si="0"/>
        <v>360</v>
      </c>
      <c r="B55" s="161"/>
      <c r="C55" s="161" t="s">
        <v>45</v>
      </c>
      <c r="D55" s="162" t="s">
        <v>365</v>
      </c>
      <c r="E55" s="328"/>
      <c r="F55" s="714"/>
      <c r="G55" s="714"/>
      <c r="H55" s="714"/>
      <c r="I55" s="353" t="str">
        <f t="shared" si="2"/>
        <v xml:space="preserve">  </v>
      </c>
      <c r="R55" s="242"/>
      <c r="S55" s="242"/>
      <c r="T55" s="242"/>
    </row>
    <row r="56" spans="1:20" s="241" customFormat="1" ht="25.5">
      <c r="A56" s="234">
        <f t="shared" si="0"/>
        <v>361</v>
      </c>
      <c r="B56" s="161"/>
      <c r="C56" s="161" t="s">
        <v>46</v>
      </c>
      <c r="D56" s="162" t="s">
        <v>365</v>
      </c>
      <c r="E56" s="328"/>
      <c r="F56" s="714"/>
      <c r="G56" s="714"/>
      <c r="H56" s="714"/>
      <c r="I56" s="353" t="str">
        <f t="shared" si="2"/>
        <v xml:space="preserve">  </v>
      </c>
      <c r="R56" s="242"/>
      <c r="S56" s="242"/>
      <c r="T56" s="242"/>
    </row>
    <row r="57" spans="1:20" s="239" customFormat="1">
      <c r="A57" s="234">
        <f t="shared" si="0"/>
        <v>362</v>
      </c>
      <c r="B57" s="235" t="s">
        <v>182</v>
      </c>
      <c r="C57" s="236"/>
      <c r="D57" s="236"/>
      <c r="E57" s="238"/>
      <c r="F57" s="715"/>
      <c r="G57" s="715"/>
      <c r="H57" s="715"/>
      <c r="I57" s="357"/>
      <c r="R57" s="240"/>
      <c r="S57" s="240"/>
      <c r="T57" s="240"/>
    </row>
    <row r="58" spans="1:20" s="241" customFormat="1" ht="25.5">
      <c r="A58" s="234">
        <f t="shared" si="0"/>
        <v>363</v>
      </c>
      <c r="B58" s="161"/>
      <c r="C58" s="161" t="s">
        <v>418</v>
      </c>
      <c r="D58" s="162" t="s">
        <v>365</v>
      </c>
      <c r="E58" s="328"/>
      <c r="F58" s="714"/>
      <c r="G58" s="714"/>
      <c r="H58" s="714"/>
      <c r="I58" s="353" t="str">
        <f t="shared" si="2"/>
        <v xml:space="preserve">  </v>
      </c>
      <c r="R58" s="242"/>
      <c r="S58" s="242"/>
      <c r="T58" s="242"/>
    </row>
    <row r="59" spans="1:20" s="241" customFormat="1" ht="38.25">
      <c r="A59" s="234">
        <f t="shared" si="0"/>
        <v>364</v>
      </c>
      <c r="B59" s="161"/>
      <c r="C59" s="161" t="s">
        <v>419</v>
      </c>
      <c r="D59" s="162" t="s">
        <v>66</v>
      </c>
      <c r="E59" s="328"/>
      <c r="F59" s="714"/>
      <c r="G59" s="714"/>
      <c r="H59" s="714"/>
      <c r="I59" s="353" t="str">
        <f t="shared" si="2"/>
        <v xml:space="preserve">  </v>
      </c>
      <c r="R59" s="242"/>
      <c r="S59" s="242"/>
      <c r="T59" s="242"/>
    </row>
    <row r="60" spans="1:20" s="241" customFormat="1" ht="38.25">
      <c r="A60" s="234">
        <f t="shared" si="0"/>
        <v>365</v>
      </c>
      <c r="B60" s="161"/>
      <c r="C60" s="161" t="s">
        <v>420</v>
      </c>
      <c r="D60" s="162" t="s">
        <v>66</v>
      </c>
      <c r="E60" s="328"/>
      <c r="F60" s="714"/>
      <c r="G60" s="714"/>
      <c r="H60" s="714"/>
      <c r="I60" s="353" t="str">
        <f t="shared" si="2"/>
        <v xml:space="preserve">  </v>
      </c>
      <c r="R60" s="242"/>
      <c r="S60" s="242"/>
      <c r="T60" s="242"/>
    </row>
    <row r="61" spans="1:20" s="241" customFormat="1" ht="76.5">
      <c r="A61" s="234">
        <f t="shared" si="0"/>
        <v>366</v>
      </c>
      <c r="B61" s="161"/>
      <c r="C61" s="255" t="s">
        <v>743</v>
      </c>
      <c r="D61" s="162" t="s">
        <v>365</v>
      </c>
      <c r="E61" s="328"/>
      <c r="F61" s="714"/>
      <c r="G61" s="714"/>
      <c r="H61" s="714"/>
      <c r="I61" s="353" t="str">
        <f t="shared" si="2"/>
        <v xml:space="preserve">  </v>
      </c>
      <c r="R61" s="242"/>
      <c r="S61" s="242"/>
      <c r="T61" s="242"/>
    </row>
    <row r="62" spans="1:20" s="239" customFormat="1">
      <c r="A62" s="234">
        <f t="shared" si="0"/>
        <v>367</v>
      </c>
      <c r="B62" s="235" t="s">
        <v>185</v>
      </c>
      <c r="C62" s="236"/>
      <c r="D62" s="236"/>
      <c r="E62" s="238"/>
      <c r="F62" s="715"/>
      <c r="G62" s="715"/>
      <c r="H62" s="715"/>
      <c r="I62" s="357"/>
      <c r="R62" s="240"/>
      <c r="S62" s="240"/>
      <c r="T62" s="240"/>
    </row>
    <row r="63" spans="1:20" s="241" customFormat="1" ht="25.5">
      <c r="A63" s="234">
        <f t="shared" si="0"/>
        <v>368</v>
      </c>
      <c r="B63" s="161"/>
      <c r="C63" s="255" t="s">
        <v>466</v>
      </c>
      <c r="D63" s="162" t="s">
        <v>367</v>
      </c>
      <c r="E63" s="328"/>
      <c r="F63" s="714"/>
      <c r="G63" s="714"/>
      <c r="H63" s="714"/>
      <c r="I63" s="353" t="str">
        <f t="shared" si="2"/>
        <v xml:space="preserve">  </v>
      </c>
      <c r="R63" s="242"/>
      <c r="S63" s="242"/>
      <c r="T63" s="242"/>
    </row>
    <row r="64" spans="1:20" s="241" customFormat="1" ht="25.5">
      <c r="A64" s="234">
        <f t="shared" si="0"/>
        <v>369</v>
      </c>
      <c r="B64" s="161"/>
      <c r="C64" s="255" t="s">
        <v>465</v>
      </c>
      <c r="D64" s="162" t="s">
        <v>367</v>
      </c>
      <c r="E64" s="328"/>
      <c r="F64" s="714"/>
      <c r="G64" s="714"/>
      <c r="H64" s="714"/>
      <c r="I64" s="353" t="str">
        <f t="shared" si="2"/>
        <v xml:space="preserve">  </v>
      </c>
      <c r="R64" s="242"/>
      <c r="S64" s="242"/>
      <c r="T64" s="242"/>
    </row>
    <row r="65" spans="1:20" s="241" customFormat="1" ht="25.5">
      <c r="A65" s="234">
        <f t="shared" si="0"/>
        <v>370</v>
      </c>
      <c r="B65" s="161"/>
      <c r="C65" s="255" t="s">
        <v>467</v>
      </c>
      <c r="D65" s="162" t="s">
        <v>367</v>
      </c>
      <c r="E65" s="328"/>
      <c r="F65" s="714"/>
      <c r="G65" s="714"/>
      <c r="H65" s="714"/>
      <c r="I65" s="353" t="str">
        <f t="shared" si="2"/>
        <v xml:space="preserve">  </v>
      </c>
      <c r="R65" s="242"/>
      <c r="S65" s="242"/>
      <c r="T65" s="242"/>
    </row>
    <row r="66" spans="1:20" s="241" customFormat="1" ht="38.25">
      <c r="A66" s="234">
        <f t="shared" si="0"/>
        <v>371</v>
      </c>
      <c r="B66" s="161"/>
      <c r="C66" s="161" t="s">
        <v>186</v>
      </c>
      <c r="D66" s="162" t="s">
        <v>361</v>
      </c>
      <c r="E66" s="328"/>
      <c r="F66" s="714"/>
      <c r="G66" s="714"/>
      <c r="H66" s="714"/>
      <c r="I66" s="353" t="str">
        <f t="shared" si="2"/>
        <v xml:space="preserve">  </v>
      </c>
      <c r="R66" s="242"/>
      <c r="S66" s="242"/>
      <c r="T66" s="242"/>
    </row>
    <row r="67" spans="1:20" s="241" customFormat="1" ht="25.5">
      <c r="A67" s="234">
        <f t="shared" si="0"/>
        <v>372</v>
      </c>
      <c r="B67" s="161"/>
      <c r="C67" s="161" t="s">
        <v>187</v>
      </c>
      <c r="D67" s="162" t="s">
        <v>361</v>
      </c>
      <c r="E67" s="328"/>
      <c r="F67" s="714"/>
      <c r="G67" s="714"/>
      <c r="H67" s="714"/>
      <c r="I67" s="353" t="str">
        <f t="shared" si="2"/>
        <v xml:space="preserve">  </v>
      </c>
      <c r="R67" s="242"/>
      <c r="S67" s="242"/>
      <c r="T67" s="242"/>
    </row>
    <row r="68" spans="1:20" s="239" customFormat="1">
      <c r="A68" s="234">
        <f t="shared" si="0"/>
        <v>373</v>
      </c>
      <c r="B68" s="235" t="s">
        <v>220</v>
      </c>
      <c r="C68" s="236"/>
      <c r="D68" s="236"/>
      <c r="E68" s="238"/>
      <c r="F68" s="715"/>
      <c r="G68" s="715"/>
      <c r="H68" s="715"/>
      <c r="I68" s="357"/>
      <c r="R68" s="240"/>
      <c r="S68" s="240"/>
      <c r="T68" s="240"/>
    </row>
    <row r="69" spans="1:20" s="241" customFormat="1" ht="25.5">
      <c r="A69" s="234">
        <f t="shared" si="0"/>
        <v>374</v>
      </c>
      <c r="B69" s="161"/>
      <c r="C69" s="161" t="s">
        <v>189</v>
      </c>
      <c r="D69" s="162" t="s">
        <v>368</v>
      </c>
      <c r="E69" s="328"/>
      <c r="F69" s="714"/>
      <c r="G69" s="714"/>
      <c r="H69" s="714"/>
      <c r="I69" s="353" t="str">
        <f t="shared" si="2"/>
        <v xml:space="preserve">  </v>
      </c>
      <c r="R69" s="242"/>
      <c r="S69" s="242"/>
      <c r="T69" s="242"/>
    </row>
    <row r="70" spans="1:20" s="241" customFormat="1" ht="38.25">
      <c r="A70" s="234">
        <f t="shared" si="0"/>
        <v>375</v>
      </c>
      <c r="B70" s="161"/>
      <c r="C70" s="161" t="s">
        <v>190</v>
      </c>
      <c r="D70" s="162" t="s">
        <v>371</v>
      </c>
      <c r="E70" s="328"/>
      <c r="F70" s="714"/>
      <c r="G70" s="714"/>
      <c r="H70" s="714"/>
      <c r="I70" s="353" t="str">
        <f t="shared" si="2"/>
        <v xml:space="preserve">  </v>
      </c>
      <c r="R70" s="242"/>
      <c r="S70" s="242"/>
      <c r="T70" s="242"/>
    </row>
    <row r="71" spans="1:20" s="241" customFormat="1">
      <c r="A71" s="234">
        <f t="shared" si="0"/>
        <v>376</v>
      </c>
      <c r="B71" s="161"/>
      <c r="C71" s="161" t="s">
        <v>191</v>
      </c>
      <c r="D71" s="162" t="s">
        <v>365</v>
      </c>
      <c r="E71" s="328"/>
      <c r="F71" s="714"/>
      <c r="G71" s="714"/>
      <c r="H71" s="714"/>
      <c r="I71" s="353" t="str">
        <f t="shared" si="2"/>
        <v xml:space="preserve">  </v>
      </c>
      <c r="R71" s="242"/>
      <c r="S71" s="242"/>
      <c r="T71" s="242"/>
    </row>
    <row r="72" spans="1:20" s="241" customFormat="1" ht="25.5">
      <c r="A72" s="234">
        <f t="shared" si="0"/>
        <v>377</v>
      </c>
      <c r="B72" s="161"/>
      <c r="C72" s="161" t="s">
        <v>54</v>
      </c>
      <c r="D72" s="162" t="s">
        <v>365</v>
      </c>
      <c r="E72" s="328"/>
      <c r="F72" s="714"/>
      <c r="G72" s="714"/>
      <c r="H72" s="714"/>
      <c r="I72" s="353" t="str">
        <f t="shared" si="2"/>
        <v xml:space="preserve">  </v>
      </c>
      <c r="R72" s="242"/>
      <c r="S72" s="242"/>
      <c r="T72" s="242"/>
    </row>
    <row r="73" spans="1:20" s="241" customFormat="1">
      <c r="A73" s="234">
        <f t="shared" si="0"/>
        <v>378</v>
      </c>
      <c r="B73" s="164"/>
      <c r="C73" s="161"/>
      <c r="D73" s="162"/>
      <c r="E73" s="328"/>
      <c r="F73" s="714"/>
      <c r="G73" s="714"/>
      <c r="H73" s="714"/>
      <c r="I73" s="358"/>
      <c r="R73" s="242"/>
      <c r="S73" s="242"/>
      <c r="T73" s="242"/>
    </row>
    <row r="74" spans="1:20" s="241" customFormat="1">
      <c r="A74" s="234">
        <f t="shared" si="0"/>
        <v>379</v>
      </c>
      <c r="B74" s="164"/>
      <c r="C74" s="161"/>
      <c r="D74" s="162"/>
      <c r="E74" s="328"/>
      <c r="F74" s="714"/>
      <c r="G74" s="714"/>
      <c r="H74" s="714"/>
      <c r="I74" s="358"/>
      <c r="R74" s="242"/>
      <c r="S74" s="242"/>
      <c r="T74" s="242"/>
    </row>
    <row r="75" spans="1:20" s="241" customFormat="1">
      <c r="A75" s="234">
        <f t="shared" si="0"/>
        <v>380</v>
      </c>
      <c r="B75" s="165"/>
      <c r="C75" s="161"/>
      <c r="D75" s="162"/>
      <c r="E75" s="328"/>
      <c r="F75" s="714"/>
      <c r="G75" s="714"/>
      <c r="H75" s="714"/>
      <c r="I75" s="358"/>
      <c r="R75" s="242"/>
      <c r="S75" s="242"/>
      <c r="T75" s="242"/>
    </row>
    <row r="76" spans="1:20" s="241" customFormat="1">
      <c r="A76" s="234">
        <f t="shared" si="0"/>
        <v>381</v>
      </c>
      <c r="B76" s="165"/>
      <c r="C76" s="161"/>
      <c r="D76" s="162"/>
      <c r="E76" s="328"/>
      <c r="F76" s="714"/>
      <c r="G76" s="714"/>
      <c r="H76" s="714"/>
      <c r="I76" s="358"/>
      <c r="R76" s="242"/>
      <c r="S76" s="242"/>
      <c r="T76" s="242"/>
    </row>
    <row r="77" spans="1:20" s="241" customFormat="1">
      <c r="A77" s="234">
        <f t="shared" si="0"/>
        <v>382</v>
      </c>
      <c r="B77" s="165"/>
      <c r="C77" s="161"/>
      <c r="D77" s="162"/>
      <c r="E77" s="328"/>
      <c r="F77" s="714"/>
      <c r="G77" s="714"/>
      <c r="H77" s="714"/>
      <c r="I77" s="358"/>
      <c r="R77" s="242"/>
      <c r="S77" s="242"/>
      <c r="T77" s="242"/>
    </row>
    <row r="78" spans="1:20" s="241" customFormat="1">
      <c r="A78" s="234">
        <f t="shared" si="0"/>
        <v>383</v>
      </c>
      <c r="B78" s="165"/>
      <c r="C78" s="161"/>
      <c r="D78" s="162"/>
      <c r="E78" s="328"/>
      <c r="F78" s="714"/>
      <c r="G78" s="714"/>
      <c r="H78" s="714"/>
      <c r="I78" s="358"/>
      <c r="R78" s="242"/>
      <c r="S78" s="242"/>
      <c r="T78" s="242"/>
    </row>
    <row r="79" spans="1:20" s="241" customFormat="1">
      <c r="A79" s="234">
        <f t="shared" si="0"/>
        <v>384</v>
      </c>
      <c r="B79" s="165"/>
      <c r="C79" s="161"/>
      <c r="D79" s="162"/>
      <c r="E79" s="328"/>
      <c r="F79" s="714"/>
      <c r="G79" s="714"/>
      <c r="H79" s="714"/>
      <c r="I79" s="358"/>
      <c r="R79" s="242"/>
      <c r="S79" s="242"/>
      <c r="T79" s="242"/>
    </row>
    <row r="80" spans="1:20" s="241" customFormat="1">
      <c r="A80" s="234">
        <f t="shared" si="0"/>
        <v>385</v>
      </c>
      <c r="B80" s="165"/>
      <c r="C80" s="161"/>
      <c r="D80" s="162"/>
      <c r="E80" s="328"/>
      <c r="F80" s="714"/>
      <c r="G80" s="714"/>
      <c r="H80" s="714"/>
      <c r="I80" s="358"/>
      <c r="R80" s="242"/>
      <c r="S80" s="242"/>
      <c r="T80" s="242"/>
    </row>
    <row r="81" spans="1:20" s="241" customFormat="1">
      <c r="A81" s="234">
        <f t="shared" si="0"/>
        <v>386</v>
      </c>
      <c r="B81" s="165"/>
      <c r="C81" s="161"/>
      <c r="D81" s="162"/>
      <c r="E81" s="328"/>
      <c r="F81" s="716"/>
      <c r="G81" s="714"/>
      <c r="H81" s="714"/>
      <c r="I81" s="358"/>
      <c r="R81" s="242"/>
      <c r="S81" s="242"/>
      <c r="T81" s="242"/>
    </row>
    <row r="82" spans="1:20" s="239" customFormat="1">
      <c r="A82" s="166"/>
      <c r="B82" s="167" t="s">
        <v>132</v>
      </c>
      <c r="C82" s="360"/>
      <c r="D82" s="168"/>
      <c r="E82" s="327"/>
      <c r="F82" s="721"/>
      <c r="G82" s="722"/>
      <c r="H82" s="723"/>
      <c r="I82" s="361"/>
    </row>
    <row r="83" spans="1:20" s="239" customFormat="1">
      <c r="A83" s="720"/>
      <c r="B83" s="720"/>
      <c r="C83" s="720"/>
      <c r="D83" s="720"/>
      <c r="E83" s="720"/>
      <c r="F83" s="720"/>
      <c r="G83" s="720"/>
      <c r="H83" s="720"/>
      <c r="I83" s="720"/>
    </row>
    <row r="84" spans="1:20" s="239" customFormat="1">
      <c r="A84" s="720"/>
      <c r="B84" s="720"/>
      <c r="C84" s="720"/>
      <c r="D84" s="720"/>
      <c r="E84" s="720"/>
      <c r="F84" s="720"/>
      <c r="G84" s="720"/>
      <c r="H84" s="720"/>
      <c r="I84" s="720"/>
    </row>
    <row r="85" spans="1:20" s="239" customFormat="1">
      <c r="A85" s="720"/>
      <c r="B85" s="720"/>
      <c r="C85" s="720"/>
      <c r="D85" s="720"/>
      <c r="E85" s="720"/>
      <c r="F85" s="720"/>
      <c r="G85" s="720"/>
      <c r="H85" s="720"/>
      <c r="I85" s="720"/>
    </row>
    <row r="86" spans="1:20" s="239" customFormat="1">
      <c r="A86" s="720"/>
      <c r="B86" s="720"/>
      <c r="C86" s="720"/>
      <c r="D86" s="720"/>
      <c r="E86" s="720"/>
      <c r="F86" s="720"/>
      <c r="G86" s="720"/>
      <c r="H86" s="720"/>
      <c r="I86" s="720"/>
    </row>
    <row r="87" spans="1:20" s="239" customFormat="1">
      <c r="A87" s="720"/>
      <c r="B87" s="720"/>
      <c r="C87" s="720"/>
      <c r="D87" s="720"/>
      <c r="E87" s="720"/>
      <c r="F87" s="720"/>
      <c r="G87" s="720"/>
      <c r="H87" s="720"/>
      <c r="I87" s="720"/>
    </row>
    <row r="88" spans="1:20">
      <c r="A88" s="720"/>
      <c r="B88" s="720"/>
      <c r="C88" s="720"/>
      <c r="D88" s="720"/>
      <c r="E88" s="720"/>
      <c r="F88" s="720"/>
      <c r="G88" s="720"/>
      <c r="H88" s="720"/>
      <c r="I88" s="720"/>
    </row>
  </sheetData>
  <sheetProtection selectLockedCells="1"/>
  <mergeCells count="74">
    <mergeCell ref="A83:I88"/>
    <mergeCell ref="F78:H78"/>
    <mergeCell ref="F79:H79"/>
    <mergeCell ref="F80:H80"/>
    <mergeCell ref="F81:H81"/>
    <mergeCell ref="F82:H82"/>
    <mergeCell ref="F66:H66"/>
    <mergeCell ref="F67:H67"/>
    <mergeCell ref="F60:H60"/>
    <mergeCell ref="F61:H61"/>
    <mergeCell ref="F62:H62"/>
    <mergeCell ref="F63:H63"/>
    <mergeCell ref="B2:C2"/>
    <mergeCell ref="D2:G2"/>
    <mergeCell ref="H2:I2"/>
    <mergeCell ref="F64:H64"/>
    <mergeCell ref="F65:H65"/>
    <mergeCell ref="F56:H56"/>
    <mergeCell ref="F57:H57"/>
    <mergeCell ref="F58:H58"/>
    <mergeCell ref="F59:H59"/>
    <mergeCell ref="F52:H52"/>
    <mergeCell ref="F53:H53"/>
    <mergeCell ref="F54:H54"/>
    <mergeCell ref="F55:H55"/>
    <mergeCell ref="F39:H39"/>
    <mergeCell ref="F48:H48"/>
    <mergeCell ref="F49:H49"/>
    <mergeCell ref="F76:H76"/>
    <mergeCell ref="F77:H77"/>
    <mergeCell ref="F68:H68"/>
    <mergeCell ref="F69:H69"/>
    <mergeCell ref="F70:H70"/>
    <mergeCell ref="F71:H71"/>
    <mergeCell ref="F72:H72"/>
    <mergeCell ref="F73:H73"/>
    <mergeCell ref="F74:H74"/>
    <mergeCell ref="F75:H75"/>
    <mergeCell ref="F51:H51"/>
    <mergeCell ref="F44:H44"/>
    <mergeCell ref="F45:H45"/>
    <mergeCell ref="F46:H46"/>
    <mergeCell ref="F47:H47"/>
    <mergeCell ref="F29:H29"/>
    <mergeCell ref="F32:H32"/>
    <mergeCell ref="F33:H33"/>
    <mergeCell ref="F34:H34"/>
    <mergeCell ref="F50:H50"/>
    <mergeCell ref="F35:H35"/>
    <mergeCell ref="F30:H30"/>
    <mergeCell ref="F31:H31"/>
    <mergeCell ref="F40:H40"/>
    <mergeCell ref="F41:H41"/>
    <mergeCell ref="F42:H42"/>
    <mergeCell ref="F43:H43"/>
    <mergeCell ref="F36:H36"/>
    <mergeCell ref="F37:H37"/>
    <mergeCell ref="F38:H38"/>
    <mergeCell ref="A4:I4"/>
    <mergeCell ref="B14:H14"/>
    <mergeCell ref="C16:E16"/>
    <mergeCell ref="F17:H17"/>
    <mergeCell ref="F28:H28"/>
    <mergeCell ref="F22:H22"/>
    <mergeCell ref="F18:H18"/>
    <mergeCell ref="F19:H19"/>
    <mergeCell ref="F20:H20"/>
    <mergeCell ref="F21:H21"/>
    <mergeCell ref="F24:H24"/>
    <mergeCell ref="F25:H25"/>
    <mergeCell ref="F23:H23"/>
    <mergeCell ref="F26:H26"/>
    <mergeCell ref="F27:H27"/>
    <mergeCell ref="B11:C11"/>
  </mergeCells>
  <phoneticPr fontId="0" type="noConversion"/>
  <dataValidations count="1">
    <dataValidation type="list" allowBlank="1" showInputMessage="1" showErrorMessage="1" sqref="E18:E81">
      <formula1>Resultados</formula1>
    </dataValidation>
  </dataValidations>
  <pageMargins left="0.74803149606299213" right="0.74803149606299213" top="0.98425196850393704" bottom="0.98425196850393704" header="0.51181102362204722" footer="0.51181102362204722"/>
  <pageSetup paperSize="9" scale="85" orientation="portrait" verticalDpi="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T52"/>
  <sheetViews>
    <sheetView showGridLines="0" topLeftCell="A10" workbookViewId="0">
      <selection activeCell="K4" sqref="K4"/>
    </sheetView>
  </sheetViews>
  <sheetFormatPr baseColWidth="10" defaultColWidth="11.42578125" defaultRowHeight="12.75"/>
  <cols>
    <col min="1" max="1" width="5.85546875" style="200" customWidth="1"/>
    <col min="2" max="2" width="4" style="200" customWidth="1"/>
    <col min="3" max="3" width="39.140625" style="200" customWidth="1"/>
    <col min="4" max="4" width="15" style="200" customWidth="1"/>
    <col min="5" max="5" width="12.7109375" style="200" customWidth="1"/>
    <col min="6" max="6" width="9.85546875" style="200" customWidth="1"/>
    <col min="7" max="7" width="20" style="200" customWidth="1"/>
    <col min="8" max="8" width="32.5703125" style="200" bestFit="1" customWidth="1"/>
    <col min="9" max="9" width="15.5703125" style="201" customWidth="1"/>
    <col min="10" max="16384" width="11.42578125" style="200"/>
  </cols>
  <sheetData>
    <row r="2" spans="1:20" s="14" customFormat="1" ht="50.25" customHeight="1">
      <c r="A2" s="12"/>
      <c r="B2" s="622"/>
      <c r="C2" s="622"/>
      <c r="D2" s="641" t="s">
        <v>573</v>
      </c>
      <c r="E2" s="642"/>
      <c r="F2" s="642"/>
      <c r="G2" s="665"/>
      <c r="H2" s="622"/>
      <c r="I2" s="622"/>
    </row>
    <row r="4" spans="1:20" s="183" customFormat="1" ht="15.75">
      <c r="A4" s="659" t="s">
        <v>580</v>
      </c>
      <c r="B4" s="660"/>
      <c r="C4" s="660"/>
      <c r="D4" s="660"/>
      <c r="E4" s="660"/>
      <c r="F4" s="660"/>
      <c r="G4" s="660"/>
      <c r="H4" s="660"/>
      <c r="I4" s="661"/>
    </row>
    <row r="5" spans="1:20" s="183" customFormat="1" ht="12">
      <c r="I5" s="184"/>
    </row>
    <row r="6" spans="1:20" s="183" customFormat="1">
      <c r="B6" s="390" t="s">
        <v>79</v>
      </c>
      <c r="C6" s="403"/>
      <c r="D6" s="388"/>
      <c r="E6" s="404"/>
      <c r="F6" s="389"/>
      <c r="G6" s="390" t="s">
        <v>451</v>
      </c>
      <c r="H6" s="387" t="str">
        <f>'Historial de Revisiones'!G4</f>
        <v>GOC-7089</v>
      </c>
      <c r="I6" s="184"/>
    </row>
    <row r="7" spans="1:20" s="183" customFormat="1">
      <c r="B7" s="390" t="s">
        <v>80</v>
      </c>
      <c r="C7" s="403"/>
      <c r="D7" s="388"/>
      <c r="E7" s="404"/>
      <c r="F7" s="389"/>
      <c r="G7" s="390" t="s">
        <v>477</v>
      </c>
      <c r="H7" s="387" t="str">
        <f>'Historial de Revisiones'!G5</f>
        <v>GOC-7092</v>
      </c>
      <c r="I7" s="184"/>
    </row>
    <row r="8" spans="1:20" s="183" customFormat="1">
      <c r="B8" s="390" t="s">
        <v>81</v>
      </c>
      <c r="C8" s="403"/>
      <c r="D8" s="393"/>
      <c r="E8" s="404"/>
      <c r="F8" s="389"/>
      <c r="G8" s="390" t="s">
        <v>124</v>
      </c>
      <c r="H8" s="387">
        <f>'Historial de Revisiones'!G6</f>
        <v>0</v>
      </c>
      <c r="I8" s="184"/>
    </row>
    <row r="9" spans="1:20" s="183" customFormat="1" ht="14.25" customHeight="1">
      <c r="B9" s="390" t="s">
        <v>82</v>
      </c>
      <c r="C9" s="403"/>
      <c r="D9" s="394"/>
      <c r="E9" s="404"/>
      <c r="F9" s="389"/>
      <c r="G9" s="390" t="s">
        <v>125</v>
      </c>
      <c r="H9" s="387" t="str">
        <f>'Historial de Revisiones'!G7</f>
        <v>Nombre desarrolllador</v>
      </c>
      <c r="I9" s="184"/>
    </row>
    <row r="10" spans="1:20" s="183" customFormat="1">
      <c r="B10" s="419" t="s">
        <v>83</v>
      </c>
      <c r="C10" s="420"/>
      <c r="D10" s="421"/>
      <c r="E10" s="406"/>
      <c r="F10" s="389"/>
      <c r="G10" s="390" t="s">
        <v>126</v>
      </c>
      <c r="H10" s="387" t="str">
        <f>'Historial de Revisiones'!G8</f>
        <v>Nombre de custodio</v>
      </c>
      <c r="I10" s="184"/>
    </row>
    <row r="11" spans="1:20" s="183" customFormat="1">
      <c r="B11" s="718"/>
      <c r="C11" s="718"/>
      <c r="D11" s="418"/>
      <c r="E11" s="406"/>
      <c r="F11" s="389"/>
      <c r="G11" s="390" t="s">
        <v>193</v>
      </c>
      <c r="H11" s="387">
        <f>'Historial de Revisiones'!G9</f>
        <v>0</v>
      </c>
      <c r="I11" s="184"/>
    </row>
    <row r="12" spans="1:20" s="183" customFormat="1" ht="12">
      <c r="E12" s="227"/>
      <c r="F12" s="182"/>
      <c r="G12" s="307"/>
      <c r="H12" s="306"/>
      <c r="I12" s="184"/>
    </row>
    <row r="13" spans="1:20" s="183" customFormat="1" ht="12">
      <c r="B13" s="183" t="s">
        <v>221</v>
      </c>
      <c r="I13" s="184"/>
      <c r="R13" s="185"/>
      <c r="S13" s="185"/>
      <c r="T13" s="185"/>
    </row>
    <row r="14" spans="1:20" s="183" customFormat="1" ht="33.75" customHeight="1">
      <c r="B14" s="670" t="s">
        <v>297</v>
      </c>
      <c r="C14" s="671"/>
      <c r="D14" s="671"/>
      <c r="E14" s="671"/>
      <c r="F14" s="671"/>
      <c r="G14" s="671"/>
      <c r="H14" s="672"/>
      <c r="I14" s="184"/>
      <c r="R14" s="185"/>
      <c r="S14" s="185"/>
      <c r="T14" s="185"/>
    </row>
    <row r="15" spans="1:20" s="183" customFormat="1" ht="12" customHeight="1">
      <c r="B15" s="186"/>
      <c r="C15" s="186"/>
      <c r="D15" s="186"/>
      <c r="E15" s="186"/>
      <c r="F15" s="186"/>
      <c r="G15" s="186"/>
      <c r="H15" s="186"/>
      <c r="I15" s="184"/>
      <c r="R15" s="185"/>
      <c r="S15" s="185"/>
      <c r="T15" s="185"/>
    </row>
    <row r="16" spans="1:20" s="183" customFormat="1">
      <c r="B16" s="187"/>
      <c r="C16" s="664"/>
      <c r="D16" s="664"/>
      <c r="I16" s="184"/>
      <c r="R16" s="185"/>
      <c r="S16" s="185"/>
      <c r="T16" s="185"/>
    </row>
    <row r="17" spans="1:20" s="51" customFormat="1" ht="19.5" customHeight="1">
      <c r="A17" s="88" t="s">
        <v>247</v>
      </c>
      <c r="B17" s="89" t="s">
        <v>246</v>
      </c>
      <c r="C17" s="90"/>
      <c r="D17" s="88" t="s">
        <v>360</v>
      </c>
      <c r="E17" s="270" t="s">
        <v>283</v>
      </c>
      <c r="F17" s="673" t="s">
        <v>253</v>
      </c>
      <c r="G17" s="673"/>
      <c r="H17" s="673"/>
      <c r="I17" s="334" t="s">
        <v>284</v>
      </c>
      <c r="K17" s="183"/>
      <c r="L17" s="183"/>
      <c r="M17" s="183"/>
      <c r="N17" s="183"/>
      <c r="O17" s="183"/>
      <c r="P17" s="183"/>
    </row>
    <row r="18" spans="1:20" s="192" customFormat="1">
      <c r="A18" s="226">
        <f>'CHK Técnico-.NET'!A81+10</f>
        <v>396</v>
      </c>
      <c r="B18" s="190" t="s">
        <v>133</v>
      </c>
      <c r="C18" s="191"/>
      <c r="D18" s="191"/>
      <c r="E18" s="262"/>
      <c r="F18" s="654"/>
      <c r="G18" s="654"/>
      <c r="H18" s="654"/>
      <c r="I18" s="336"/>
      <c r="R18" s="193"/>
      <c r="S18" s="193"/>
      <c r="T18" s="193"/>
    </row>
    <row r="19" spans="1:20" s="194" customFormat="1" ht="38.25">
      <c r="A19" s="226">
        <f>A18+1</f>
        <v>397</v>
      </c>
      <c r="B19" s="123"/>
      <c r="C19" s="251" t="s">
        <v>489</v>
      </c>
      <c r="D19" s="131" t="s">
        <v>361</v>
      </c>
      <c r="E19" s="321"/>
      <c r="F19" s="650"/>
      <c r="G19" s="651"/>
      <c r="H19" s="651"/>
      <c r="I19" s="335"/>
      <c r="R19" s="195"/>
      <c r="S19" s="195"/>
      <c r="T19" s="195"/>
    </row>
    <row r="20" spans="1:20" s="194" customFormat="1" ht="38.25">
      <c r="A20" s="226">
        <f t="shared" ref="A20:A46" si="0">A19+1</f>
        <v>398</v>
      </c>
      <c r="B20" s="123"/>
      <c r="C20" s="251" t="s">
        <v>490</v>
      </c>
      <c r="D20" s="131" t="s">
        <v>361</v>
      </c>
      <c r="E20" s="321"/>
      <c r="F20" s="650"/>
      <c r="G20" s="651"/>
      <c r="H20" s="651"/>
      <c r="I20" s="353" t="str">
        <f>IF(NOT(ISBLANK($I$19)),$I$19,"  ")</f>
        <v xml:space="preserve">  </v>
      </c>
      <c r="R20" s="195"/>
      <c r="S20" s="195"/>
      <c r="T20" s="195"/>
    </row>
    <row r="21" spans="1:20" s="194" customFormat="1" ht="38.25">
      <c r="A21" s="226">
        <f t="shared" si="0"/>
        <v>399</v>
      </c>
      <c r="B21" s="125"/>
      <c r="C21" s="196" t="s">
        <v>350</v>
      </c>
      <c r="D21" s="131" t="s">
        <v>368</v>
      </c>
      <c r="E21" s="322"/>
      <c r="F21" s="651"/>
      <c r="G21" s="651"/>
      <c r="H21" s="651"/>
      <c r="I21" s="353" t="str">
        <f>IF(NOT(ISBLANK($I$19)),$I$19,"  ")</f>
        <v xml:space="preserve">  </v>
      </c>
      <c r="R21" s="195"/>
      <c r="S21" s="195"/>
      <c r="T21" s="195"/>
    </row>
    <row r="22" spans="1:20" s="194" customFormat="1" ht="25.5">
      <c r="A22" s="226">
        <f t="shared" si="0"/>
        <v>400</v>
      </c>
      <c r="B22" s="125"/>
      <c r="C22" s="196" t="s">
        <v>351</v>
      </c>
      <c r="D22" s="131" t="s">
        <v>368</v>
      </c>
      <c r="E22" s="322"/>
      <c r="F22" s="651"/>
      <c r="G22" s="651"/>
      <c r="H22" s="651"/>
      <c r="I22" s="353" t="str">
        <f>IF(NOT(ISBLANK($I$19)),$I$19,"  ")</f>
        <v xml:space="preserve">  </v>
      </c>
      <c r="R22" s="195"/>
      <c r="S22" s="195"/>
      <c r="T22" s="195"/>
    </row>
    <row r="23" spans="1:20" s="192" customFormat="1">
      <c r="A23" s="226">
        <f t="shared" si="0"/>
        <v>401</v>
      </c>
      <c r="B23" s="190" t="s">
        <v>145</v>
      </c>
      <c r="C23" s="191"/>
      <c r="D23" s="191"/>
      <c r="E23" s="262"/>
      <c r="F23" s="654"/>
      <c r="G23" s="654"/>
      <c r="H23" s="654"/>
      <c r="I23" s="336"/>
      <c r="R23" s="193"/>
      <c r="S23" s="193"/>
      <c r="T23" s="193"/>
    </row>
    <row r="24" spans="1:20" s="194" customFormat="1" ht="25.5">
      <c r="A24" s="226">
        <f t="shared" si="0"/>
        <v>402</v>
      </c>
      <c r="B24" s="123"/>
      <c r="C24" s="251" t="s">
        <v>223</v>
      </c>
      <c r="D24" s="131" t="s">
        <v>365</v>
      </c>
      <c r="E24" s="321"/>
      <c r="F24" s="651"/>
      <c r="G24" s="651"/>
      <c r="H24" s="651"/>
      <c r="I24" s="353" t="str">
        <f>IF(NOT(ISBLANK($I$19)),$I$19,"  ")</f>
        <v xml:space="preserve">  </v>
      </c>
      <c r="R24" s="195"/>
      <c r="S24" s="195"/>
      <c r="T24" s="195"/>
    </row>
    <row r="25" spans="1:20" s="194" customFormat="1" ht="38.25">
      <c r="A25" s="226">
        <f t="shared" si="0"/>
        <v>403</v>
      </c>
      <c r="B25" s="123"/>
      <c r="C25" s="123" t="s">
        <v>224</v>
      </c>
      <c r="D25" s="131" t="s">
        <v>365</v>
      </c>
      <c r="E25" s="321"/>
      <c r="F25" s="651"/>
      <c r="G25" s="651"/>
      <c r="H25" s="651"/>
      <c r="I25" s="353" t="str">
        <f>IF(NOT(ISBLANK($I$19)),$I$19,"  ")</f>
        <v xml:space="preserve">  </v>
      </c>
      <c r="R25" s="195"/>
      <c r="S25" s="195"/>
      <c r="T25" s="195"/>
    </row>
    <row r="26" spans="1:20" s="194" customFormat="1" ht="25.5">
      <c r="A26" s="226">
        <f t="shared" si="0"/>
        <v>404</v>
      </c>
      <c r="B26" s="123"/>
      <c r="C26" s="251" t="s">
        <v>482</v>
      </c>
      <c r="D26" s="131" t="s">
        <v>365</v>
      </c>
      <c r="E26" s="321"/>
      <c r="F26" s="651"/>
      <c r="G26" s="651"/>
      <c r="H26" s="651"/>
      <c r="I26" s="353" t="str">
        <f>IF(NOT(ISBLANK($I$19)),$I$19,"  ")</f>
        <v xml:space="preserve">  </v>
      </c>
      <c r="R26" s="195"/>
      <c r="S26" s="195"/>
      <c r="T26" s="195"/>
    </row>
    <row r="27" spans="1:20" s="194" customFormat="1" ht="25.5">
      <c r="A27" s="226">
        <f t="shared" si="0"/>
        <v>405</v>
      </c>
      <c r="B27" s="123"/>
      <c r="C27" s="251" t="s">
        <v>226</v>
      </c>
      <c r="D27" s="131" t="s">
        <v>365</v>
      </c>
      <c r="E27" s="321"/>
      <c r="F27" s="651"/>
      <c r="G27" s="651"/>
      <c r="H27" s="651"/>
      <c r="I27" s="353" t="str">
        <f>IF(NOT(ISBLANK($I$19)),$I$19,"  ")</f>
        <v xml:space="preserve">  </v>
      </c>
      <c r="R27" s="195"/>
      <c r="S27" s="195"/>
      <c r="T27" s="195"/>
    </row>
    <row r="28" spans="1:20" s="192" customFormat="1">
      <c r="A28" s="226">
        <f t="shared" si="0"/>
        <v>406</v>
      </c>
      <c r="B28" s="190" t="s">
        <v>227</v>
      </c>
      <c r="C28" s="191"/>
      <c r="D28" s="191"/>
      <c r="E28" s="262"/>
      <c r="F28" s="654"/>
      <c r="G28" s="654"/>
      <c r="H28" s="654"/>
      <c r="I28" s="336"/>
      <c r="R28" s="193"/>
      <c r="S28" s="193"/>
      <c r="T28" s="193"/>
    </row>
    <row r="29" spans="1:20" s="194" customFormat="1" ht="25.5">
      <c r="A29" s="226">
        <f t="shared" si="0"/>
        <v>407</v>
      </c>
      <c r="B29" s="123"/>
      <c r="C29" s="251" t="s">
        <v>491</v>
      </c>
      <c r="D29" s="131" t="s">
        <v>365</v>
      </c>
      <c r="E29" s="321"/>
      <c r="F29" s="651"/>
      <c r="G29" s="651"/>
      <c r="H29" s="651"/>
      <c r="I29" s="353" t="str">
        <f t="shared" ref="I29:I36" si="1">IF(NOT(ISBLANK($I$19)),$I$19,"  ")</f>
        <v xml:space="preserve">  </v>
      </c>
      <c r="R29" s="195"/>
      <c r="S29" s="195"/>
      <c r="T29" s="195"/>
    </row>
    <row r="30" spans="1:20" s="194" customFormat="1" ht="25.5">
      <c r="A30" s="226">
        <f t="shared" si="0"/>
        <v>408</v>
      </c>
      <c r="B30" s="123"/>
      <c r="C30" s="251" t="s">
        <v>492</v>
      </c>
      <c r="D30" s="131" t="s">
        <v>365</v>
      </c>
      <c r="E30" s="321"/>
      <c r="F30" s="651"/>
      <c r="G30" s="651"/>
      <c r="H30" s="651"/>
      <c r="I30" s="353" t="str">
        <f t="shared" si="1"/>
        <v xml:space="preserve">  </v>
      </c>
      <c r="R30" s="195"/>
      <c r="S30" s="195"/>
      <c r="T30" s="195"/>
    </row>
    <row r="31" spans="1:20" s="194" customFormat="1" ht="38.25">
      <c r="A31" s="226">
        <f t="shared" si="0"/>
        <v>409</v>
      </c>
      <c r="B31" s="123"/>
      <c r="C31" s="251" t="s">
        <v>493</v>
      </c>
      <c r="D31" s="131" t="s">
        <v>365</v>
      </c>
      <c r="E31" s="321"/>
      <c r="F31" s="651"/>
      <c r="G31" s="651"/>
      <c r="H31" s="651"/>
      <c r="I31" s="353" t="str">
        <f t="shared" si="1"/>
        <v xml:space="preserve">  </v>
      </c>
      <c r="R31" s="195"/>
      <c r="S31" s="195"/>
      <c r="T31" s="195"/>
    </row>
    <row r="32" spans="1:20" s="194" customFormat="1" ht="25.5">
      <c r="A32" s="226">
        <f t="shared" si="0"/>
        <v>410</v>
      </c>
      <c r="B32" s="123"/>
      <c r="C32" s="251" t="s">
        <v>494</v>
      </c>
      <c r="D32" s="131" t="s">
        <v>365</v>
      </c>
      <c r="E32" s="321"/>
      <c r="F32" s="651"/>
      <c r="G32" s="651"/>
      <c r="H32" s="651"/>
      <c r="I32" s="353" t="str">
        <f t="shared" si="1"/>
        <v xml:space="preserve">  </v>
      </c>
      <c r="R32" s="195"/>
      <c r="S32" s="195"/>
      <c r="T32" s="195"/>
    </row>
    <row r="33" spans="1:20" s="194" customFormat="1" ht="25.5">
      <c r="A33" s="226">
        <f t="shared" si="0"/>
        <v>411</v>
      </c>
      <c r="B33" s="123"/>
      <c r="C33" s="251" t="s">
        <v>495</v>
      </c>
      <c r="D33" s="131" t="s">
        <v>365</v>
      </c>
      <c r="E33" s="321"/>
      <c r="F33" s="651"/>
      <c r="G33" s="651"/>
      <c r="H33" s="651"/>
      <c r="I33" s="353" t="str">
        <f t="shared" si="1"/>
        <v xml:space="preserve">  </v>
      </c>
      <c r="R33" s="195"/>
      <c r="S33" s="195"/>
      <c r="T33" s="195"/>
    </row>
    <row r="34" spans="1:20" s="194" customFormat="1" ht="38.25">
      <c r="A34" s="226">
        <f t="shared" si="0"/>
        <v>412</v>
      </c>
      <c r="B34" s="123"/>
      <c r="C34" s="251" t="s">
        <v>496</v>
      </c>
      <c r="D34" s="131" t="s">
        <v>365</v>
      </c>
      <c r="E34" s="321"/>
      <c r="F34" s="651"/>
      <c r="G34" s="651"/>
      <c r="H34" s="651"/>
      <c r="I34" s="353" t="str">
        <f t="shared" si="1"/>
        <v xml:space="preserve">  </v>
      </c>
      <c r="R34" s="195"/>
      <c r="S34" s="195"/>
      <c r="T34" s="195"/>
    </row>
    <row r="35" spans="1:20" s="194" customFormat="1" ht="25.5">
      <c r="A35" s="226">
        <f t="shared" si="0"/>
        <v>413</v>
      </c>
      <c r="B35" s="123"/>
      <c r="C35" s="251" t="s">
        <v>483</v>
      </c>
      <c r="D35" s="131" t="s">
        <v>365</v>
      </c>
      <c r="E35" s="321"/>
      <c r="F35" s="651"/>
      <c r="G35" s="651"/>
      <c r="H35" s="651"/>
      <c r="I35" s="353" t="str">
        <f t="shared" si="1"/>
        <v xml:space="preserve">  </v>
      </c>
      <c r="R35" s="195"/>
      <c r="S35" s="195"/>
      <c r="T35" s="195"/>
    </row>
    <row r="36" spans="1:20" s="194" customFormat="1" ht="25.5">
      <c r="A36" s="226">
        <f t="shared" si="0"/>
        <v>414</v>
      </c>
      <c r="B36" s="123"/>
      <c r="C36" s="251" t="s">
        <v>488</v>
      </c>
      <c r="D36" s="131" t="s">
        <v>365</v>
      </c>
      <c r="E36" s="321"/>
      <c r="F36" s="651"/>
      <c r="G36" s="651"/>
      <c r="H36" s="651"/>
      <c r="I36" s="353" t="str">
        <f t="shared" si="1"/>
        <v xml:space="preserve">  </v>
      </c>
      <c r="R36" s="195"/>
      <c r="S36" s="195"/>
      <c r="T36" s="195"/>
    </row>
    <row r="37" spans="1:20" s="192" customFormat="1">
      <c r="A37" s="226">
        <f t="shared" si="0"/>
        <v>415</v>
      </c>
      <c r="B37" s="190" t="s">
        <v>185</v>
      </c>
      <c r="C37" s="191"/>
      <c r="D37" s="191"/>
      <c r="E37" s="262"/>
      <c r="F37" s="654"/>
      <c r="G37" s="654"/>
      <c r="H37" s="654"/>
      <c r="I37" s="336"/>
      <c r="R37" s="193"/>
      <c r="S37" s="193"/>
      <c r="T37" s="193"/>
    </row>
    <row r="38" spans="1:20" s="194" customFormat="1" ht="38.25">
      <c r="A38" s="226">
        <f t="shared" si="0"/>
        <v>416</v>
      </c>
      <c r="B38" s="123"/>
      <c r="C38" s="123" t="s">
        <v>186</v>
      </c>
      <c r="D38" s="131" t="s">
        <v>361</v>
      </c>
      <c r="E38" s="321"/>
      <c r="F38" s="651"/>
      <c r="G38" s="651"/>
      <c r="H38" s="651"/>
      <c r="I38" s="353" t="str">
        <f>IF(NOT(ISBLANK($I$19)),$I$19,"  ")</f>
        <v xml:space="preserve">  </v>
      </c>
      <c r="R38" s="195"/>
      <c r="S38" s="195"/>
      <c r="T38" s="195"/>
    </row>
    <row r="39" spans="1:20" s="194" customFormat="1" ht="25.5">
      <c r="A39" s="226">
        <f t="shared" si="0"/>
        <v>417</v>
      </c>
      <c r="B39" s="123"/>
      <c r="C39" s="123" t="s">
        <v>187</v>
      </c>
      <c r="D39" s="131" t="s">
        <v>361</v>
      </c>
      <c r="E39" s="321"/>
      <c r="F39" s="651"/>
      <c r="G39" s="651"/>
      <c r="H39" s="651"/>
      <c r="I39" s="353" t="str">
        <f>IF(NOT(ISBLANK($I$19)),$I$19,"  ")</f>
        <v xml:space="preserve">  </v>
      </c>
      <c r="R39" s="195"/>
      <c r="S39" s="195"/>
      <c r="T39" s="195"/>
    </row>
    <row r="40" spans="1:20" s="192" customFormat="1">
      <c r="A40" s="226">
        <f t="shared" si="0"/>
        <v>418</v>
      </c>
      <c r="B40" s="190" t="s">
        <v>238</v>
      </c>
      <c r="C40" s="191"/>
      <c r="D40" s="191"/>
      <c r="E40" s="262"/>
      <c r="F40" s="654"/>
      <c r="G40" s="654"/>
      <c r="H40" s="654"/>
      <c r="I40" s="336"/>
      <c r="R40" s="193"/>
      <c r="S40" s="193"/>
      <c r="T40" s="193"/>
    </row>
    <row r="41" spans="1:20" s="194" customFormat="1" ht="38.25">
      <c r="A41" s="226">
        <f t="shared" si="0"/>
        <v>419</v>
      </c>
      <c r="B41" s="123"/>
      <c r="C41" s="123" t="s">
        <v>189</v>
      </c>
      <c r="D41" s="131" t="s">
        <v>368</v>
      </c>
      <c r="E41" s="321"/>
      <c r="F41" s="651"/>
      <c r="G41" s="651"/>
      <c r="H41" s="651"/>
      <c r="I41" s="353" t="str">
        <f>IF(NOT(ISBLANK($I$19)),$I$19,"  ")</f>
        <v xml:space="preserve">  </v>
      </c>
      <c r="R41" s="195"/>
      <c r="S41" s="195"/>
      <c r="T41" s="195"/>
    </row>
    <row r="42" spans="1:20" s="194" customFormat="1" ht="38.25">
      <c r="A42" s="226">
        <f t="shared" si="0"/>
        <v>420</v>
      </c>
      <c r="B42" s="123"/>
      <c r="C42" s="123" t="s">
        <v>190</v>
      </c>
      <c r="D42" s="131" t="s">
        <v>371</v>
      </c>
      <c r="E42" s="321"/>
      <c r="F42" s="651"/>
      <c r="G42" s="651"/>
      <c r="H42" s="651"/>
      <c r="I42" s="353" t="str">
        <f>IF(NOT(ISBLANK($I$19)),$I$19,"  ")</f>
        <v xml:space="preserve">  </v>
      </c>
      <c r="R42" s="195"/>
      <c r="S42" s="195"/>
      <c r="T42" s="195"/>
    </row>
    <row r="43" spans="1:20" s="194" customFormat="1" ht="25.5">
      <c r="A43" s="226">
        <f t="shared" si="0"/>
        <v>421</v>
      </c>
      <c r="B43" s="123"/>
      <c r="C43" s="251" t="s">
        <v>192</v>
      </c>
      <c r="D43" s="131" t="s">
        <v>365</v>
      </c>
      <c r="E43" s="321"/>
      <c r="F43" s="651"/>
      <c r="G43" s="651"/>
      <c r="H43" s="651"/>
      <c r="I43" s="353" t="str">
        <f>IF(NOT(ISBLANK($I$19)),$I$19,"  ")</f>
        <v xml:space="preserve">  </v>
      </c>
      <c r="R43" s="195"/>
      <c r="S43" s="195"/>
      <c r="T43" s="195"/>
    </row>
    <row r="44" spans="1:20" s="194" customFormat="1">
      <c r="A44" s="226">
        <f t="shared" si="0"/>
        <v>422</v>
      </c>
      <c r="B44" s="123"/>
      <c r="C44" s="123"/>
      <c r="D44" s="131"/>
      <c r="E44" s="321"/>
      <c r="F44" s="651"/>
      <c r="G44" s="651"/>
      <c r="H44" s="651"/>
      <c r="I44" s="335"/>
      <c r="R44" s="195"/>
      <c r="S44" s="195"/>
      <c r="T44" s="195"/>
    </row>
    <row r="45" spans="1:20" s="194" customFormat="1">
      <c r="A45" s="226">
        <f t="shared" si="0"/>
        <v>423</v>
      </c>
      <c r="B45" s="123"/>
      <c r="C45" s="123"/>
      <c r="D45" s="131"/>
      <c r="E45" s="321"/>
      <c r="F45" s="651"/>
      <c r="G45" s="651"/>
      <c r="H45" s="651"/>
      <c r="I45" s="335"/>
      <c r="R45" s="195"/>
      <c r="S45" s="195"/>
      <c r="T45" s="195"/>
    </row>
    <row r="46" spans="1:20" s="194" customFormat="1">
      <c r="A46" s="226">
        <f t="shared" si="0"/>
        <v>424</v>
      </c>
      <c r="B46" s="123"/>
      <c r="C46" s="123"/>
      <c r="D46" s="131"/>
      <c r="E46" s="321"/>
      <c r="F46" s="650"/>
      <c r="G46" s="651"/>
      <c r="H46" s="651"/>
      <c r="I46" s="335"/>
      <c r="R46" s="195"/>
      <c r="S46" s="195"/>
      <c r="T46" s="195"/>
    </row>
    <row r="47" spans="1:20" s="192" customFormat="1">
      <c r="A47" s="129"/>
      <c r="B47" s="128" t="s">
        <v>132</v>
      </c>
      <c r="C47" s="130"/>
      <c r="D47" s="130"/>
      <c r="E47" s="332"/>
      <c r="F47" s="724"/>
      <c r="G47" s="724"/>
      <c r="H47" s="724"/>
      <c r="I47" s="333"/>
    </row>
    <row r="48" spans="1:20" s="192" customFormat="1">
      <c r="A48" s="674"/>
      <c r="B48" s="674"/>
      <c r="C48" s="674"/>
      <c r="D48" s="674"/>
      <c r="E48" s="674"/>
      <c r="F48" s="674"/>
      <c r="G48" s="674"/>
      <c r="H48" s="674"/>
      <c r="I48" s="674"/>
    </row>
    <row r="49" spans="1:9" s="192" customFormat="1">
      <c r="A49" s="674"/>
      <c r="B49" s="674"/>
      <c r="C49" s="674"/>
      <c r="D49" s="674"/>
      <c r="E49" s="674"/>
      <c r="F49" s="674"/>
      <c r="G49" s="674"/>
      <c r="H49" s="674"/>
      <c r="I49" s="674"/>
    </row>
    <row r="50" spans="1:9" s="192" customFormat="1">
      <c r="A50" s="674"/>
      <c r="B50" s="674"/>
      <c r="C50" s="674"/>
      <c r="D50" s="674"/>
      <c r="E50" s="674"/>
      <c r="F50" s="674"/>
      <c r="G50" s="674"/>
      <c r="H50" s="674"/>
      <c r="I50" s="674"/>
    </row>
    <row r="51" spans="1:9" s="192" customFormat="1">
      <c r="A51" s="674"/>
      <c r="B51" s="674"/>
      <c r="C51" s="674"/>
      <c r="D51" s="674"/>
      <c r="E51" s="674"/>
      <c r="F51" s="674"/>
      <c r="G51" s="674"/>
      <c r="H51" s="674"/>
      <c r="I51" s="674"/>
    </row>
    <row r="52" spans="1:9">
      <c r="A52" s="674"/>
      <c r="B52" s="674"/>
      <c r="C52" s="674"/>
      <c r="D52" s="674"/>
      <c r="E52" s="674"/>
      <c r="F52" s="674"/>
      <c r="G52" s="674"/>
      <c r="H52" s="674"/>
      <c r="I52" s="674"/>
    </row>
  </sheetData>
  <sheetProtection selectLockedCells="1"/>
  <mergeCells count="39">
    <mergeCell ref="F47:H47"/>
    <mergeCell ref="A48:I52"/>
    <mergeCell ref="F46:H46"/>
    <mergeCell ref="F41:H41"/>
    <mergeCell ref="F42:H42"/>
    <mergeCell ref="F43:H43"/>
    <mergeCell ref="F44:H44"/>
    <mergeCell ref="F45:H45"/>
    <mergeCell ref="F33:H33"/>
    <mergeCell ref="F34:H34"/>
    <mergeCell ref="F38:H38"/>
    <mergeCell ref="F39:H39"/>
    <mergeCell ref="F40:H40"/>
    <mergeCell ref="F35:H35"/>
    <mergeCell ref="F36:H36"/>
    <mergeCell ref="F37:H37"/>
    <mergeCell ref="F28:H28"/>
    <mergeCell ref="F29:H29"/>
    <mergeCell ref="F30:H30"/>
    <mergeCell ref="F31:H31"/>
    <mergeCell ref="F32:H32"/>
    <mergeCell ref="F23:H23"/>
    <mergeCell ref="F24:H24"/>
    <mergeCell ref="F25:H25"/>
    <mergeCell ref="F26:H26"/>
    <mergeCell ref="F27:H27"/>
    <mergeCell ref="F22:H22"/>
    <mergeCell ref="B2:C2"/>
    <mergeCell ref="D2:G2"/>
    <mergeCell ref="H2:I2"/>
    <mergeCell ref="A4:I4"/>
    <mergeCell ref="B14:H14"/>
    <mergeCell ref="C16:D16"/>
    <mergeCell ref="F17:H17"/>
    <mergeCell ref="F18:H18"/>
    <mergeCell ref="F19:H19"/>
    <mergeCell ref="F20:H20"/>
    <mergeCell ref="F21:H21"/>
    <mergeCell ref="B11:C11"/>
  </mergeCells>
  <dataValidations count="1">
    <dataValidation type="list" allowBlank="1" showInputMessage="1" showErrorMessage="1" sqref="E18:E46">
      <formula1>Resultados</formula1>
    </dataValidation>
  </dataValidations>
  <pageMargins left="0.74803149606299213" right="0.74803149606299213" top="0.98425196850393704" bottom="0.98425196850393704" header="0.51181102362204722" footer="0.51181102362204722"/>
  <pageSetup paperSize="9" scale="85" orientation="portrait" verticalDpi="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T63"/>
  <sheetViews>
    <sheetView showGridLines="0" workbookViewId="0">
      <selection activeCell="K5" sqref="K5"/>
    </sheetView>
  </sheetViews>
  <sheetFormatPr baseColWidth="10" defaultColWidth="11.42578125" defaultRowHeight="12.75"/>
  <cols>
    <col min="1" max="1" width="5.85546875" style="200" customWidth="1"/>
    <col min="2" max="2" width="4" style="200" customWidth="1"/>
    <col min="3" max="3" width="39.140625" style="200" customWidth="1"/>
    <col min="4" max="4" width="15" style="200" customWidth="1"/>
    <col min="5" max="5" width="12.7109375" style="200" customWidth="1"/>
    <col min="6" max="6" width="9.85546875" style="200" customWidth="1"/>
    <col min="7" max="7" width="20" style="200" customWidth="1"/>
    <col min="8" max="8" width="32.5703125" style="200" bestFit="1" customWidth="1"/>
    <col min="9" max="9" width="15.5703125" style="201" customWidth="1"/>
    <col min="10" max="16384" width="11.42578125" style="200"/>
  </cols>
  <sheetData>
    <row r="2" spans="1:20" s="368" customFormat="1" ht="43.5" customHeight="1">
      <c r="A2" s="12"/>
      <c r="B2" s="622"/>
      <c r="C2" s="622"/>
      <c r="D2" s="641" t="s">
        <v>573</v>
      </c>
      <c r="E2" s="642"/>
      <c r="F2" s="642"/>
      <c r="G2" s="665"/>
      <c r="H2" s="622"/>
      <c r="I2" s="622"/>
    </row>
    <row r="4" spans="1:20" s="183" customFormat="1" ht="15.75">
      <c r="A4" s="659" t="s">
        <v>744</v>
      </c>
      <c r="B4" s="660"/>
      <c r="C4" s="660"/>
      <c r="D4" s="660"/>
      <c r="E4" s="660"/>
      <c r="F4" s="660"/>
      <c r="G4" s="660"/>
      <c r="H4" s="660"/>
      <c r="I4" s="661"/>
    </row>
    <row r="5" spans="1:20" s="183" customFormat="1" ht="12">
      <c r="I5" s="184"/>
    </row>
    <row r="6" spans="1:20" s="183" customFormat="1">
      <c r="B6" s="390" t="s">
        <v>79</v>
      </c>
      <c r="C6" s="403"/>
      <c r="D6" s="388"/>
      <c r="E6" s="404"/>
      <c r="F6" s="389"/>
      <c r="G6" s="390" t="s">
        <v>451</v>
      </c>
      <c r="H6" s="387" t="str">
        <f>'Historial de Revisiones'!G4</f>
        <v>GOC-7089</v>
      </c>
      <c r="I6" s="184"/>
    </row>
    <row r="7" spans="1:20" s="183" customFormat="1">
      <c r="B7" s="390" t="s">
        <v>80</v>
      </c>
      <c r="C7" s="403"/>
      <c r="D7" s="388"/>
      <c r="E7" s="404"/>
      <c r="F7" s="389"/>
      <c r="G7" s="390" t="s">
        <v>477</v>
      </c>
      <c r="H7" s="387" t="str">
        <f>'Historial de Revisiones'!G5</f>
        <v>GOC-7092</v>
      </c>
      <c r="I7" s="184"/>
    </row>
    <row r="8" spans="1:20" s="183" customFormat="1">
      <c r="B8" s="390" t="s">
        <v>81</v>
      </c>
      <c r="C8" s="403"/>
      <c r="D8" s="393"/>
      <c r="E8" s="404"/>
      <c r="F8" s="389"/>
      <c r="G8" s="390" t="s">
        <v>124</v>
      </c>
      <c r="H8" s="387">
        <f>'Historial de Revisiones'!G6</f>
        <v>0</v>
      </c>
      <c r="I8" s="184"/>
    </row>
    <row r="9" spans="1:20" s="183" customFormat="1" ht="14.25" customHeight="1">
      <c r="B9" s="390" t="s">
        <v>82</v>
      </c>
      <c r="C9" s="403"/>
      <c r="D9" s="394"/>
      <c r="E9" s="404"/>
      <c r="F9" s="389"/>
      <c r="G9" s="390" t="s">
        <v>125</v>
      </c>
      <c r="H9" s="387" t="str">
        <f>'Historial de Revisiones'!G7</f>
        <v>Nombre desarrolllador</v>
      </c>
      <c r="I9" s="184"/>
    </row>
    <row r="10" spans="1:20" s="183" customFormat="1">
      <c r="B10" s="419" t="s">
        <v>83</v>
      </c>
      <c r="C10" s="420"/>
      <c r="D10" s="421"/>
      <c r="E10" s="406"/>
      <c r="F10" s="389"/>
      <c r="G10" s="390" t="s">
        <v>126</v>
      </c>
      <c r="H10" s="387" t="str">
        <f>'Historial de Revisiones'!G8</f>
        <v>Nombre de custodio</v>
      </c>
      <c r="I10" s="184"/>
    </row>
    <row r="11" spans="1:20" s="183" customFormat="1">
      <c r="B11" s="718"/>
      <c r="C11" s="718"/>
      <c r="D11" s="418"/>
      <c r="E11" s="406"/>
      <c r="F11" s="389"/>
      <c r="G11" s="390" t="s">
        <v>193</v>
      </c>
      <c r="H11" s="387">
        <f>'Historial de Revisiones'!G9</f>
        <v>0</v>
      </c>
      <c r="I11" s="184"/>
    </row>
    <row r="12" spans="1:20" s="183" customFormat="1" ht="12">
      <c r="E12" s="227"/>
      <c r="F12" s="182"/>
      <c r="G12" s="307"/>
      <c r="H12" s="306"/>
      <c r="I12" s="184"/>
    </row>
    <row r="13" spans="1:20" s="183" customFormat="1" ht="12">
      <c r="B13" s="183" t="s">
        <v>221</v>
      </c>
      <c r="I13" s="184"/>
      <c r="R13" s="185"/>
      <c r="S13" s="185"/>
      <c r="T13" s="185"/>
    </row>
    <row r="14" spans="1:20" s="183" customFormat="1" ht="33.75" customHeight="1">
      <c r="B14" s="670" t="s">
        <v>297</v>
      </c>
      <c r="C14" s="671"/>
      <c r="D14" s="671"/>
      <c r="E14" s="671"/>
      <c r="F14" s="671"/>
      <c r="G14" s="671"/>
      <c r="H14" s="672"/>
      <c r="I14" s="184"/>
      <c r="R14" s="185"/>
      <c r="S14" s="185"/>
      <c r="T14" s="185"/>
    </row>
    <row r="15" spans="1:20" s="183" customFormat="1" ht="12" customHeight="1">
      <c r="B15" s="186"/>
      <c r="C15" s="186"/>
      <c r="D15" s="186"/>
      <c r="E15" s="186"/>
      <c r="F15" s="186"/>
      <c r="G15" s="186"/>
      <c r="H15" s="186"/>
      <c r="I15" s="184"/>
      <c r="R15" s="185"/>
      <c r="S15" s="185"/>
      <c r="T15" s="185"/>
    </row>
    <row r="16" spans="1:20" s="183" customFormat="1">
      <c r="B16" s="187"/>
      <c r="C16" s="664"/>
      <c r="D16" s="664"/>
      <c r="I16" s="184"/>
      <c r="R16" s="185"/>
      <c r="S16" s="185"/>
      <c r="T16" s="185"/>
    </row>
    <row r="17" spans="1:20" s="51" customFormat="1" ht="19.5" customHeight="1">
      <c r="A17" s="88" t="s">
        <v>247</v>
      </c>
      <c r="B17" s="89" t="s">
        <v>246</v>
      </c>
      <c r="C17" s="90"/>
      <c r="D17" s="88" t="s">
        <v>360</v>
      </c>
      <c r="E17" s="270" t="s">
        <v>283</v>
      </c>
      <c r="F17" s="673" t="s">
        <v>253</v>
      </c>
      <c r="G17" s="673"/>
      <c r="H17" s="673"/>
      <c r="I17" s="334" t="s">
        <v>284</v>
      </c>
      <c r="K17" s="183"/>
      <c r="L17" s="183"/>
      <c r="M17" s="183"/>
      <c r="N17" s="183"/>
      <c r="O17" s="183"/>
      <c r="P17" s="183"/>
    </row>
    <row r="18" spans="1:20" s="192" customFormat="1">
      <c r="A18" s="226">
        <v>433</v>
      </c>
      <c r="B18" s="190" t="s">
        <v>133</v>
      </c>
      <c r="C18" s="191"/>
      <c r="D18" s="191"/>
      <c r="E18" s="262"/>
      <c r="F18" s="654"/>
      <c r="G18" s="654"/>
      <c r="H18" s="654"/>
      <c r="I18" s="336"/>
      <c r="R18" s="193"/>
      <c r="S18" s="193"/>
      <c r="T18" s="193"/>
    </row>
    <row r="19" spans="1:20" s="194" customFormat="1" ht="25.5">
      <c r="A19" s="226">
        <f>A18+1</f>
        <v>434</v>
      </c>
      <c r="B19" s="123"/>
      <c r="C19" s="432" t="s">
        <v>745</v>
      </c>
      <c r="D19" s="432" t="s">
        <v>748</v>
      </c>
      <c r="E19" s="321"/>
      <c r="F19" s="650"/>
      <c r="G19" s="651"/>
      <c r="H19" s="651"/>
      <c r="I19" s="335"/>
      <c r="R19" s="195"/>
      <c r="S19" s="195"/>
      <c r="T19" s="195"/>
    </row>
    <row r="20" spans="1:20" s="194" customFormat="1" ht="25.5">
      <c r="A20" s="226">
        <f t="shared" ref="A20:A57" si="0">A19+1</f>
        <v>435</v>
      </c>
      <c r="B20" s="123"/>
      <c r="C20" s="432" t="s">
        <v>746</v>
      </c>
      <c r="D20" s="432" t="s">
        <v>749</v>
      </c>
      <c r="E20" s="321"/>
      <c r="F20" s="650"/>
      <c r="G20" s="651"/>
      <c r="H20" s="651"/>
      <c r="I20" s="353" t="str">
        <f>IF(NOT(ISBLANK($I$19)),$I$19,"  ")</f>
        <v xml:space="preserve">  </v>
      </c>
      <c r="R20" s="195"/>
      <c r="S20" s="195"/>
      <c r="T20" s="195"/>
    </row>
    <row r="21" spans="1:20" s="194" customFormat="1" ht="25.5">
      <c r="A21" s="226">
        <f t="shared" si="0"/>
        <v>436</v>
      </c>
      <c r="B21" s="125"/>
      <c r="C21" s="432" t="s">
        <v>747</v>
      </c>
      <c r="D21" s="432" t="s">
        <v>750</v>
      </c>
      <c r="E21" s="322"/>
      <c r="F21" s="651"/>
      <c r="G21" s="651"/>
      <c r="H21" s="651"/>
      <c r="I21" s="353" t="str">
        <f>IF(NOT(ISBLANK($I$19)),$I$19,"  ")</f>
        <v xml:space="preserve">  </v>
      </c>
      <c r="R21" s="195"/>
      <c r="S21" s="195"/>
      <c r="T21" s="195"/>
    </row>
    <row r="22" spans="1:20" s="194" customFormat="1">
      <c r="A22" s="226">
        <f t="shared" si="0"/>
        <v>437</v>
      </c>
      <c r="B22" s="125"/>
      <c r="C22" s="196"/>
      <c r="D22" s="131"/>
      <c r="E22" s="322"/>
      <c r="F22" s="651"/>
      <c r="G22" s="651"/>
      <c r="H22" s="651"/>
      <c r="I22" s="353" t="str">
        <f>IF(NOT(ISBLANK($I$19)),$I$19,"  ")</f>
        <v xml:space="preserve">  </v>
      </c>
      <c r="R22" s="195"/>
      <c r="S22" s="195"/>
      <c r="T22" s="195"/>
    </row>
    <row r="23" spans="1:20" s="192" customFormat="1">
      <c r="A23" s="226">
        <f t="shared" si="0"/>
        <v>438</v>
      </c>
      <c r="B23" s="190" t="s">
        <v>145</v>
      </c>
      <c r="C23" s="191"/>
      <c r="D23" s="191"/>
      <c r="E23" s="262"/>
      <c r="F23" s="654"/>
      <c r="G23" s="654"/>
      <c r="H23" s="654"/>
      <c r="I23" s="336"/>
      <c r="R23" s="193"/>
      <c r="S23" s="193"/>
      <c r="T23" s="193"/>
    </row>
    <row r="24" spans="1:20" s="194" customFormat="1" ht="25.5">
      <c r="A24" s="226">
        <f t="shared" si="0"/>
        <v>439</v>
      </c>
      <c r="B24" s="123"/>
      <c r="C24" s="432" t="s">
        <v>751</v>
      </c>
      <c r="D24" s="432" t="s">
        <v>749</v>
      </c>
      <c r="E24" s="321"/>
      <c r="F24" s="651"/>
      <c r="G24" s="651"/>
      <c r="H24" s="651"/>
      <c r="I24" s="353" t="str">
        <f>IF(NOT(ISBLANK($I$19)),$I$19,"  ")</f>
        <v xml:space="preserve">  </v>
      </c>
      <c r="R24" s="195"/>
      <c r="S24" s="195"/>
      <c r="T24" s="195"/>
    </row>
    <row r="25" spans="1:20" s="194" customFormat="1" ht="25.5">
      <c r="A25" s="226">
        <f t="shared" si="0"/>
        <v>440</v>
      </c>
      <c r="B25" s="123"/>
      <c r="C25" s="432" t="s">
        <v>752</v>
      </c>
      <c r="D25" s="432" t="s">
        <v>749</v>
      </c>
      <c r="E25" s="321"/>
      <c r="F25" s="651"/>
      <c r="G25" s="651"/>
      <c r="H25" s="651"/>
      <c r="I25" s="353"/>
      <c r="R25" s="195"/>
      <c r="S25" s="195"/>
      <c r="T25" s="195"/>
    </row>
    <row r="26" spans="1:20" s="194" customFormat="1" ht="38.25">
      <c r="A26" s="226">
        <f t="shared" si="0"/>
        <v>441</v>
      </c>
      <c r="B26" s="123"/>
      <c r="C26" s="432" t="s">
        <v>753</v>
      </c>
      <c r="D26" s="432" t="s">
        <v>749</v>
      </c>
      <c r="E26" s="321"/>
      <c r="F26" s="651"/>
      <c r="G26" s="651"/>
      <c r="H26" s="651"/>
      <c r="I26" s="353"/>
      <c r="R26" s="195"/>
      <c r="S26" s="195"/>
      <c r="T26" s="195"/>
    </row>
    <row r="27" spans="1:20" s="194" customFormat="1" ht="25.5">
      <c r="A27" s="226">
        <f t="shared" si="0"/>
        <v>442</v>
      </c>
      <c r="B27" s="123"/>
      <c r="C27" s="432" t="s">
        <v>754</v>
      </c>
      <c r="D27" s="432" t="s">
        <v>749</v>
      </c>
      <c r="E27" s="321"/>
      <c r="F27" s="651"/>
      <c r="G27" s="651"/>
      <c r="H27" s="651"/>
      <c r="I27" s="353" t="str">
        <f>IF(NOT(ISBLANK($I$19)),$I$19,"  ")</f>
        <v xml:space="preserve">  </v>
      </c>
      <c r="R27" s="195"/>
      <c r="S27" s="195"/>
      <c r="T27" s="195"/>
    </row>
    <row r="28" spans="1:20" s="194" customFormat="1" ht="25.5">
      <c r="A28" s="226">
        <f t="shared" si="0"/>
        <v>443</v>
      </c>
      <c r="B28" s="123"/>
      <c r="C28" s="432" t="s">
        <v>755</v>
      </c>
      <c r="D28" s="432" t="s">
        <v>749</v>
      </c>
      <c r="E28" s="321"/>
      <c r="F28" s="651"/>
      <c r="G28" s="651"/>
      <c r="H28" s="651"/>
      <c r="I28" s="353" t="str">
        <f>IF(NOT(ISBLANK($I$19)),$I$19,"  ")</f>
        <v xml:space="preserve">  </v>
      </c>
      <c r="R28" s="195"/>
      <c r="S28" s="195"/>
      <c r="T28" s="195"/>
    </row>
    <row r="29" spans="1:20" s="194" customFormat="1" ht="25.5">
      <c r="A29" s="226">
        <f t="shared" si="0"/>
        <v>444</v>
      </c>
      <c r="B29" s="123"/>
      <c r="C29" s="432" t="s">
        <v>756</v>
      </c>
      <c r="D29" s="432" t="s">
        <v>749</v>
      </c>
      <c r="E29" s="321"/>
      <c r="F29" s="651"/>
      <c r="G29" s="651"/>
      <c r="H29" s="651"/>
      <c r="I29" s="353" t="str">
        <f>IF(NOT(ISBLANK($I$19)),$I$19,"  ")</f>
        <v xml:space="preserve">  </v>
      </c>
      <c r="R29" s="195"/>
      <c r="S29" s="195"/>
      <c r="T29" s="195"/>
    </row>
    <row r="30" spans="1:20" s="192" customFormat="1">
      <c r="A30" s="226">
        <f t="shared" si="0"/>
        <v>445</v>
      </c>
      <c r="B30" s="434" t="s">
        <v>764</v>
      </c>
      <c r="C30" s="191"/>
      <c r="D30" s="191"/>
      <c r="E30" s="262"/>
      <c r="F30" s="654"/>
      <c r="G30" s="654"/>
      <c r="H30" s="654"/>
      <c r="I30" s="336"/>
      <c r="R30" s="193"/>
      <c r="S30" s="193"/>
      <c r="T30" s="193"/>
    </row>
    <row r="31" spans="1:20" s="194" customFormat="1" ht="38.25">
      <c r="A31" s="226">
        <f t="shared" si="0"/>
        <v>446</v>
      </c>
      <c r="B31" s="123"/>
      <c r="C31" s="432" t="s">
        <v>757</v>
      </c>
      <c r="D31" s="432" t="s">
        <v>749</v>
      </c>
      <c r="E31" s="321"/>
      <c r="F31" s="651"/>
      <c r="G31" s="651"/>
      <c r="H31" s="651"/>
      <c r="I31" s="353" t="str">
        <f t="shared" ref="I31:I38" si="1">IF(NOT(ISBLANK($I$19)),$I$19,"  ")</f>
        <v xml:space="preserve">  </v>
      </c>
      <c r="R31" s="195"/>
      <c r="S31" s="195"/>
      <c r="T31" s="195"/>
    </row>
    <row r="32" spans="1:20" s="194" customFormat="1" ht="38.25">
      <c r="A32" s="226">
        <f t="shared" si="0"/>
        <v>447</v>
      </c>
      <c r="B32" s="123"/>
      <c r="C32" s="432" t="s">
        <v>758</v>
      </c>
      <c r="D32" s="432" t="s">
        <v>749</v>
      </c>
      <c r="E32" s="321"/>
      <c r="F32" s="651"/>
      <c r="G32" s="651"/>
      <c r="H32" s="651"/>
      <c r="I32" s="353" t="str">
        <f t="shared" si="1"/>
        <v xml:space="preserve">  </v>
      </c>
      <c r="R32" s="195"/>
      <c r="S32" s="195"/>
      <c r="T32" s="195"/>
    </row>
    <row r="33" spans="1:20" s="194" customFormat="1" ht="38.25">
      <c r="A33" s="226">
        <f t="shared" si="0"/>
        <v>448</v>
      </c>
      <c r="B33" s="123"/>
      <c r="C33" s="432" t="s">
        <v>759</v>
      </c>
      <c r="D33" s="432" t="s">
        <v>749</v>
      </c>
      <c r="E33" s="321"/>
      <c r="F33" s="651"/>
      <c r="G33" s="651"/>
      <c r="H33" s="651"/>
      <c r="I33" s="353" t="str">
        <f t="shared" si="1"/>
        <v xml:space="preserve">  </v>
      </c>
      <c r="R33" s="195"/>
      <c r="S33" s="195"/>
      <c r="T33" s="195"/>
    </row>
    <row r="34" spans="1:20" s="194" customFormat="1" ht="25.5">
      <c r="A34" s="226">
        <f t="shared" si="0"/>
        <v>449</v>
      </c>
      <c r="B34" s="123"/>
      <c r="C34" s="432" t="s">
        <v>760</v>
      </c>
      <c r="D34" s="432" t="s">
        <v>749</v>
      </c>
      <c r="E34" s="321"/>
      <c r="F34" s="651"/>
      <c r="G34" s="651"/>
      <c r="H34" s="651"/>
      <c r="I34" s="353" t="str">
        <f t="shared" si="1"/>
        <v xml:space="preserve">  </v>
      </c>
      <c r="R34" s="195"/>
      <c r="S34" s="195"/>
      <c r="T34" s="195"/>
    </row>
    <row r="35" spans="1:20" s="194" customFormat="1" ht="38.25">
      <c r="A35" s="226">
        <f t="shared" si="0"/>
        <v>450</v>
      </c>
      <c r="B35" s="123"/>
      <c r="C35" s="432" t="s">
        <v>761</v>
      </c>
      <c r="D35" s="432" t="s">
        <v>749</v>
      </c>
      <c r="E35" s="321"/>
      <c r="F35" s="651"/>
      <c r="G35" s="651"/>
      <c r="H35" s="651"/>
      <c r="I35" s="353" t="str">
        <f t="shared" si="1"/>
        <v xml:space="preserve">  </v>
      </c>
      <c r="R35" s="195"/>
      <c r="S35" s="195"/>
      <c r="T35" s="195"/>
    </row>
    <row r="36" spans="1:20" s="194" customFormat="1" ht="25.5">
      <c r="A36" s="226">
        <f t="shared" si="0"/>
        <v>451</v>
      </c>
      <c r="B36" s="123"/>
      <c r="C36" s="432" t="s">
        <v>762</v>
      </c>
      <c r="D36" s="432" t="s">
        <v>749</v>
      </c>
      <c r="E36" s="321"/>
      <c r="F36" s="651"/>
      <c r="G36" s="651"/>
      <c r="H36" s="651"/>
      <c r="I36" s="353" t="str">
        <f t="shared" si="1"/>
        <v xml:space="preserve">  </v>
      </c>
      <c r="R36" s="195"/>
      <c r="S36" s="195"/>
      <c r="T36" s="195"/>
    </row>
    <row r="37" spans="1:20" s="194" customFormat="1" ht="38.25">
      <c r="A37" s="226">
        <f t="shared" si="0"/>
        <v>452</v>
      </c>
      <c r="B37" s="123"/>
      <c r="C37" s="432" t="s">
        <v>763</v>
      </c>
      <c r="D37" s="432" t="s">
        <v>749</v>
      </c>
      <c r="E37" s="321"/>
      <c r="F37" s="651"/>
      <c r="G37" s="651"/>
      <c r="H37" s="651"/>
      <c r="I37" s="353" t="str">
        <f t="shared" si="1"/>
        <v xml:space="preserve">  </v>
      </c>
      <c r="R37" s="195"/>
      <c r="S37" s="195"/>
      <c r="T37" s="195"/>
    </row>
    <row r="38" spans="1:20" s="194" customFormat="1">
      <c r="A38" s="226">
        <f t="shared" si="0"/>
        <v>453</v>
      </c>
      <c r="B38" s="123"/>
      <c r="C38" s="251"/>
      <c r="D38" s="131"/>
      <c r="E38" s="321"/>
      <c r="F38" s="651"/>
      <c r="G38" s="651"/>
      <c r="H38" s="651"/>
      <c r="I38" s="353" t="str">
        <f t="shared" si="1"/>
        <v xml:space="preserve">  </v>
      </c>
      <c r="R38" s="195"/>
      <c r="S38" s="195"/>
      <c r="T38" s="195"/>
    </row>
    <row r="39" spans="1:20" s="192" customFormat="1">
      <c r="A39" s="226">
        <f t="shared" si="0"/>
        <v>454</v>
      </c>
      <c r="B39" s="436" t="s">
        <v>773</v>
      </c>
      <c r="C39" s="191"/>
      <c r="D39" s="191"/>
      <c r="E39" s="262"/>
      <c r="F39" s="654"/>
      <c r="G39" s="654"/>
      <c r="H39" s="654"/>
      <c r="I39" s="336"/>
      <c r="R39" s="193"/>
      <c r="S39" s="193"/>
      <c r="T39" s="193"/>
    </row>
    <row r="40" spans="1:20" s="194" customFormat="1" ht="25.5">
      <c r="A40" s="226">
        <f t="shared" si="0"/>
        <v>455</v>
      </c>
      <c r="B40" s="123"/>
      <c r="C40" s="435" t="s">
        <v>765</v>
      </c>
      <c r="D40" s="437" t="s">
        <v>749</v>
      </c>
      <c r="E40" s="321"/>
      <c r="F40" s="651"/>
      <c r="G40" s="651"/>
      <c r="H40" s="651"/>
      <c r="I40" s="353" t="str">
        <f>IF(NOT(ISBLANK($I$19)),$I$19,"  ")</f>
        <v xml:space="preserve">  </v>
      </c>
      <c r="R40" s="195"/>
      <c r="S40" s="195"/>
      <c r="T40" s="195"/>
    </row>
    <row r="41" spans="1:20" s="194" customFormat="1">
      <c r="A41" s="226">
        <f t="shared" si="0"/>
        <v>456</v>
      </c>
      <c r="B41" s="123"/>
      <c r="C41" s="435" t="s">
        <v>766</v>
      </c>
      <c r="D41" s="437" t="s">
        <v>749</v>
      </c>
      <c r="E41" s="321"/>
      <c r="F41" s="651"/>
      <c r="G41" s="651"/>
      <c r="H41" s="651"/>
      <c r="I41" s="433"/>
      <c r="R41" s="195"/>
      <c r="S41" s="195"/>
      <c r="T41" s="195"/>
    </row>
    <row r="42" spans="1:20" s="194" customFormat="1" ht="38.25">
      <c r="A42" s="226">
        <f t="shared" si="0"/>
        <v>457</v>
      </c>
      <c r="B42" s="123"/>
      <c r="C42" s="435" t="s">
        <v>723</v>
      </c>
      <c r="D42" s="437" t="s">
        <v>750</v>
      </c>
      <c r="E42" s="321"/>
      <c r="F42" s="651"/>
      <c r="G42" s="651"/>
      <c r="H42" s="651"/>
      <c r="I42" s="433"/>
      <c r="R42" s="195"/>
      <c r="S42" s="195"/>
      <c r="T42" s="195"/>
    </row>
    <row r="43" spans="1:20" s="194" customFormat="1" ht="38.25">
      <c r="A43" s="226">
        <f t="shared" si="0"/>
        <v>458</v>
      </c>
      <c r="B43" s="123"/>
      <c r="C43" s="435" t="s">
        <v>472</v>
      </c>
      <c r="D43" s="437" t="s">
        <v>750</v>
      </c>
      <c r="E43" s="321"/>
      <c r="F43" s="651"/>
      <c r="G43" s="651"/>
      <c r="H43" s="651"/>
      <c r="I43" s="433"/>
      <c r="R43" s="195"/>
      <c r="S43" s="195"/>
      <c r="T43" s="195"/>
    </row>
    <row r="44" spans="1:20" s="194" customFormat="1" ht="51">
      <c r="A44" s="226">
        <f t="shared" si="0"/>
        <v>459</v>
      </c>
      <c r="B44" s="123"/>
      <c r="C44" s="435" t="s">
        <v>767</v>
      </c>
      <c r="D44" s="437" t="s">
        <v>750</v>
      </c>
      <c r="E44" s="321"/>
      <c r="F44" s="651"/>
      <c r="G44" s="651"/>
      <c r="H44" s="651"/>
      <c r="I44" s="433"/>
      <c r="R44" s="195"/>
      <c r="S44" s="195"/>
      <c r="T44" s="195"/>
    </row>
    <row r="45" spans="1:20" s="194" customFormat="1" ht="25.5">
      <c r="A45" s="226">
        <f t="shared" si="0"/>
        <v>460</v>
      </c>
      <c r="B45" s="123"/>
      <c r="C45" s="435" t="s">
        <v>768</v>
      </c>
      <c r="D45" s="437" t="s">
        <v>750</v>
      </c>
      <c r="E45" s="321"/>
      <c r="F45" s="651"/>
      <c r="G45" s="651"/>
      <c r="H45" s="651"/>
      <c r="I45" s="433"/>
      <c r="R45" s="195"/>
      <c r="S45" s="195"/>
      <c r="T45" s="195"/>
    </row>
    <row r="46" spans="1:20" s="194" customFormat="1" ht="25.5">
      <c r="A46" s="226">
        <f t="shared" si="0"/>
        <v>461</v>
      </c>
      <c r="B46" s="123"/>
      <c r="C46" s="435" t="s">
        <v>769</v>
      </c>
      <c r="D46" s="437" t="s">
        <v>750</v>
      </c>
      <c r="E46" s="321"/>
      <c r="F46" s="651"/>
      <c r="G46" s="651"/>
      <c r="H46" s="651"/>
      <c r="I46" s="433"/>
      <c r="R46" s="195"/>
      <c r="S46" s="195"/>
      <c r="T46" s="195"/>
    </row>
    <row r="47" spans="1:20" s="194" customFormat="1" ht="25.5">
      <c r="A47" s="226">
        <f t="shared" si="0"/>
        <v>462</v>
      </c>
      <c r="B47" s="123"/>
      <c r="C47" s="435" t="s">
        <v>770</v>
      </c>
      <c r="D47" s="437" t="s">
        <v>750</v>
      </c>
      <c r="E47" s="321"/>
      <c r="F47" s="651"/>
      <c r="G47" s="651"/>
      <c r="H47" s="651"/>
      <c r="I47" s="433"/>
      <c r="R47" s="195"/>
      <c r="S47" s="195"/>
      <c r="T47" s="195"/>
    </row>
    <row r="48" spans="1:20" s="194" customFormat="1" ht="63.75">
      <c r="A48" s="226">
        <f t="shared" si="0"/>
        <v>463</v>
      </c>
      <c r="B48" s="123"/>
      <c r="C48" s="435" t="s">
        <v>771</v>
      </c>
      <c r="D48" s="437" t="s">
        <v>750</v>
      </c>
      <c r="E48" s="321"/>
      <c r="F48" s="651"/>
      <c r="G48" s="651"/>
      <c r="H48" s="651"/>
      <c r="I48" s="433"/>
      <c r="R48" s="195"/>
      <c r="S48" s="195"/>
      <c r="T48" s="195"/>
    </row>
    <row r="49" spans="1:20" s="194" customFormat="1" ht="63.75">
      <c r="A49" s="226">
        <f t="shared" si="0"/>
        <v>464</v>
      </c>
      <c r="B49" s="123"/>
      <c r="C49" s="435" t="s">
        <v>772</v>
      </c>
      <c r="D49" s="437" t="s">
        <v>750</v>
      </c>
      <c r="E49" s="321"/>
      <c r="F49" s="651"/>
      <c r="G49" s="651"/>
      <c r="H49" s="651"/>
      <c r="I49" s="433"/>
      <c r="R49" s="195"/>
      <c r="S49" s="195"/>
      <c r="T49" s="195"/>
    </row>
    <row r="50" spans="1:20" s="194" customFormat="1">
      <c r="A50" s="226">
        <f t="shared" si="0"/>
        <v>465</v>
      </c>
      <c r="B50" s="123"/>
      <c r="C50" s="123"/>
      <c r="D50" s="131"/>
      <c r="E50" s="321"/>
      <c r="F50" s="651"/>
      <c r="G50" s="651"/>
      <c r="H50" s="651"/>
      <c r="I50" s="353" t="str">
        <f>IF(NOT(ISBLANK($I$19)),$I$19,"  ")</f>
        <v xml:space="preserve">  </v>
      </c>
      <c r="R50" s="195"/>
      <c r="S50" s="195"/>
      <c r="T50" s="195"/>
    </row>
    <row r="51" spans="1:20" s="192" customFormat="1">
      <c r="A51" s="226">
        <f t="shared" si="0"/>
        <v>466</v>
      </c>
      <c r="B51" s="439" t="s">
        <v>179</v>
      </c>
      <c r="C51" s="191"/>
      <c r="D51" s="191"/>
      <c r="E51" s="262"/>
      <c r="F51" s="654"/>
      <c r="G51" s="654"/>
      <c r="H51" s="654"/>
      <c r="I51" s="336"/>
      <c r="R51" s="193"/>
      <c r="S51" s="193"/>
      <c r="T51" s="193"/>
    </row>
    <row r="52" spans="1:20" s="194" customFormat="1" ht="25.5">
      <c r="A52" s="226">
        <f t="shared" si="0"/>
        <v>467</v>
      </c>
      <c r="B52" s="123"/>
      <c r="C52" s="440" t="s">
        <v>774</v>
      </c>
      <c r="D52" s="440" t="s">
        <v>749</v>
      </c>
      <c r="E52" s="321"/>
      <c r="F52" s="651"/>
      <c r="G52" s="651"/>
      <c r="H52" s="651"/>
      <c r="I52" s="353" t="str">
        <f>IF(NOT(ISBLANK($I$19)),$I$19,"  ")</f>
        <v xml:space="preserve">  </v>
      </c>
      <c r="R52" s="195"/>
      <c r="S52" s="195"/>
      <c r="T52" s="195"/>
    </row>
    <row r="53" spans="1:20" s="194" customFormat="1">
      <c r="A53" s="226">
        <f t="shared" si="0"/>
        <v>468</v>
      </c>
      <c r="B53" s="123"/>
      <c r="C53" s="123"/>
      <c r="D53" s="131"/>
      <c r="E53" s="321"/>
      <c r="F53" s="651"/>
      <c r="G53" s="651"/>
      <c r="H53" s="651"/>
      <c r="I53" s="353" t="str">
        <f>IF(NOT(ISBLANK($I$19)),$I$19,"  ")</f>
        <v xml:space="preserve">  </v>
      </c>
      <c r="R53" s="195"/>
      <c r="S53" s="195"/>
      <c r="T53" s="195"/>
    </row>
    <row r="54" spans="1:20" s="192" customFormat="1">
      <c r="A54" s="226">
        <f t="shared" si="0"/>
        <v>469</v>
      </c>
      <c r="B54" s="441" t="s">
        <v>468</v>
      </c>
      <c r="C54" s="191"/>
      <c r="D54" s="191"/>
      <c r="E54" s="262"/>
      <c r="F54" s="654"/>
      <c r="G54" s="654"/>
      <c r="H54" s="654"/>
      <c r="I54" s="438"/>
      <c r="R54" s="193"/>
      <c r="S54" s="193"/>
      <c r="T54" s="193"/>
    </row>
    <row r="55" spans="1:20" s="194" customFormat="1" ht="25.5">
      <c r="A55" s="226">
        <f t="shared" si="0"/>
        <v>470</v>
      </c>
      <c r="B55" s="123"/>
      <c r="C55" s="442" t="s">
        <v>775</v>
      </c>
      <c r="D55" s="442" t="s">
        <v>749</v>
      </c>
      <c r="E55" s="321"/>
      <c r="F55" s="651"/>
      <c r="G55" s="651"/>
      <c r="H55" s="651"/>
      <c r="I55" s="335"/>
      <c r="R55" s="195"/>
      <c r="S55" s="195"/>
      <c r="T55" s="195"/>
    </row>
    <row r="56" spans="1:20" s="194" customFormat="1">
      <c r="A56" s="226">
        <f t="shared" si="0"/>
        <v>471</v>
      </c>
      <c r="B56" s="123"/>
      <c r="C56" s="123"/>
      <c r="D56" s="131"/>
      <c r="E56" s="321"/>
      <c r="F56" s="651"/>
      <c r="G56" s="651"/>
      <c r="H56" s="651"/>
      <c r="I56" s="335"/>
      <c r="R56" s="195"/>
      <c r="S56" s="195"/>
      <c r="T56" s="195"/>
    </row>
    <row r="57" spans="1:20" s="194" customFormat="1">
      <c r="A57" s="226">
        <f t="shared" si="0"/>
        <v>472</v>
      </c>
      <c r="B57" s="123"/>
      <c r="C57" s="123"/>
      <c r="D57" s="131"/>
      <c r="E57" s="321"/>
      <c r="F57" s="650"/>
      <c r="G57" s="651"/>
      <c r="H57" s="651"/>
      <c r="I57" s="335"/>
      <c r="R57" s="195"/>
      <c r="S57" s="195"/>
      <c r="T57" s="195"/>
    </row>
    <row r="58" spans="1:20" s="192" customFormat="1">
      <c r="A58" s="129"/>
      <c r="B58" s="128" t="s">
        <v>132</v>
      </c>
      <c r="C58" s="130"/>
      <c r="D58" s="130"/>
      <c r="E58" s="332"/>
      <c r="F58" s="724"/>
      <c r="G58" s="724"/>
      <c r="H58" s="724"/>
      <c r="I58" s="333"/>
    </row>
    <row r="59" spans="1:20" s="192" customFormat="1">
      <c r="A59" s="674"/>
      <c r="B59" s="674"/>
      <c r="C59" s="674"/>
      <c r="D59" s="674"/>
      <c r="E59" s="674"/>
      <c r="F59" s="674"/>
      <c r="G59" s="674"/>
      <c r="H59" s="674"/>
      <c r="I59" s="674"/>
    </row>
    <row r="60" spans="1:20" s="192" customFormat="1">
      <c r="A60" s="674"/>
      <c r="B60" s="674"/>
      <c r="C60" s="674"/>
      <c r="D60" s="674"/>
      <c r="E60" s="674"/>
      <c r="F60" s="674"/>
      <c r="G60" s="674"/>
      <c r="H60" s="674"/>
      <c r="I60" s="674"/>
    </row>
    <row r="61" spans="1:20" s="192" customFormat="1">
      <c r="A61" s="674"/>
      <c r="B61" s="674"/>
      <c r="C61" s="674"/>
      <c r="D61" s="674"/>
      <c r="E61" s="674"/>
      <c r="F61" s="674"/>
      <c r="G61" s="674"/>
      <c r="H61" s="674"/>
      <c r="I61" s="674"/>
    </row>
    <row r="62" spans="1:20" s="192" customFormat="1">
      <c r="A62" s="674"/>
      <c r="B62" s="674"/>
      <c r="C62" s="674"/>
      <c r="D62" s="674"/>
      <c r="E62" s="674"/>
      <c r="F62" s="674"/>
      <c r="G62" s="674"/>
      <c r="H62" s="674"/>
      <c r="I62" s="674"/>
    </row>
    <row r="63" spans="1:20">
      <c r="A63" s="674"/>
      <c r="B63" s="674"/>
      <c r="C63" s="674"/>
      <c r="D63" s="674"/>
      <c r="E63" s="674"/>
      <c r="F63" s="674"/>
      <c r="G63" s="674"/>
      <c r="H63" s="674"/>
      <c r="I63" s="674"/>
    </row>
  </sheetData>
  <sheetProtection selectLockedCells="1"/>
  <mergeCells count="50">
    <mergeCell ref="F57:H57"/>
    <mergeCell ref="F58:H58"/>
    <mergeCell ref="A59:I63"/>
    <mergeCell ref="F25:H25"/>
    <mergeCell ref="F26:H26"/>
    <mergeCell ref="F41:H41"/>
    <mergeCell ref="F42:H42"/>
    <mergeCell ref="F43:H43"/>
    <mergeCell ref="F44:H44"/>
    <mergeCell ref="F45:H45"/>
    <mergeCell ref="F46:H46"/>
    <mergeCell ref="F47:H47"/>
    <mergeCell ref="F48:H48"/>
    <mergeCell ref="F49:H49"/>
    <mergeCell ref="F51:H51"/>
    <mergeCell ref="F52:H52"/>
    <mergeCell ref="F53:H53"/>
    <mergeCell ref="F54:H54"/>
    <mergeCell ref="F55:H55"/>
    <mergeCell ref="F56:H56"/>
    <mergeCell ref="F36:H36"/>
    <mergeCell ref="F37:H37"/>
    <mergeCell ref="F38:H38"/>
    <mergeCell ref="F39:H39"/>
    <mergeCell ref="F40:H40"/>
    <mergeCell ref="F50:H50"/>
    <mergeCell ref="F35:H35"/>
    <mergeCell ref="F22:H22"/>
    <mergeCell ref="F23:H23"/>
    <mergeCell ref="F24:H24"/>
    <mergeCell ref="F27:H27"/>
    <mergeCell ref="F28:H28"/>
    <mergeCell ref="F29:H29"/>
    <mergeCell ref="F30:H30"/>
    <mergeCell ref="F31:H31"/>
    <mergeCell ref="F32:H32"/>
    <mergeCell ref="F33:H33"/>
    <mergeCell ref="F34:H34"/>
    <mergeCell ref="F21:H21"/>
    <mergeCell ref="B2:C2"/>
    <mergeCell ref="D2:G2"/>
    <mergeCell ref="H2:I2"/>
    <mergeCell ref="A4:I4"/>
    <mergeCell ref="B11:C11"/>
    <mergeCell ref="B14:H14"/>
    <mergeCell ref="C16:D16"/>
    <mergeCell ref="F17:H17"/>
    <mergeCell ref="F18:H18"/>
    <mergeCell ref="F19:H19"/>
    <mergeCell ref="F20:H20"/>
  </mergeCells>
  <dataValidations count="1">
    <dataValidation type="list" allowBlank="1" showInputMessage="1" showErrorMessage="1" sqref="E18:E57">
      <formula1>Resultados</formula1>
    </dataValidation>
  </dataValidations>
  <pageMargins left="0.74803149606299213" right="0.74803149606299213" top="0.98425196850393704" bottom="0.98425196850393704" header="0.51181102362204722" footer="0.51181102362204722"/>
  <pageSetup paperSize="9" scale="85" orientation="portrait" verticalDpi="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AS88"/>
  <sheetViews>
    <sheetView showGridLines="0" workbookViewId="0">
      <selection activeCell="K4" sqref="K4"/>
    </sheetView>
  </sheetViews>
  <sheetFormatPr baseColWidth="10" defaultColWidth="11.42578125" defaultRowHeight="12.75"/>
  <cols>
    <col min="1" max="1" width="9" style="487" bestFit="1" customWidth="1"/>
    <col min="2" max="2" width="3.85546875" style="487" customWidth="1"/>
    <col min="3" max="3" width="40.140625" style="487" customWidth="1"/>
    <col min="4" max="4" width="14.140625" style="487" customWidth="1"/>
    <col min="5" max="5" width="15.85546875" style="487" customWidth="1"/>
    <col min="6" max="6" width="10.140625" style="487" customWidth="1"/>
    <col min="7" max="7" width="19.5703125" style="487" customWidth="1"/>
    <col min="8" max="8" width="32.5703125" style="487" bestFit="1" customWidth="1"/>
    <col min="9" max="9" width="15" style="488" bestFit="1" customWidth="1"/>
    <col min="10" max="16384" width="11.42578125" style="487"/>
  </cols>
  <sheetData>
    <row r="2" spans="1:20" s="368" customFormat="1" ht="43.5" customHeight="1">
      <c r="A2" s="12"/>
      <c r="B2" s="622"/>
      <c r="C2" s="622"/>
      <c r="D2" s="641" t="s">
        <v>573</v>
      </c>
      <c r="E2" s="642"/>
      <c r="F2" s="642"/>
      <c r="G2" s="665"/>
      <c r="H2" s="622"/>
      <c r="I2" s="622"/>
    </row>
    <row r="4" spans="1:20" s="443" customFormat="1" ht="15.75">
      <c r="A4" s="725" t="s">
        <v>776</v>
      </c>
      <c r="B4" s="726"/>
      <c r="C4" s="726"/>
      <c r="D4" s="726"/>
      <c r="E4" s="726"/>
      <c r="F4" s="726"/>
      <c r="G4" s="726"/>
      <c r="H4" s="726"/>
      <c r="I4" s="727"/>
    </row>
    <row r="5" spans="1:20" s="443" customFormat="1" ht="12">
      <c r="I5" s="444"/>
    </row>
    <row r="6" spans="1:20" s="443" customFormat="1">
      <c r="B6" s="445" t="s">
        <v>79</v>
      </c>
      <c r="C6" s="446"/>
      <c r="D6" s="447"/>
      <c r="E6" s="448"/>
      <c r="F6" s="448"/>
      <c r="G6" s="449" t="s">
        <v>451</v>
      </c>
      <c r="H6" s="387" t="str">
        <f>'Historial de Revisiones'!G4</f>
        <v>GOC-7089</v>
      </c>
      <c r="I6" s="444"/>
      <c r="K6" s="450"/>
    </row>
    <row r="7" spans="1:20" s="443" customFormat="1">
      <c r="B7" s="445" t="s">
        <v>80</v>
      </c>
      <c r="C7" s="446"/>
      <c r="D7" s="447"/>
      <c r="E7" s="448"/>
      <c r="F7" s="448"/>
      <c r="G7" s="449" t="s">
        <v>477</v>
      </c>
      <c r="H7" s="387" t="str">
        <f>'Historial de Revisiones'!G5</f>
        <v>GOC-7092</v>
      </c>
      <c r="I7" s="444"/>
      <c r="K7" s="450"/>
    </row>
    <row r="8" spans="1:20" s="443" customFormat="1">
      <c r="B8" s="445" t="s">
        <v>81</v>
      </c>
      <c r="C8" s="446"/>
      <c r="D8" s="451"/>
      <c r="E8" s="448"/>
      <c r="F8" s="448"/>
      <c r="G8" s="449" t="s">
        <v>124</v>
      </c>
      <c r="H8" s="387">
        <f>'Historial de Revisiones'!G6</f>
        <v>0</v>
      </c>
      <c r="I8" s="444"/>
    </row>
    <row r="9" spans="1:20" s="443" customFormat="1">
      <c r="B9" s="445" t="s">
        <v>82</v>
      </c>
      <c r="C9" s="446"/>
      <c r="D9" s="452"/>
      <c r="E9" s="448"/>
      <c r="F9" s="448"/>
      <c r="G9" s="449" t="s">
        <v>125</v>
      </c>
      <c r="H9" s="387" t="str">
        <f>'Historial de Revisiones'!G7</f>
        <v>Nombre desarrolllador</v>
      </c>
      <c r="I9" s="444"/>
    </row>
    <row r="10" spans="1:20" s="443" customFormat="1">
      <c r="B10" s="728" t="s">
        <v>83</v>
      </c>
      <c r="C10" s="729"/>
      <c r="D10" s="452"/>
      <c r="E10" s="448"/>
      <c r="F10" s="448"/>
      <c r="G10" s="449" t="s">
        <v>126</v>
      </c>
      <c r="H10" s="387" t="str">
        <f>'Historial de Revisiones'!G8</f>
        <v>Nombre de custodio</v>
      </c>
      <c r="I10" s="444"/>
    </row>
    <row r="11" spans="1:20" s="443" customFormat="1">
      <c r="B11" s="734"/>
      <c r="C11" s="734"/>
      <c r="D11" s="453"/>
      <c r="E11" s="448"/>
      <c r="F11" s="448"/>
      <c r="G11" s="449" t="s">
        <v>193</v>
      </c>
      <c r="H11" s="387">
        <f>'Historial de Revisiones'!G9</f>
        <v>0</v>
      </c>
      <c r="I11" s="444"/>
    </row>
    <row r="12" spans="1:20" s="443" customFormat="1" ht="12">
      <c r="E12" s="454"/>
      <c r="F12" s="454"/>
      <c r="G12" s="455"/>
      <c r="H12" s="456"/>
      <c r="I12" s="444"/>
    </row>
    <row r="13" spans="1:20" s="443" customFormat="1" ht="12">
      <c r="B13" s="443" t="s">
        <v>221</v>
      </c>
      <c r="I13" s="444"/>
      <c r="R13" s="457"/>
      <c r="S13" s="457"/>
      <c r="T13" s="457"/>
    </row>
    <row r="14" spans="1:20" s="443" customFormat="1" ht="36.75" customHeight="1">
      <c r="B14" s="735" t="s">
        <v>297</v>
      </c>
      <c r="C14" s="736"/>
      <c r="D14" s="736"/>
      <c r="E14" s="736"/>
      <c r="F14" s="736"/>
      <c r="G14" s="736"/>
      <c r="H14" s="737"/>
      <c r="I14" s="444"/>
      <c r="R14" s="457"/>
      <c r="S14" s="457"/>
      <c r="T14" s="457"/>
    </row>
    <row r="15" spans="1:20" s="443" customFormat="1" ht="16.5" customHeight="1">
      <c r="B15" s="458"/>
      <c r="C15" s="458"/>
      <c r="D15" s="458"/>
      <c r="E15" s="458"/>
      <c r="F15" s="458"/>
      <c r="G15" s="458"/>
      <c r="H15" s="458"/>
      <c r="I15" s="444"/>
      <c r="R15" s="457"/>
      <c r="S15" s="457"/>
      <c r="T15" s="457"/>
    </row>
    <row r="16" spans="1:20" s="443" customFormat="1">
      <c r="B16" s="459"/>
      <c r="C16" s="738"/>
      <c r="D16" s="738"/>
      <c r="I16" s="444"/>
      <c r="R16" s="457"/>
      <c r="S16" s="457"/>
      <c r="T16" s="457"/>
    </row>
    <row r="17" spans="1:20" s="464" customFormat="1" ht="17.25" customHeight="1">
      <c r="A17" s="460" t="s">
        <v>247</v>
      </c>
      <c r="B17" s="461" t="s">
        <v>246</v>
      </c>
      <c r="C17" s="462"/>
      <c r="D17" s="460" t="s">
        <v>360</v>
      </c>
      <c r="E17" s="463" t="s">
        <v>283</v>
      </c>
      <c r="F17" s="739" t="s">
        <v>253</v>
      </c>
      <c r="G17" s="739"/>
      <c r="H17" s="739"/>
      <c r="I17" s="343" t="s">
        <v>284</v>
      </c>
      <c r="K17" s="443"/>
      <c r="L17" s="443"/>
      <c r="M17" s="443"/>
      <c r="N17" s="443"/>
      <c r="O17" s="443"/>
      <c r="P17" s="443"/>
    </row>
    <row r="18" spans="1:20" s="469" customFormat="1">
      <c r="A18" s="465">
        <f>'CHK Técnico-DB2'!A57+10</f>
        <v>482</v>
      </c>
      <c r="B18" s="466" t="s">
        <v>133</v>
      </c>
      <c r="C18" s="467"/>
      <c r="D18" s="467"/>
      <c r="E18" s="468"/>
      <c r="F18" s="733"/>
      <c r="G18" s="733"/>
      <c r="H18" s="733"/>
      <c r="I18" s="345"/>
      <c r="R18" s="470"/>
      <c r="S18" s="470"/>
      <c r="T18" s="470"/>
    </row>
    <row r="19" spans="1:20" s="472" customFormat="1" ht="25.5">
      <c r="A19" s="465">
        <f t="shared" ref="A19:A50" si="0">A18+1</f>
        <v>483</v>
      </c>
      <c r="B19" s="471"/>
      <c r="C19" s="471" t="s">
        <v>777</v>
      </c>
      <c r="D19" s="474" t="s">
        <v>361</v>
      </c>
      <c r="E19" s="493"/>
      <c r="F19" s="730"/>
      <c r="G19" s="731"/>
      <c r="H19" s="731"/>
      <c r="I19" s="346"/>
      <c r="R19" s="473"/>
      <c r="S19" s="473"/>
      <c r="T19" s="473"/>
    </row>
    <row r="20" spans="1:20" s="472" customFormat="1" ht="25.5">
      <c r="A20" s="465">
        <f t="shared" si="0"/>
        <v>484</v>
      </c>
      <c r="B20" s="471"/>
      <c r="C20" s="471" t="s">
        <v>194</v>
      </c>
      <c r="D20" s="474" t="s">
        <v>367</v>
      </c>
      <c r="E20" s="493"/>
      <c r="F20" s="730"/>
      <c r="G20" s="731"/>
      <c r="H20" s="731"/>
      <c r="I20" s="346" t="str">
        <f t="shared" ref="I20:I25" si="1">IF(NOT(ISBLANK($I$19)),$I$19,"  ")</f>
        <v xml:space="preserve">  </v>
      </c>
      <c r="R20" s="473"/>
      <c r="S20" s="473"/>
      <c r="T20" s="473"/>
    </row>
    <row r="21" spans="1:20" s="472" customFormat="1" ht="38.25">
      <c r="A21" s="465">
        <f t="shared" si="0"/>
        <v>485</v>
      </c>
      <c r="B21" s="471"/>
      <c r="C21" s="471" t="s">
        <v>195</v>
      </c>
      <c r="D21" s="474" t="s">
        <v>361</v>
      </c>
      <c r="E21" s="493"/>
      <c r="F21" s="730"/>
      <c r="G21" s="731"/>
      <c r="H21" s="731"/>
      <c r="I21" s="346" t="str">
        <f t="shared" si="1"/>
        <v xml:space="preserve">  </v>
      </c>
      <c r="R21" s="473"/>
      <c r="S21" s="473"/>
      <c r="T21" s="473"/>
    </row>
    <row r="22" spans="1:20" s="472" customFormat="1" ht="38.25">
      <c r="A22" s="465">
        <f t="shared" si="0"/>
        <v>486</v>
      </c>
      <c r="B22" s="471"/>
      <c r="C22" s="471" t="s">
        <v>196</v>
      </c>
      <c r="D22" s="474" t="s">
        <v>361</v>
      </c>
      <c r="E22" s="493"/>
      <c r="F22" s="730"/>
      <c r="G22" s="731"/>
      <c r="H22" s="731"/>
      <c r="I22" s="346" t="str">
        <f t="shared" si="1"/>
        <v xml:space="preserve">  </v>
      </c>
      <c r="R22" s="473"/>
      <c r="S22" s="473"/>
      <c r="T22" s="473"/>
    </row>
    <row r="23" spans="1:20" s="472" customFormat="1" ht="38.25">
      <c r="A23" s="465">
        <f t="shared" si="0"/>
        <v>487</v>
      </c>
      <c r="B23" s="471"/>
      <c r="C23" s="489" t="s">
        <v>350</v>
      </c>
      <c r="D23" s="474" t="s">
        <v>367</v>
      </c>
      <c r="E23" s="493"/>
      <c r="F23" s="730"/>
      <c r="G23" s="731"/>
      <c r="H23" s="731"/>
      <c r="I23" s="346" t="str">
        <f t="shared" si="1"/>
        <v xml:space="preserve">  </v>
      </c>
      <c r="R23" s="473"/>
      <c r="S23" s="473"/>
      <c r="T23" s="473"/>
    </row>
    <row r="24" spans="1:20" s="472" customFormat="1" ht="25.5">
      <c r="A24" s="465">
        <f t="shared" si="0"/>
        <v>488</v>
      </c>
      <c r="B24" s="471"/>
      <c r="C24" s="489" t="s">
        <v>351</v>
      </c>
      <c r="D24" s="474" t="s">
        <v>367</v>
      </c>
      <c r="E24" s="493"/>
      <c r="F24" s="730"/>
      <c r="G24" s="731"/>
      <c r="H24" s="731"/>
      <c r="I24" s="346" t="str">
        <f t="shared" si="1"/>
        <v xml:space="preserve">  </v>
      </c>
      <c r="R24" s="473"/>
      <c r="S24" s="473"/>
      <c r="T24" s="473"/>
    </row>
    <row r="25" spans="1:20" s="472" customFormat="1" ht="25.5">
      <c r="A25" s="465">
        <f t="shared" si="0"/>
        <v>489</v>
      </c>
      <c r="B25" s="471"/>
      <c r="C25" s="489" t="s">
        <v>726</v>
      </c>
      <c r="D25" s="474" t="s">
        <v>367</v>
      </c>
      <c r="E25" s="493"/>
      <c r="F25" s="730"/>
      <c r="G25" s="731"/>
      <c r="H25" s="731"/>
      <c r="I25" s="346" t="str">
        <f t="shared" si="1"/>
        <v xml:space="preserve">  </v>
      </c>
      <c r="R25" s="473"/>
      <c r="S25" s="473"/>
      <c r="T25" s="473"/>
    </row>
    <row r="26" spans="1:20" s="469" customFormat="1">
      <c r="A26" s="465">
        <f t="shared" si="0"/>
        <v>490</v>
      </c>
      <c r="B26" s="466" t="s">
        <v>145</v>
      </c>
      <c r="C26" s="467"/>
      <c r="D26" s="467"/>
      <c r="E26" s="494"/>
      <c r="F26" s="732"/>
      <c r="G26" s="733"/>
      <c r="H26" s="733"/>
      <c r="I26" s="362"/>
      <c r="R26" s="470"/>
      <c r="S26" s="470"/>
      <c r="T26" s="470"/>
    </row>
    <row r="27" spans="1:20" s="472" customFormat="1" ht="38.25">
      <c r="A27" s="465">
        <f t="shared" si="0"/>
        <v>491</v>
      </c>
      <c r="B27" s="471"/>
      <c r="C27" s="471" t="s">
        <v>422</v>
      </c>
      <c r="D27" s="474" t="s">
        <v>365</v>
      </c>
      <c r="E27" s="493"/>
      <c r="F27" s="730"/>
      <c r="G27" s="731"/>
      <c r="H27" s="731"/>
      <c r="I27" s="346" t="str">
        <f t="shared" ref="I27:I33" si="2">IF(NOT(ISBLANK($I$19)),$I$19,"  ")</f>
        <v xml:space="preserve">  </v>
      </c>
      <c r="R27" s="473"/>
      <c r="S27" s="473"/>
      <c r="T27" s="473"/>
    </row>
    <row r="28" spans="1:20" s="472" customFormat="1" ht="25.5">
      <c r="A28" s="465">
        <f t="shared" si="0"/>
        <v>492</v>
      </c>
      <c r="B28" s="471"/>
      <c r="C28" s="471" t="s">
        <v>423</v>
      </c>
      <c r="D28" s="474" t="s">
        <v>365</v>
      </c>
      <c r="E28" s="493"/>
      <c r="F28" s="730"/>
      <c r="G28" s="731"/>
      <c r="H28" s="731"/>
      <c r="I28" s="346" t="str">
        <f t="shared" si="2"/>
        <v xml:space="preserve">  </v>
      </c>
      <c r="R28" s="473"/>
      <c r="S28" s="473"/>
      <c r="T28" s="473"/>
    </row>
    <row r="29" spans="1:20" s="472" customFormat="1" ht="25.5">
      <c r="A29" s="465">
        <f t="shared" si="0"/>
        <v>493</v>
      </c>
      <c r="B29" s="471"/>
      <c r="C29" s="471" t="s">
        <v>197</v>
      </c>
      <c r="D29" s="474" t="s">
        <v>365</v>
      </c>
      <c r="E29" s="493"/>
      <c r="F29" s="730"/>
      <c r="G29" s="731"/>
      <c r="H29" s="731"/>
      <c r="I29" s="346" t="str">
        <f t="shared" si="2"/>
        <v xml:space="preserve">  </v>
      </c>
      <c r="R29" s="473"/>
      <c r="S29" s="473"/>
      <c r="T29" s="473"/>
    </row>
    <row r="30" spans="1:20" s="472" customFormat="1" ht="38.25">
      <c r="A30" s="465">
        <f t="shared" si="0"/>
        <v>494</v>
      </c>
      <c r="B30" s="471"/>
      <c r="C30" s="471" t="s">
        <v>198</v>
      </c>
      <c r="D30" s="474" t="s">
        <v>365</v>
      </c>
      <c r="E30" s="493"/>
      <c r="F30" s="730"/>
      <c r="G30" s="731"/>
      <c r="H30" s="731"/>
      <c r="I30" s="346" t="str">
        <f t="shared" si="2"/>
        <v xml:space="preserve">  </v>
      </c>
      <c r="R30" s="473"/>
      <c r="S30" s="473"/>
      <c r="T30" s="473"/>
    </row>
    <row r="31" spans="1:20" s="472" customFormat="1" ht="38.25">
      <c r="A31" s="465">
        <f t="shared" si="0"/>
        <v>495</v>
      </c>
      <c r="B31" s="471"/>
      <c r="C31" s="471" t="s">
        <v>424</v>
      </c>
      <c r="D31" s="474" t="s">
        <v>365</v>
      </c>
      <c r="E31" s="493"/>
      <c r="F31" s="730"/>
      <c r="G31" s="731"/>
      <c r="H31" s="731"/>
      <c r="I31" s="346" t="str">
        <f t="shared" si="2"/>
        <v xml:space="preserve">  </v>
      </c>
      <c r="R31" s="473"/>
      <c r="S31" s="473"/>
      <c r="T31" s="473"/>
    </row>
    <row r="32" spans="1:20" s="472" customFormat="1" ht="25.5">
      <c r="A32" s="465">
        <f t="shared" si="0"/>
        <v>496</v>
      </c>
      <c r="B32" s="471"/>
      <c r="C32" s="471" t="s">
        <v>199</v>
      </c>
      <c r="D32" s="474" t="s">
        <v>365</v>
      </c>
      <c r="E32" s="493"/>
      <c r="F32" s="730"/>
      <c r="G32" s="731"/>
      <c r="H32" s="731"/>
      <c r="I32" s="346" t="str">
        <f t="shared" si="2"/>
        <v xml:space="preserve">  </v>
      </c>
      <c r="R32" s="473"/>
      <c r="S32" s="473"/>
      <c r="T32" s="473"/>
    </row>
    <row r="33" spans="1:20" s="472" customFormat="1" ht="38.25">
      <c r="A33" s="465">
        <f t="shared" si="0"/>
        <v>497</v>
      </c>
      <c r="B33" s="474"/>
      <c r="C33" s="489" t="s">
        <v>425</v>
      </c>
      <c r="D33" s="492" t="s">
        <v>365</v>
      </c>
      <c r="E33" s="493"/>
      <c r="F33" s="730"/>
      <c r="G33" s="731"/>
      <c r="H33" s="731"/>
      <c r="I33" s="346" t="str">
        <f t="shared" si="2"/>
        <v xml:space="preserve">  </v>
      </c>
      <c r="R33" s="473"/>
      <c r="S33" s="473"/>
      <c r="T33" s="473"/>
    </row>
    <row r="34" spans="1:20" s="469" customFormat="1">
      <c r="A34" s="465">
        <f t="shared" si="0"/>
        <v>498</v>
      </c>
      <c r="B34" s="466" t="s">
        <v>200</v>
      </c>
      <c r="C34" s="467"/>
      <c r="D34" s="467"/>
      <c r="E34" s="494"/>
      <c r="F34" s="732"/>
      <c r="G34" s="733"/>
      <c r="H34" s="733"/>
      <c r="I34" s="345"/>
      <c r="R34" s="470"/>
      <c r="S34" s="470"/>
      <c r="T34" s="470"/>
    </row>
    <row r="35" spans="1:20" s="472" customFormat="1" ht="25.5">
      <c r="A35" s="465">
        <f t="shared" si="0"/>
        <v>499</v>
      </c>
      <c r="B35" s="471"/>
      <c r="C35" s="471" t="s">
        <v>201</v>
      </c>
      <c r="D35" s="474" t="s">
        <v>365</v>
      </c>
      <c r="E35" s="493"/>
      <c r="F35" s="730"/>
      <c r="G35" s="731"/>
      <c r="H35" s="731"/>
      <c r="I35" s="346" t="str">
        <f>IF(NOT(ISBLANK($I$19)),$I$19,"  ")</f>
        <v xml:space="preserve">  </v>
      </c>
      <c r="R35" s="473"/>
      <c r="S35" s="473"/>
      <c r="T35" s="473"/>
    </row>
    <row r="36" spans="1:20" s="472" customFormat="1" ht="25.5">
      <c r="A36" s="465">
        <f t="shared" si="0"/>
        <v>500</v>
      </c>
      <c r="B36" s="471"/>
      <c r="C36" s="471" t="s">
        <v>202</v>
      </c>
      <c r="D36" s="474" t="s">
        <v>365</v>
      </c>
      <c r="E36" s="493"/>
      <c r="F36" s="730"/>
      <c r="G36" s="731"/>
      <c r="H36" s="731"/>
      <c r="I36" s="346" t="str">
        <f>IF(NOT(ISBLANK($I$19)),$I$19,"  ")</f>
        <v xml:space="preserve">  </v>
      </c>
      <c r="R36" s="473"/>
      <c r="S36" s="473"/>
      <c r="T36" s="473"/>
    </row>
    <row r="37" spans="1:20" s="472" customFormat="1" ht="38.25">
      <c r="A37" s="465">
        <f t="shared" si="0"/>
        <v>501</v>
      </c>
      <c r="B37" s="471"/>
      <c r="C37" s="471" t="s">
        <v>778</v>
      </c>
      <c r="D37" s="474" t="s">
        <v>365</v>
      </c>
      <c r="E37" s="493"/>
      <c r="F37" s="730"/>
      <c r="G37" s="731"/>
      <c r="H37" s="731"/>
      <c r="I37" s="346" t="str">
        <f>IF(NOT(ISBLANK($I$19)),$I$19,"  ")</f>
        <v xml:space="preserve">  </v>
      </c>
      <c r="R37" s="473"/>
      <c r="S37" s="473"/>
      <c r="T37" s="473"/>
    </row>
    <row r="38" spans="1:20" s="472" customFormat="1" ht="25.5">
      <c r="A38" s="465">
        <f t="shared" si="0"/>
        <v>502</v>
      </c>
      <c r="B38" s="474"/>
      <c r="C38" s="471" t="s">
        <v>429</v>
      </c>
      <c r="D38" s="474" t="s">
        <v>365</v>
      </c>
      <c r="E38" s="493"/>
      <c r="F38" s="730"/>
      <c r="G38" s="731"/>
      <c r="H38" s="731"/>
      <c r="I38" s="346" t="str">
        <f>IF(NOT(ISBLANK($I$19)),$I$19,"  ")</f>
        <v xml:space="preserve">  </v>
      </c>
      <c r="R38" s="473"/>
      <c r="S38" s="473"/>
      <c r="T38" s="473"/>
    </row>
    <row r="39" spans="1:20" s="469" customFormat="1">
      <c r="A39" s="465">
        <f t="shared" si="0"/>
        <v>503</v>
      </c>
      <c r="B39" s="466" t="s">
        <v>430</v>
      </c>
      <c r="C39" s="467"/>
      <c r="D39" s="467"/>
      <c r="E39" s="494"/>
      <c r="F39" s="732"/>
      <c r="G39" s="733"/>
      <c r="H39" s="733"/>
      <c r="I39" s="345"/>
      <c r="R39" s="470"/>
      <c r="S39" s="470"/>
      <c r="T39" s="470"/>
    </row>
    <row r="40" spans="1:20" s="472" customFormat="1" ht="51">
      <c r="A40" s="465">
        <f t="shared" si="0"/>
        <v>504</v>
      </c>
      <c r="B40" s="471"/>
      <c r="C40" s="471" t="s">
        <v>431</v>
      </c>
      <c r="D40" s="474" t="s">
        <v>365</v>
      </c>
      <c r="E40" s="493"/>
      <c r="F40" s="730"/>
      <c r="G40" s="731"/>
      <c r="H40" s="731"/>
      <c r="I40" s="346" t="str">
        <f t="shared" ref="I40:I50" si="3">IF(NOT(ISBLANK($I$19)),$I$19,"  ")</f>
        <v xml:space="preserve">  </v>
      </c>
      <c r="R40" s="473"/>
      <c r="S40" s="473"/>
      <c r="T40" s="473"/>
    </row>
    <row r="41" spans="1:20" s="472" customFormat="1" ht="25.5">
      <c r="A41" s="465">
        <f t="shared" si="0"/>
        <v>505</v>
      </c>
      <c r="B41" s="471"/>
      <c r="C41" s="471" t="s">
        <v>204</v>
      </c>
      <c r="D41" s="474" t="s">
        <v>365</v>
      </c>
      <c r="E41" s="493"/>
      <c r="F41" s="730"/>
      <c r="G41" s="731"/>
      <c r="H41" s="731"/>
      <c r="I41" s="346" t="str">
        <f t="shared" si="3"/>
        <v xml:space="preserve">  </v>
      </c>
      <c r="R41" s="473"/>
      <c r="S41" s="473"/>
      <c r="T41" s="473"/>
    </row>
    <row r="42" spans="1:20" s="472" customFormat="1" ht="25.5">
      <c r="A42" s="465">
        <f t="shared" si="0"/>
        <v>506</v>
      </c>
      <c r="B42" s="471"/>
      <c r="C42" s="471" t="s">
        <v>779</v>
      </c>
      <c r="D42" s="474" t="s">
        <v>365</v>
      </c>
      <c r="E42" s="493"/>
      <c r="F42" s="730"/>
      <c r="G42" s="731"/>
      <c r="H42" s="731"/>
      <c r="I42" s="346" t="str">
        <f t="shared" si="3"/>
        <v xml:space="preserve">  </v>
      </c>
      <c r="R42" s="473"/>
      <c r="S42" s="473"/>
      <c r="T42" s="473"/>
    </row>
    <row r="43" spans="1:20" s="472" customFormat="1" ht="25.5">
      <c r="A43" s="465">
        <f t="shared" si="0"/>
        <v>507</v>
      </c>
      <c r="B43" s="471"/>
      <c r="C43" s="471" t="s">
        <v>205</v>
      </c>
      <c r="D43" s="474" t="s">
        <v>365</v>
      </c>
      <c r="E43" s="493"/>
      <c r="F43" s="730"/>
      <c r="G43" s="731"/>
      <c r="H43" s="731"/>
      <c r="I43" s="346" t="str">
        <f t="shared" si="3"/>
        <v xml:space="preserve">  </v>
      </c>
      <c r="R43" s="473"/>
      <c r="S43" s="473"/>
      <c r="T43" s="473"/>
    </row>
    <row r="44" spans="1:20" s="472" customFormat="1" ht="38.25">
      <c r="A44" s="465">
        <f t="shared" si="0"/>
        <v>508</v>
      </c>
      <c r="B44" s="471"/>
      <c r="C44" s="471" t="s">
        <v>206</v>
      </c>
      <c r="D44" s="474" t="s">
        <v>365</v>
      </c>
      <c r="E44" s="493"/>
      <c r="F44" s="730"/>
      <c r="G44" s="731"/>
      <c r="H44" s="731"/>
      <c r="I44" s="346" t="str">
        <f t="shared" si="3"/>
        <v xml:space="preserve">  </v>
      </c>
      <c r="R44" s="473"/>
      <c r="S44" s="473"/>
      <c r="T44" s="473"/>
    </row>
    <row r="45" spans="1:20" s="472" customFormat="1" ht="25.5">
      <c r="A45" s="465">
        <f t="shared" si="0"/>
        <v>509</v>
      </c>
      <c r="B45" s="471"/>
      <c r="C45" s="471" t="s">
        <v>780</v>
      </c>
      <c r="D45" s="474" t="s">
        <v>365</v>
      </c>
      <c r="E45" s="493"/>
      <c r="F45" s="730"/>
      <c r="G45" s="731"/>
      <c r="H45" s="731"/>
      <c r="I45" s="346" t="str">
        <f t="shared" si="3"/>
        <v xml:space="preserve">  </v>
      </c>
      <c r="R45" s="473"/>
      <c r="S45" s="473"/>
      <c r="T45" s="473"/>
    </row>
    <row r="46" spans="1:20" s="472" customFormat="1" ht="25.5">
      <c r="A46" s="465">
        <f t="shared" si="0"/>
        <v>510</v>
      </c>
      <c r="B46" s="471"/>
      <c r="C46" s="471" t="s">
        <v>436</v>
      </c>
      <c r="D46" s="474" t="s">
        <v>365</v>
      </c>
      <c r="E46" s="493"/>
      <c r="F46" s="730"/>
      <c r="G46" s="731"/>
      <c r="H46" s="731"/>
      <c r="I46" s="346" t="str">
        <f t="shared" si="3"/>
        <v xml:space="preserve">  </v>
      </c>
      <c r="R46" s="473"/>
      <c r="S46" s="473"/>
      <c r="T46" s="473"/>
    </row>
    <row r="47" spans="1:20" s="472" customFormat="1" ht="25.5">
      <c r="A47" s="465">
        <f t="shared" si="0"/>
        <v>511</v>
      </c>
      <c r="B47" s="471"/>
      <c r="C47" s="471" t="s">
        <v>437</v>
      </c>
      <c r="D47" s="474" t="s">
        <v>365</v>
      </c>
      <c r="E47" s="493"/>
      <c r="F47" s="730"/>
      <c r="G47" s="731"/>
      <c r="H47" s="731"/>
      <c r="I47" s="346" t="str">
        <f t="shared" si="3"/>
        <v xml:space="preserve">  </v>
      </c>
      <c r="R47" s="473"/>
      <c r="S47" s="473"/>
      <c r="T47" s="473"/>
    </row>
    <row r="48" spans="1:20" s="472" customFormat="1" ht="38.25">
      <c r="A48" s="465">
        <f t="shared" si="0"/>
        <v>512</v>
      </c>
      <c r="B48" s="471"/>
      <c r="C48" s="471" t="s">
        <v>208</v>
      </c>
      <c r="D48" s="474" t="s">
        <v>365</v>
      </c>
      <c r="E48" s="493"/>
      <c r="F48" s="730"/>
      <c r="G48" s="731"/>
      <c r="H48" s="731"/>
      <c r="I48" s="346" t="str">
        <f t="shared" si="3"/>
        <v xml:space="preserve">  </v>
      </c>
      <c r="R48" s="473"/>
      <c r="S48" s="473"/>
      <c r="T48" s="473"/>
    </row>
    <row r="49" spans="1:20" s="472" customFormat="1" ht="38.25">
      <c r="A49" s="465">
        <f t="shared" si="0"/>
        <v>513</v>
      </c>
      <c r="B49" s="474"/>
      <c r="C49" s="489" t="s">
        <v>438</v>
      </c>
      <c r="D49" s="492" t="s">
        <v>365</v>
      </c>
      <c r="E49" s="493"/>
      <c r="F49" s="730"/>
      <c r="G49" s="731"/>
      <c r="H49" s="731"/>
      <c r="I49" s="346" t="str">
        <f t="shared" si="3"/>
        <v xml:space="preserve">  </v>
      </c>
      <c r="R49" s="473"/>
      <c r="S49" s="473"/>
      <c r="T49" s="473"/>
    </row>
    <row r="50" spans="1:20" s="472" customFormat="1">
      <c r="A50" s="465">
        <f t="shared" si="0"/>
        <v>514</v>
      </c>
      <c r="B50" s="474"/>
      <c r="C50" s="489" t="s">
        <v>781</v>
      </c>
      <c r="D50" s="492" t="s">
        <v>66</v>
      </c>
      <c r="E50" s="493"/>
      <c r="F50" s="730"/>
      <c r="G50" s="731"/>
      <c r="H50" s="731"/>
      <c r="I50" s="346" t="str">
        <f t="shared" si="3"/>
        <v xml:space="preserve">  </v>
      </c>
      <c r="R50" s="473"/>
      <c r="S50" s="473"/>
      <c r="T50" s="473"/>
    </row>
    <row r="51" spans="1:20" s="469" customFormat="1">
      <c r="A51" s="465">
        <f t="shared" ref="A51:A81" si="4">A50+1</f>
        <v>515</v>
      </c>
      <c r="B51" s="466" t="s">
        <v>209</v>
      </c>
      <c r="C51" s="467"/>
      <c r="D51" s="467"/>
      <c r="E51" s="494"/>
      <c r="F51" s="732"/>
      <c r="G51" s="733"/>
      <c r="H51" s="733"/>
      <c r="I51" s="345"/>
      <c r="R51" s="470"/>
      <c r="S51" s="470"/>
      <c r="T51" s="470"/>
    </row>
    <row r="52" spans="1:20" s="472" customFormat="1" ht="25.5">
      <c r="A52" s="465">
        <f t="shared" si="4"/>
        <v>516</v>
      </c>
      <c r="B52" s="471"/>
      <c r="C52" s="471" t="s">
        <v>210</v>
      </c>
      <c r="D52" s="474" t="s">
        <v>365</v>
      </c>
      <c r="E52" s="493"/>
      <c r="F52" s="730"/>
      <c r="G52" s="731"/>
      <c r="H52" s="731"/>
      <c r="I52" s="346" t="str">
        <f>IF(NOT(ISBLANK($I$19)),$I$19,"  ")</f>
        <v xml:space="preserve">  </v>
      </c>
      <c r="R52" s="473"/>
      <c r="S52" s="473"/>
      <c r="T52" s="473"/>
    </row>
    <row r="53" spans="1:20" s="469" customFormat="1">
      <c r="A53" s="465">
        <f t="shared" si="4"/>
        <v>517</v>
      </c>
      <c r="B53" s="466" t="s">
        <v>179</v>
      </c>
      <c r="C53" s="467"/>
      <c r="D53" s="467"/>
      <c r="E53" s="494"/>
      <c r="F53" s="732"/>
      <c r="G53" s="733"/>
      <c r="H53" s="733"/>
      <c r="I53" s="345"/>
      <c r="R53" s="470"/>
      <c r="S53" s="470"/>
      <c r="T53" s="470"/>
    </row>
    <row r="54" spans="1:20" s="472" customFormat="1" ht="25.5">
      <c r="A54" s="465">
        <f t="shared" si="4"/>
        <v>518</v>
      </c>
      <c r="B54" s="471"/>
      <c r="C54" s="471" t="s">
        <v>211</v>
      </c>
      <c r="D54" s="474" t="s">
        <v>365</v>
      </c>
      <c r="E54" s="493"/>
      <c r="F54" s="730"/>
      <c r="G54" s="731"/>
      <c r="H54" s="731"/>
      <c r="I54" s="346" t="str">
        <f>IF(NOT(ISBLANK($I$19)),$I$19,"  ")</f>
        <v xml:space="preserve">  </v>
      </c>
      <c r="R54" s="473"/>
      <c r="S54" s="473"/>
      <c r="T54" s="473"/>
    </row>
    <row r="55" spans="1:20" s="472" customFormat="1" ht="25.5">
      <c r="A55" s="465">
        <f t="shared" si="4"/>
        <v>519</v>
      </c>
      <c r="B55" s="471"/>
      <c r="C55" s="471" t="s">
        <v>212</v>
      </c>
      <c r="D55" s="474" t="s">
        <v>365</v>
      </c>
      <c r="E55" s="493"/>
      <c r="F55" s="730"/>
      <c r="G55" s="731"/>
      <c r="H55" s="731"/>
      <c r="I55" s="346" t="str">
        <f>IF(NOT(ISBLANK($I$19)),$I$19,"  ")</f>
        <v xml:space="preserve">  </v>
      </c>
      <c r="R55" s="473"/>
      <c r="S55" s="473"/>
      <c r="T55" s="473"/>
    </row>
    <row r="56" spans="1:20" s="472" customFormat="1" ht="25.5">
      <c r="A56" s="465">
        <f t="shared" si="4"/>
        <v>520</v>
      </c>
      <c r="B56" s="471"/>
      <c r="C56" s="471" t="s">
        <v>213</v>
      </c>
      <c r="D56" s="474" t="s">
        <v>365</v>
      </c>
      <c r="E56" s="493"/>
      <c r="F56" s="730"/>
      <c r="G56" s="731"/>
      <c r="H56" s="731"/>
      <c r="I56" s="346" t="str">
        <f>IF(NOT(ISBLANK($I$19)),$I$19,"  ")</f>
        <v xml:space="preserve">  </v>
      </c>
      <c r="R56" s="473"/>
      <c r="S56" s="473"/>
      <c r="T56" s="473"/>
    </row>
    <row r="57" spans="1:20" s="469" customFormat="1">
      <c r="A57" s="465">
        <f t="shared" si="4"/>
        <v>521</v>
      </c>
      <c r="B57" s="466" t="s">
        <v>185</v>
      </c>
      <c r="C57" s="467"/>
      <c r="D57" s="467"/>
      <c r="E57" s="494"/>
      <c r="F57" s="732"/>
      <c r="G57" s="733"/>
      <c r="H57" s="733"/>
      <c r="I57" s="345"/>
      <c r="R57" s="470"/>
      <c r="S57" s="470"/>
      <c r="T57" s="470"/>
    </row>
    <row r="58" spans="1:20" s="472" customFormat="1" ht="25.5">
      <c r="A58" s="465">
        <f t="shared" si="4"/>
        <v>522</v>
      </c>
      <c r="B58" s="471"/>
      <c r="C58" s="471" t="s">
        <v>215</v>
      </c>
      <c r="D58" s="474" t="s">
        <v>361</v>
      </c>
      <c r="E58" s="493"/>
      <c r="F58" s="730"/>
      <c r="G58" s="731"/>
      <c r="H58" s="731"/>
      <c r="I58" s="346" t="str">
        <f t="shared" ref="I58:I64" si="5">IF(NOT(ISBLANK($I$19)),$I$19,"  ")</f>
        <v xml:space="preserve">  </v>
      </c>
      <c r="R58" s="473"/>
      <c r="S58" s="473"/>
      <c r="T58" s="473"/>
    </row>
    <row r="59" spans="1:20" s="472" customFormat="1" ht="38.25">
      <c r="A59" s="465">
        <f t="shared" si="4"/>
        <v>523</v>
      </c>
      <c r="B59" s="471"/>
      <c r="C59" s="471" t="s">
        <v>216</v>
      </c>
      <c r="D59" s="474" t="s">
        <v>367</v>
      </c>
      <c r="E59" s="493"/>
      <c r="F59" s="730"/>
      <c r="G59" s="731"/>
      <c r="H59" s="731"/>
      <c r="I59" s="346" t="str">
        <f t="shared" si="5"/>
        <v xml:space="preserve">  </v>
      </c>
      <c r="R59" s="473"/>
      <c r="S59" s="473"/>
      <c r="T59" s="473"/>
    </row>
    <row r="60" spans="1:20" s="472" customFormat="1" ht="38.25">
      <c r="A60" s="465">
        <f t="shared" si="4"/>
        <v>524</v>
      </c>
      <c r="B60" s="471"/>
      <c r="C60" s="471" t="s">
        <v>439</v>
      </c>
      <c r="D60" s="474" t="s">
        <v>365</v>
      </c>
      <c r="E60" s="493"/>
      <c r="F60" s="730"/>
      <c r="G60" s="731"/>
      <c r="H60" s="731"/>
      <c r="I60" s="346" t="str">
        <f t="shared" si="5"/>
        <v xml:space="preserve">  </v>
      </c>
      <c r="R60" s="473"/>
      <c r="S60" s="473"/>
      <c r="T60" s="473"/>
    </row>
    <row r="61" spans="1:20" s="472" customFormat="1" ht="25.5">
      <c r="A61" s="465">
        <f t="shared" si="4"/>
        <v>525</v>
      </c>
      <c r="B61" s="471"/>
      <c r="C61" s="471" t="s">
        <v>217</v>
      </c>
      <c r="D61" s="474" t="s">
        <v>365</v>
      </c>
      <c r="E61" s="493"/>
      <c r="F61" s="730"/>
      <c r="G61" s="731"/>
      <c r="H61" s="731"/>
      <c r="I61" s="346" t="str">
        <f t="shared" si="5"/>
        <v xml:space="preserve">  </v>
      </c>
      <c r="R61" s="473"/>
      <c r="S61" s="473"/>
      <c r="T61" s="473"/>
    </row>
    <row r="62" spans="1:20" s="472" customFormat="1" ht="25.5">
      <c r="A62" s="465">
        <f t="shared" si="4"/>
        <v>526</v>
      </c>
      <c r="B62" s="471"/>
      <c r="C62" s="471" t="s">
        <v>218</v>
      </c>
      <c r="D62" s="474" t="s">
        <v>367</v>
      </c>
      <c r="E62" s="493"/>
      <c r="F62" s="730"/>
      <c r="G62" s="731"/>
      <c r="H62" s="731"/>
      <c r="I62" s="346" t="str">
        <f t="shared" si="5"/>
        <v xml:space="preserve">  </v>
      </c>
      <c r="R62" s="473"/>
      <c r="S62" s="473"/>
      <c r="T62" s="473"/>
    </row>
    <row r="63" spans="1:20" s="472" customFormat="1" ht="38.25">
      <c r="A63" s="465">
        <f t="shared" si="4"/>
        <v>527</v>
      </c>
      <c r="B63" s="471"/>
      <c r="C63" s="471" t="s">
        <v>186</v>
      </c>
      <c r="D63" s="474" t="s">
        <v>361</v>
      </c>
      <c r="E63" s="493"/>
      <c r="F63" s="730"/>
      <c r="G63" s="731"/>
      <c r="H63" s="731"/>
      <c r="I63" s="346" t="str">
        <f t="shared" si="5"/>
        <v xml:space="preserve">  </v>
      </c>
      <c r="R63" s="473"/>
      <c r="S63" s="473"/>
      <c r="T63" s="473"/>
    </row>
    <row r="64" spans="1:20" s="472" customFormat="1" ht="25.5">
      <c r="A64" s="465">
        <f t="shared" si="4"/>
        <v>528</v>
      </c>
      <c r="B64" s="471"/>
      <c r="C64" s="471" t="s">
        <v>219</v>
      </c>
      <c r="D64" s="474" t="s">
        <v>361</v>
      </c>
      <c r="E64" s="493"/>
      <c r="F64" s="730"/>
      <c r="G64" s="731"/>
      <c r="H64" s="731"/>
      <c r="I64" s="346" t="str">
        <f t="shared" si="5"/>
        <v xml:space="preserve">  </v>
      </c>
      <c r="R64" s="473"/>
      <c r="S64" s="473"/>
      <c r="T64" s="473"/>
    </row>
    <row r="65" spans="1:45" s="469" customFormat="1">
      <c r="A65" s="465">
        <f t="shared" si="4"/>
        <v>529</v>
      </c>
      <c r="B65" s="466" t="s">
        <v>220</v>
      </c>
      <c r="C65" s="467"/>
      <c r="D65" s="467"/>
      <c r="E65" s="494"/>
      <c r="F65" s="732"/>
      <c r="G65" s="733"/>
      <c r="H65" s="733"/>
      <c r="I65" s="345"/>
      <c r="R65" s="470"/>
      <c r="S65" s="470"/>
      <c r="T65" s="470"/>
    </row>
    <row r="66" spans="1:45" s="472" customFormat="1" ht="25.5">
      <c r="A66" s="465">
        <f t="shared" si="4"/>
        <v>530</v>
      </c>
      <c r="B66" s="471"/>
      <c r="C66" s="471" t="s">
        <v>189</v>
      </c>
      <c r="D66" s="474" t="s">
        <v>367</v>
      </c>
      <c r="E66" s="493"/>
      <c r="F66" s="730"/>
      <c r="G66" s="731"/>
      <c r="H66" s="731"/>
      <c r="I66" s="346" t="str">
        <f>IF(NOT(ISBLANK($I$19)),$I$19,"  ")</f>
        <v xml:space="preserve">  </v>
      </c>
      <c r="R66" s="473"/>
      <c r="S66" s="473"/>
      <c r="T66" s="473"/>
    </row>
    <row r="67" spans="1:45" s="472" customFormat="1" ht="38.25">
      <c r="A67" s="465">
        <f t="shared" si="4"/>
        <v>531</v>
      </c>
      <c r="B67" s="471"/>
      <c r="C67" s="471" t="s">
        <v>190</v>
      </c>
      <c r="D67" s="474" t="s">
        <v>371</v>
      </c>
      <c r="E67" s="493"/>
      <c r="F67" s="730"/>
      <c r="G67" s="731"/>
      <c r="H67" s="731"/>
      <c r="I67" s="346" t="str">
        <f>IF(NOT(ISBLANK($I$19)),$I$19,"  ")</f>
        <v xml:space="preserve">  </v>
      </c>
      <c r="R67" s="473"/>
      <c r="S67" s="473"/>
      <c r="T67" s="473"/>
    </row>
    <row r="68" spans="1:45" s="472" customFormat="1" ht="25.5">
      <c r="A68" s="465">
        <f t="shared" si="4"/>
        <v>532</v>
      </c>
      <c r="B68" s="471"/>
      <c r="C68" s="471" t="s">
        <v>191</v>
      </c>
      <c r="D68" s="474" t="s">
        <v>365</v>
      </c>
      <c r="E68" s="493"/>
      <c r="F68" s="730"/>
      <c r="G68" s="731"/>
      <c r="H68" s="731"/>
      <c r="I68" s="346" t="str">
        <f>IF(NOT(ISBLANK($I$19)),$I$19,"  ")</f>
        <v xml:space="preserve">  </v>
      </c>
      <c r="R68" s="473"/>
      <c r="S68" s="473"/>
      <c r="T68" s="473"/>
    </row>
    <row r="69" spans="1:45" s="472" customFormat="1" ht="25.5">
      <c r="A69" s="465">
        <f t="shared" si="4"/>
        <v>533</v>
      </c>
      <c r="B69" s="475"/>
      <c r="C69" s="475" t="s">
        <v>192</v>
      </c>
      <c r="D69" s="474" t="s">
        <v>365</v>
      </c>
      <c r="E69" s="493"/>
      <c r="F69" s="730"/>
      <c r="G69" s="731"/>
      <c r="H69" s="731"/>
      <c r="I69" s="346" t="str">
        <f>IF(NOT(ISBLANK($I$19)),$I$19,"  ")</f>
        <v xml:space="preserve">  </v>
      </c>
      <c r="R69" s="473"/>
      <c r="S69" s="473"/>
      <c r="T69" s="473"/>
    </row>
    <row r="70" spans="1:45" s="478" customFormat="1">
      <c r="A70" s="465">
        <f t="shared" si="4"/>
        <v>534</v>
      </c>
      <c r="B70" s="476" t="s">
        <v>353</v>
      </c>
      <c r="C70" s="477"/>
      <c r="D70" s="477"/>
      <c r="E70" s="494"/>
      <c r="F70" s="740"/>
      <c r="G70" s="740"/>
      <c r="H70" s="732"/>
      <c r="I70" s="347"/>
      <c r="R70" s="479"/>
      <c r="S70" s="479"/>
      <c r="T70" s="479"/>
    </row>
    <row r="71" spans="1:45" s="478" customFormat="1" ht="25.5">
      <c r="A71" s="465">
        <f t="shared" si="4"/>
        <v>535</v>
      </c>
      <c r="B71" s="480"/>
      <c r="C71" s="489" t="s">
        <v>729</v>
      </c>
      <c r="D71" s="490" t="s">
        <v>365</v>
      </c>
      <c r="E71" s="493"/>
      <c r="F71" s="730"/>
      <c r="G71" s="731"/>
      <c r="H71" s="731"/>
      <c r="I71" s="346" t="str">
        <f>IF(NOT(ISBLANK($I$19)),$I$19,"  ")</f>
        <v xml:space="preserve">  </v>
      </c>
      <c r="R71" s="479"/>
      <c r="S71" s="479"/>
      <c r="T71" s="479"/>
    </row>
    <row r="72" spans="1:45" s="478" customFormat="1" ht="25.5">
      <c r="A72" s="465">
        <f t="shared" si="4"/>
        <v>536</v>
      </c>
      <c r="B72" s="480"/>
      <c r="C72" s="489" t="s">
        <v>782</v>
      </c>
      <c r="D72" s="490" t="s">
        <v>365</v>
      </c>
      <c r="E72" s="493"/>
      <c r="F72" s="730"/>
      <c r="G72" s="731"/>
      <c r="H72" s="731"/>
      <c r="I72" s="346" t="str">
        <f>IF(NOT(ISBLANK($I$19)),$I$19,"  ")</f>
        <v xml:space="preserve">  </v>
      </c>
      <c r="R72" s="479"/>
      <c r="S72" s="479"/>
      <c r="T72" s="479"/>
    </row>
    <row r="73" spans="1:45" s="481" customFormat="1" ht="25.5">
      <c r="A73" s="465">
        <f t="shared" si="4"/>
        <v>537</v>
      </c>
      <c r="B73" s="480"/>
      <c r="C73" s="489" t="s">
        <v>731</v>
      </c>
      <c r="D73" s="490" t="s">
        <v>365</v>
      </c>
      <c r="E73" s="493"/>
      <c r="F73" s="730"/>
      <c r="G73" s="731"/>
      <c r="H73" s="731"/>
      <c r="I73" s="346" t="str">
        <f>IF(NOT(ISBLANK($I$19)),$I$19,"  ")</f>
        <v xml:space="preserve">  </v>
      </c>
      <c r="J73" s="478"/>
      <c r="K73" s="478"/>
      <c r="L73" s="478"/>
      <c r="M73" s="478"/>
      <c r="N73" s="478"/>
      <c r="O73" s="478"/>
      <c r="P73" s="478"/>
      <c r="Q73" s="478"/>
      <c r="R73" s="479"/>
      <c r="S73" s="479"/>
      <c r="T73" s="479"/>
      <c r="U73" s="478"/>
      <c r="V73" s="478"/>
      <c r="W73" s="478"/>
      <c r="X73" s="478"/>
      <c r="Y73" s="478"/>
      <c r="Z73" s="478"/>
      <c r="AA73" s="478"/>
      <c r="AB73" s="478"/>
      <c r="AC73" s="478"/>
      <c r="AD73" s="478"/>
      <c r="AE73" s="478"/>
      <c r="AF73" s="478"/>
      <c r="AG73" s="478"/>
      <c r="AH73" s="478"/>
      <c r="AI73" s="478"/>
      <c r="AJ73" s="478"/>
      <c r="AK73" s="478"/>
      <c r="AL73" s="478"/>
      <c r="AM73" s="478"/>
      <c r="AN73" s="478"/>
      <c r="AO73" s="478"/>
      <c r="AP73" s="478"/>
      <c r="AQ73" s="478"/>
      <c r="AR73" s="478"/>
      <c r="AS73" s="478"/>
    </row>
    <row r="74" spans="1:45" s="478" customFormat="1" ht="51">
      <c r="A74" s="465">
        <f t="shared" si="4"/>
        <v>538</v>
      </c>
      <c r="B74" s="480"/>
      <c r="C74" s="489" t="s">
        <v>440</v>
      </c>
      <c r="D74" s="490" t="s">
        <v>365</v>
      </c>
      <c r="E74" s="493"/>
      <c r="F74" s="730"/>
      <c r="G74" s="731"/>
      <c r="H74" s="731"/>
      <c r="I74" s="346" t="str">
        <f>IF(NOT(ISBLANK($I$19)),$I$19,"  ")</f>
        <v xml:space="preserve">  </v>
      </c>
      <c r="R74" s="479"/>
      <c r="S74" s="479"/>
      <c r="T74" s="479"/>
    </row>
    <row r="75" spans="1:45" s="469" customFormat="1" ht="51">
      <c r="A75" s="465">
        <f t="shared" si="4"/>
        <v>539</v>
      </c>
      <c r="B75" s="482"/>
      <c r="C75" s="489" t="s">
        <v>728</v>
      </c>
      <c r="D75" s="490" t="s">
        <v>365</v>
      </c>
      <c r="E75" s="493"/>
      <c r="F75" s="730"/>
      <c r="G75" s="731"/>
      <c r="H75" s="731"/>
      <c r="I75" s="346" t="str">
        <f>IF(NOT(ISBLANK($I$19)),$I$19,"  ")</f>
        <v xml:space="preserve">  </v>
      </c>
    </row>
    <row r="76" spans="1:45" s="478" customFormat="1">
      <c r="A76" s="465">
        <f t="shared" si="4"/>
        <v>540</v>
      </c>
      <c r="B76" s="476" t="s">
        <v>402</v>
      </c>
      <c r="C76" s="477"/>
      <c r="D76" s="477"/>
      <c r="E76" s="494"/>
      <c r="F76" s="467"/>
      <c r="G76" s="467"/>
      <c r="H76" s="491"/>
      <c r="I76" s="347"/>
      <c r="R76" s="479"/>
      <c r="S76" s="479"/>
      <c r="T76" s="479"/>
    </row>
    <row r="77" spans="1:45" s="469" customFormat="1" ht="76.5">
      <c r="A77" s="465">
        <f t="shared" si="4"/>
        <v>541</v>
      </c>
      <c r="B77" s="471"/>
      <c r="C77" s="489" t="s">
        <v>783</v>
      </c>
      <c r="D77" s="490" t="s">
        <v>365</v>
      </c>
      <c r="E77" s="493"/>
      <c r="F77" s="730"/>
      <c r="G77" s="731"/>
      <c r="H77" s="731"/>
      <c r="I77" s="346" t="str">
        <f>IF(NOT(ISBLANK($I$19)),$I$19,"  ")</f>
        <v xml:space="preserve">  </v>
      </c>
    </row>
    <row r="78" spans="1:45" s="469" customFormat="1" ht="38.25">
      <c r="A78" s="465">
        <f t="shared" si="4"/>
        <v>542</v>
      </c>
      <c r="B78" s="471"/>
      <c r="C78" s="489" t="s">
        <v>727</v>
      </c>
      <c r="D78" s="490" t="s">
        <v>365</v>
      </c>
      <c r="E78" s="493"/>
      <c r="F78" s="730"/>
      <c r="G78" s="731"/>
      <c r="H78" s="731"/>
      <c r="I78" s="346" t="str">
        <f>IF(NOT(ISBLANK($I$19)),$I$19,"  ")</f>
        <v xml:space="preserve">  </v>
      </c>
    </row>
    <row r="79" spans="1:45" s="469" customFormat="1">
      <c r="A79" s="465">
        <f t="shared" si="4"/>
        <v>543</v>
      </c>
      <c r="B79" s="471"/>
      <c r="C79" s="489"/>
      <c r="D79" s="492"/>
      <c r="E79" s="493"/>
      <c r="F79" s="730"/>
      <c r="G79" s="731"/>
      <c r="H79" s="731"/>
      <c r="I79" s="344"/>
    </row>
    <row r="80" spans="1:45" s="469" customFormat="1">
      <c r="A80" s="465">
        <f t="shared" si="4"/>
        <v>544</v>
      </c>
      <c r="B80" s="471"/>
      <c r="C80" s="489"/>
      <c r="D80" s="492"/>
      <c r="E80" s="493"/>
      <c r="F80" s="730"/>
      <c r="G80" s="731"/>
      <c r="H80" s="731"/>
      <c r="I80" s="344"/>
    </row>
    <row r="81" spans="1:9" s="469" customFormat="1">
      <c r="A81" s="465">
        <f t="shared" si="4"/>
        <v>545</v>
      </c>
      <c r="B81" s="471"/>
      <c r="C81" s="489"/>
      <c r="D81" s="492"/>
      <c r="E81" s="493"/>
      <c r="F81" s="730"/>
      <c r="G81" s="731"/>
      <c r="H81" s="731"/>
      <c r="I81" s="344"/>
    </row>
    <row r="82" spans="1:9" s="469" customFormat="1">
      <c r="A82" s="483"/>
      <c r="B82" s="484" t="s">
        <v>132</v>
      </c>
      <c r="C82" s="484"/>
      <c r="D82" s="484"/>
      <c r="E82" s="485"/>
      <c r="F82" s="742"/>
      <c r="G82" s="743"/>
      <c r="H82" s="744"/>
      <c r="I82" s="486"/>
    </row>
    <row r="83" spans="1:9" s="469" customFormat="1">
      <c r="A83" s="741"/>
      <c r="B83" s="741"/>
      <c r="C83" s="741"/>
      <c r="D83" s="741"/>
      <c r="E83" s="741"/>
      <c r="F83" s="741"/>
      <c r="G83" s="741"/>
      <c r="H83" s="741"/>
      <c r="I83" s="741"/>
    </row>
    <row r="84" spans="1:9" s="469" customFormat="1">
      <c r="A84" s="741"/>
      <c r="B84" s="741"/>
      <c r="C84" s="741"/>
      <c r="D84" s="741"/>
      <c r="E84" s="741"/>
      <c r="F84" s="741"/>
      <c r="G84" s="741"/>
      <c r="H84" s="741"/>
      <c r="I84" s="741"/>
    </row>
    <row r="85" spans="1:9">
      <c r="A85" s="741"/>
      <c r="B85" s="741"/>
      <c r="C85" s="741"/>
      <c r="D85" s="741"/>
      <c r="E85" s="741"/>
      <c r="F85" s="741"/>
      <c r="G85" s="741"/>
      <c r="H85" s="741"/>
      <c r="I85" s="741"/>
    </row>
    <row r="86" spans="1:9">
      <c r="A86" s="741"/>
      <c r="B86" s="741"/>
      <c r="C86" s="741"/>
      <c r="D86" s="741"/>
      <c r="E86" s="741"/>
      <c r="F86" s="741"/>
      <c r="G86" s="741"/>
      <c r="H86" s="741"/>
      <c r="I86" s="741"/>
    </row>
    <row r="87" spans="1:9">
      <c r="A87" s="741"/>
      <c r="B87" s="741"/>
      <c r="C87" s="741"/>
      <c r="D87" s="741"/>
      <c r="E87" s="741"/>
      <c r="F87" s="741"/>
      <c r="G87" s="741"/>
      <c r="H87" s="741"/>
      <c r="I87" s="741"/>
    </row>
    <row r="88" spans="1:9">
      <c r="A88" s="741"/>
      <c r="B88" s="741"/>
      <c r="C88" s="741"/>
      <c r="D88" s="741"/>
      <c r="E88" s="741"/>
      <c r="F88" s="741"/>
      <c r="G88" s="741"/>
      <c r="H88" s="741"/>
      <c r="I88" s="741"/>
    </row>
  </sheetData>
  <sheetProtection selectLockedCells="1"/>
  <mergeCells count="74">
    <mergeCell ref="F80:H80"/>
    <mergeCell ref="F81:H81"/>
    <mergeCell ref="A83:I88"/>
    <mergeCell ref="F74:H74"/>
    <mergeCell ref="F75:H75"/>
    <mergeCell ref="F77:H77"/>
    <mergeCell ref="F78:H78"/>
    <mergeCell ref="F79:H79"/>
    <mergeCell ref="F82:H82"/>
    <mergeCell ref="F60:H60"/>
    <mergeCell ref="F73:H73"/>
    <mergeCell ref="F62:H62"/>
    <mergeCell ref="F63:H63"/>
    <mergeCell ref="F64:H64"/>
    <mergeCell ref="F65:H65"/>
    <mergeCell ref="F66:H66"/>
    <mergeCell ref="F67:H67"/>
    <mergeCell ref="F68:H68"/>
    <mergeCell ref="F69:H69"/>
    <mergeCell ref="F61:H61"/>
    <mergeCell ref="F70:H70"/>
    <mergeCell ref="F71:H71"/>
    <mergeCell ref="F72:H72"/>
    <mergeCell ref="F32:H32"/>
    <mergeCell ref="F59:H59"/>
    <mergeCell ref="F45:H45"/>
    <mergeCell ref="F46:H46"/>
    <mergeCell ref="F47:H47"/>
    <mergeCell ref="F48:H48"/>
    <mergeCell ref="F49:H49"/>
    <mergeCell ref="F50:H50"/>
    <mergeCell ref="F51:H51"/>
    <mergeCell ref="F52:H52"/>
    <mergeCell ref="F53:H53"/>
    <mergeCell ref="F54:H54"/>
    <mergeCell ref="F55:H55"/>
    <mergeCell ref="F56:H56"/>
    <mergeCell ref="F57:H57"/>
    <mergeCell ref="F58:H58"/>
    <mergeCell ref="F33:H33"/>
    <mergeCell ref="F44:H44"/>
    <mergeCell ref="F37:H37"/>
    <mergeCell ref="F38:H38"/>
    <mergeCell ref="F39:H39"/>
    <mergeCell ref="F40:H40"/>
    <mergeCell ref="F35:H35"/>
    <mergeCell ref="F36:H36"/>
    <mergeCell ref="F41:H41"/>
    <mergeCell ref="F42:H42"/>
    <mergeCell ref="F43:H43"/>
    <mergeCell ref="F34:H34"/>
    <mergeCell ref="B11:C11"/>
    <mergeCell ref="B14:H14"/>
    <mergeCell ref="C16:D16"/>
    <mergeCell ref="F17:H17"/>
    <mergeCell ref="F18:H18"/>
    <mergeCell ref="F19:H19"/>
    <mergeCell ref="F31:H31"/>
    <mergeCell ref="F21:H21"/>
    <mergeCell ref="F22:H22"/>
    <mergeCell ref="F23:H23"/>
    <mergeCell ref="F24:H24"/>
    <mergeCell ref="F25:H25"/>
    <mergeCell ref="F26:H26"/>
    <mergeCell ref="F27:H27"/>
    <mergeCell ref="F20:H20"/>
    <mergeCell ref="F28:H28"/>
    <mergeCell ref="F29:H29"/>
    <mergeCell ref="F30:H30"/>
    <mergeCell ref="B2:C2"/>
    <mergeCell ref="D2:G2"/>
    <mergeCell ref="H2:I2"/>
    <mergeCell ref="A4:I4"/>
    <mergeCell ref="B10:C10"/>
  </mergeCells>
  <dataValidations count="2">
    <dataValidation type="list" allowBlank="1" showInputMessage="1" showErrorMessage="1" sqref="C70:D70 E18:E25 E27:E33 E35:E38 E40:E50 E52 E54:E56 E58:E64 E66:E69 E71:E75 E77:E78">
      <formula1>Resultados</formula1>
    </dataValidation>
    <dataValidation type="list" allowBlank="1" showInputMessage="1" showErrorMessage="1" sqref="E26 E34 E39 E51 E53 E57 E65 E70 E76 E79:E81">
      <formula1>Resultados1</formula1>
    </dataValidation>
  </dataValidations>
  <pageMargins left="0.74803149606299213" right="0.74803149606299213" top="0.98425196850393704" bottom="0.98425196850393704" header="0.51181102362204722" footer="0.51181102362204722"/>
  <pageSetup paperSize="9" scale="85" orientation="portrait" verticalDpi="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MK74"/>
  <sheetViews>
    <sheetView showGridLines="0" workbookViewId="0">
      <selection activeCell="J3" sqref="J3"/>
    </sheetView>
  </sheetViews>
  <sheetFormatPr baseColWidth="10" defaultColWidth="9.140625" defaultRowHeight="12.75"/>
  <cols>
    <col min="1" max="1" width="9" style="547" customWidth="1"/>
    <col min="2" max="2" width="3.85546875" style="547" customWidth="1"/>
    <col min="3" max="3" width="51.85546875" style="547" customWidth="1"/>
    <col min="4" max="4" width="19.5703125" style="547" customWidth="1"/>
    <col min="5" max="5" width="15.85546875" style="547" customWidth="1"/>
    <col min="6" max="6" width="10.140625" style="547" customWidth="1"/>
    <col min="7" max="7" width="19.5703125" style="547" customWidth="1"/>
    <col min="8" max="8" width="32.5703125" style="547" bestFit="1" customWidth="1"/>
    <col min="9" max="9" width="15" style="548" customWidth="1"/>
    <col min="10" max="1025" width="11.42578125" style="547" customWidth="1"/>
  </cols>
  <sheetData>
    <row r="2" spans="1:20" s="503" customFormat="1" ht="41.25" customHeight="1">
      <c r="A2" s="502"/>
      <c r="B2" s="746"/>
      <c r="C2" s="746"/>
      <c r="D2" s="746" t="s">
        <v>573</v>
      </c>
      <c r="E2" s="746"/>
      <c r="F2" s="746"/>
      <c r="G2" s="746"/>
      <c r="H2" s="746"/>
      <c r="I2" s="746"/>
    </row>
    <row r="4" spans="1:20" s="504" customFormat="1" ht="15.75">
      <c r="A4" s="747" t="s">
        <v>815</v>
      </c>
      <c r="B4" s="747"/>
      <c r="C4" s="747"/>
      <c r="D4" s="747"/>
      <c r="E4" s="747"/>
      <c r="F4" s="747"/>
      <c r="G4" s="747"/>
      <c r="H4" s="747"/>
      <c r="I4" s="747"/>
    </row>
    <row r="5" spans="1:20" s="504" customFormat="1" ht="12">
      <c r="I5" s="505"/>
    </row>
    <row r="6" spans="1:20" s="504" customFormat="1">
      <c r="B6" s="506" t="s">
        <v>79</v>
      </c>
      <c r="C6" s="507"/>
      <c r="D6" s="388"/>
      <c r="E6" s="508"/>
      <c r="F6" s="508"/>
      <c r="G6" s="509" t="s">
        <v>451</v>
      </c>
      <c r="H6" s="387" t="str">
        <f>'Historial de Revisiones'!G4</f>
        <v>GOC-7089</v>
      </c>
      <c r="I6" s="505"/>
      <c r="K6" s="510"/>
    </row>
    <row r="7" spans="1:20" s="504" customFormat="1">
      <c r="B7" s="506" t="s">
        <v>80</v>
      </c>
      <c r="C7" s="507"/>
      <c r="D7" s="388"/>
      <c r="E7" s="508"/>
      <c r="F7" s="508"/>
      <c r="G7" s="509" t="s">
        <v>477</v>
      </c>
      <c r="H7" s="387" t="str">
        <f>'Historial de Revisiones'!G5</f>
        <v>GOC-7092</v>
      </c>
      <c r="I7" s="505"/>
      <c r="K7" s="510"/>
    </row>
    <row r="8" spans="1:20" s="504" customFormat="1">
      <c r="B8" s="506" t="s">
        <v>81</v>
      </c>
      <c r="C8" s="507"/>
      <c r="D8" s="393"/>
      <c r="E8" s="508"/>
      <c r="F8" s="508"/>
      <c r="G8" s="509" t="s">
        <v>124</v>
      </c>
      <c r="H8" s="387">
        <f>'Historial de Revisiones'!G6</f>
        <v>0</v>
      </c>
      <c r="I8" s="505"/>
    </row>
    <row r="9" spans="1:20" s="504" customFormat="1">
      <c r="B9" s="506" t="s">
        <v>82</v>
      </c>
      <c r="C9" s="507"/>
      <c r="D9" s="394"/>
      <c r="E9" s="508"/>
      <c r="F9" s="508"/>
      <c r="G9" s="509" t="s">
        <v>125</v>
      </c>
      <c r="H9" s="387" t="str">
        <f>'Historial de Revisiones'!G7</f>
        <v>Nombre desarrolllador</v>
      </c>
      <c r="I9" s="505"/>
    </row>
    <row r="10" spans="1:20" s="504" customFormat="1">
      <c r="B10" s="748" t="s">
        <v>83</v>
      </c>
      <c r="C10" s="748"/>
      <c r="D10" s="554"/>
      <c r="E10" s="508"/>
      <c r="F10" s="508"/>
      <c r="G10" s="509" t="s">
        <v>126</v>
      </c>
      <c r="H10" s="387" t="str">
        <f>'Historial de Revisiones'!G8</f>
        <v>Nombre de custodio</v>
      </c>
      <c r="I10" s="505"/>
    </row>
    <row r="11" spans="1:20" s="504" customFormat="1">
      <c r="B11" s="745"/>
      <c r="C11" s="745"/>
      <c r="D11" s="511"/>
      <c r="E11" s="508"/>
      <c r="F11" s="508"/>
      <c r="G11" s="509" t="s">
        <v>193</v>
      </c>
      <c r="H11" s="387">
        <f>'Historial de Revisiones'!G9</f>
        <v>0</v>
      </c>
      <c r="I11" s="505"/>
    </row>
    <row r="12" spans="1:20" s="504" customFormat="1" ht="12">
      <c r="E12" s="512"/>
      <c r="F12" s="512"/>
      <c r="G12" s="513"/>
      <c r="H12" s="514"/>
      <c r="I12" s="505"/>
    </row>
    <row r="13" spans="1:20" s="504" customFormat="1" ht="12">
      <c r="B13" s="504" t="s">
        <v>221</v>
      </c>
      <c r="I13" s="505"/>
      <c r="R13" s="515"/>
      <c r="S13" s="515"/>
      <c r="T13" s="515"/>
    </row>
    <row r="14" spans="1:20" s="504" customFormat="1" ht="26.25" customHeight="1">
      <c r="B14" s="750" t="s">
        <v>297</v>
      </c>
      <c r="C14" s="750"/>
      <c r="D14" s="750"/>
      <c r="E14" s="750"/>
      <c r="F14" s="750"/>
      <c r="G14" s="750"/>
      <c r="H14" s="750"/>
      <c r="I14" s="505"/>
      <c r="R14" s="515"/>
      <c r="S14" s="515"/>
      <c r="T14" s="515"/>
    </row>
    <row r="15" spans="1:20" s="504" customFormat="1" ht="12">
      <c r="B15" s="516"/>
      <c r="C15" s="516"/>
      <c r="D15" s="516"/>
      <c r="E15" s="516"/>
      <c r="F15" s="516"/>
      <c r="G15" s="516"/>
      <c r="H15" s="516"/>
      <c r="I15" s="505"/>
      <c r="R15" s="515"/>
      <c r="S15" s="515"/>
      <c r="T15" s="515"/>
    </row>
    <row r="16" spans="1:20" s="504" customFormat="1">
      <c r="B16" s="517" t="s">
        <v>386</v>
      </c>
      <c r="C16" s="751"/>
      <c r="D16" s="751"/>
      <c r="I16" s="505"/>
      <c r="R16" s="515"/>
      <c r="S16" s="515"/>
      <c r="T16" s="515"/>
    </row>
    <row r="17" spans="1:20" s="523" customFormat="1" ht="12">
      <c r="A17" s="518" t="s">
        <v>247</v>
      </c>
      <c r="B17" s="519" t="s">
        <v>246</v>
      </c>
      <c r="C17" s="520"/>
      <c r="D17" s="518" t="s">
        <v>360</v>
      </c>
      <c r="E17" s="521" t="s">
        <v>283</v>
      </c>
      <c r="F17" s="752" t="s">
        <v>253</v>
      </c>
      <c r="G17" s="752"/>
      <c r="H17" s="752"/>
      <c r="I17" s="522" t="s">
        <v>284</v>
      </c>
      <c r="K17" s="504"/>
      <c r="L17" s="504"/>
      <c r="M17" s="504"/>
      <c r="N17" s="504"/>
      <c r="O17" s="504"/>
      <c r="P17" s="504"/>
    </row>
    <row r="18" spans="1:20" s="529" customFormat="1">
      <c r="A18" s="524">
        <f>'CHK Técnico-ORACLE'!A81+1</f>
        <v>546</v>
      </c>
      <c r="B18" s="525" t="s">
        <v>133</v>
      </c>
      <c r="C18" s="526"/>
      <c r="D18" s="526"/>
      <c r="E18" s="527"/>
      <c r="F18" s="753"/>
      <c r="G18" s="753"/>
      <c r="H18" s="753"/>
      <c r="I18" s="528"/>
      <c r="R18" s="530"/>
      <c r="S18" s="530"/>
      <c r="T18" s="530"/>
    </row>
    <row r="19" spans="1:20" s="534" customFormat="1" ht="25.5">
      <c r="A19" s="524">
        <f>A18+1</f>
        <v>547</v>
      </c>
      <c r="B19" s="531"/>
      <c r="C19" s="531" t="s">
        <v>8</v>
      </c>
      <c r="D19" s="531" t="s">
        <v>361</v>
      </c>
      <c r="E19" s="532"/>
      <c r="F19" s="754"/>
      <c r="G19" s="754"/>
      <c r="H19" s="754"/>
      <c r="I19" s="533"/>
      <c r="R19" s="535"/>
      <c r="S19" s="535"/>
      <c r="T19" s="535"/>
    </row>
    <row r="20" spans="1:20" s="534" customFormat="1" ht="25.5">
      <c r="A20" s="524">
        <f t="shared" ref="A20:A67" si="0">A19+1</f>
        <v>548</v>
      </c>
      <c r="B20" s="531"/>
      <c r="C20" s="536" t="s">
        <v>391</v>
      </c>
      <c r="D20" s="536" t="s">
        <v>367</v>
      </c>
      <c r="E20" s="532"/>
      <c r="F20" s="754"/>
      <c r="G20" s="754"/>
      <c r="H20" s="754"/>
      <c r="I20" s="533" t="str">
        <f>IF(NOT(ISBLANK($I$19)),$I$19,"  ")</f>
        <v xml:space="preserve">  </v>
      </c>
      <c r="R20" s="535"/>
      <c r="S20" s="535"/>
      <c r="T20" s="535"/>
    </row>
    <row r="21" spans="1:20" s="534" customFormat="1" ht="25.5">
      <c r="A21" s="524">
        <f t="shared" si="0"/>
        <v>549</v>
      </c>
      <c r="B21" s="531"/>
      <c r="C21" s="537" t="s">
        <v>351</v>
      </c>
      <c r="D21" s="536" t="s">
        <v>367</v>
      </c>
      <c r="E21" s="532"/>
      <c r="F21" s="754"/>
      <c r="G21" s="754"/>
      <c r="H21" s="754"/>
      <c r="I21" s="533" t="str">
        <f>IF(NOT(ISBLANK($I$19)),$I$19,"  ")</f>
        <v xml:space="preserve">  </v>
      </c>
      <c r="R21" s="535"/>
      <c r="S21" s="535"/>
      <c r="T21" s="535"/>
    </row>
    <row r="22" spans="1:20" s="529" customFormat="1">
      <c r="A22" s="524">
        <f t="shared" si="0"/>
        <v>550</v>
      </c>
      <c r="B22" s="525" t="s">
        <v>145</v>
      </c>
      <c r="C22" s="526"/>
      <c r="D22" s="526"/>
      <c r="E22" s="538"/>
      <c r="F22" s="749"/>
      <c r="G22" s="749"/>
      <c r="H22" s="749"/>
      <c r="I22" s="539"/>
      <c r="R22" s="530"/>
      <c r="S22" s="530"/>
      <c r="T22" s="530"/>
    </row>
    <row r="23" spans="1:20" s="534" customFormat="1">
      <c r="A23" s="524">
        <f t="shared" si="0"/>
        <v>551</v>
      </c>
      <c r="B23" s="531"/>
      <c r="C23" s="531" t="s">
        <v>10</v>
      </c>
      <c r="D23" s="540" t="s">
        <v>369</v>
      </c>
      <c r="E23" s="532"/>
      <c r="F23" s="754"/>
      <c r="G23" s="754"/>
      <c r="H23" s="754"/>
      <c r="I23" s="533" t="str">
        <f>IF(NOT(ISBLANK($I$19)),$I$19,"  ")</f>
        <v xml:space="preserve">  </v>
      </c>
      <c r="R23" s="535"/>
      <c r="S23" s="535"/>
      <c r="T23" s="535"/>
    </row>
    <row r="24" spans="1:20" s="534" customFormat="1">
      <c r="A24" s="524">
        <f t="shared" si="0"/>
        <v>552</v>
      </c>
      <c r="B24" s="531"/>
      <c r="C24" s="531" t="s">
        <v>407</v>
      </c>
      <c r="D24" s="540" t="s">
        <v>369</v>
      </c>
      <c r="E24" s="532"/>
      <c r="F24" s="754"/>
      <c r="G24" s="754"/>
      <c r="H24" s="754"/>
      <c r="I24" s="533" t="str">
        <f>IF(NOT(ISBLANK($I$19)),$I$19,"  ")</f>
        <v xml:space="preserve">  </v>
      </c>
      <c r="R24" s="535"/>
      <c r="S24" s="535"/>
      <c r="T24" s="535"/>
    </row>
    <row r="25" spans="1:20" s="534" customFormat="1" ht="25.5">
      <c r="A25" s="524">
        <f t="shared" si="0"/>
        <v>553</v>
      </c>
      <c r="B25" s="531"/>
      <c r="C25" s="531" t="s">
        <v>816</v>
      </c>
      <c r="D25" s="540" t="s">
        <v>369</v>
      </c>
      <c r="E25" s="532"/>
      <c r="F25" s="754"/>
      <c r="G25" s="754"/>
      <c r="H25" s="754"/>
      <c r="I25" s="533" t="str">
        <f>IF(NOT(ISBLANK($I$19)),$I$19,"  ")</f>
        <v xml:space="preserve">  </v>
      </c>
      <c r="R25" s="535"/>
      <c r="S25" s="535"/>
      <c r="T25" s="535"/>
    </row>
    <row r="26" spans="1:20" s="529" customFormat="1">
      <c r="A26" s="524">
        <f t="shared" si="0"/>
        <v>554</v>
      </c>
      <c r="B26" s="525" t="s">
        <v>817</v>
      </c>
      <c r="C26" s="526"/>
      <c r="D26" s="526"/>
      <c r="E26" s="538"/>
      <c r="F26" s="749"/>
      <c r="G26" s="749"/>
      <c r="H26" s="749"/>
      <c r="I26" s="528"/>
      <c r="R26" s="530"/>
      <c r="S26" s="530"/>
      <c r="T26" s="530"/>
    </row>
    <row r="27" spans="1:20" s="534" customFormat="1">
      <c r="A27" s="524">
        <f t="shared" si="0"/>
        <v>555</v>
      </c>
      <c r="B27" s="531"/>
      <c r="C27" s="531" t="s">
        <v>14</v>
      </c>
      <c r="D27" s="540" t="s">
        <v>369</v>
      </c>
      <c r="E27" s="532"/>
      <c r="F27" s="754"/>
      <c r="G27" s="754"/>
      <c r="H27" s="754"/>
      <c r="I27" s="533" t="str">
        <f t="shared" ref="I27:I38" si="1">IF(NOT(ISBLANK($I$19)),$I$19,"  ")</f>
        <v xml:space="preserve">  </v>
      </c>
      <c r="R27" s="535"/>
      <c r="S27" s="535"/>
      <c r="T27" s="535"/>
    </row>
    <row r="28" spans="1:20" s="534" customFormat="1" ht="25.5">
      <c r="A28" s="524">
        <f t="shared" si="0"/>
        <v>556</v>
      </c>
      <c r="B28" s="531"/>
      <c r="C28" s="531" t="s">
        <v>15</v>
      </c>
      <c r="D28" s="540" t="s">
        <v>369</v>
      </c>
      <c r="E28" s="532"/>
      <c r="F28" s="754"/>
      <c r="G28" s="754"/>
      <c r="H28" s="754"/>
      <c r="I28" s="533" t="str">
        <f t="shared" si="1"/>
        <v xml:space="preserve">  </v>
      </c>
      <c r="R28" s="535"/>
      <c r="S28" s="535"/>
      <c r="T28" s="535"/>
    </row>
    <row r="29" spans="1:20" s="534" customFormat="1">
      <c r="A29" s="524">
        <f t="shared" si="0"/>
        <v>557</v>
      </c>
      <c r="B29" s="531"/>
      <c r="C29" s="531" t="s">
        <v>818</v>
      </c>
      <c r="D29" s="540" t="s">
        <v>369</v>
      </c>
      <c r="E29" s="532"/>
      <c r="F29" s="754"/>
      <c r="G29" s="754"/>
      <c r="H29" s="754"/>
      <c r="I29" s="533" t="str">
        <f t="shared" si="1"/>
        <v xml:space="preserve">  </v>
      </c>
      <c r="R29" s="535"/>
      <c r="S29" s="535"/>
      <c r="T29" s="535"/>
    </row>
    <row r="30" spans="1:20" s="534" customFormat="1" ht="25.5">
      <c r="A30" s="524">
        <f t="shared" si="0"/>
        <v>558</v>
      </c>
      <c r="B30" s="531"/>
      <c r="C30" s="531" t="s">
        <v>17</v>
      </c>
      <c r="D30" s="540" t="s">
        <v>369</v>
      </c>
      <c r="E30" s="532"/>
      <c r="F30" s="754"/>
      <c r="G30" s="754"/>
      <c r="H30" s="754"/>
      <c r="I30" s="533" t="str">
        <f t="shared" si="1"/>
        <v xml:space="preserve">  </v>
      </c>
      <c r="R30" s="535"/>
      <c r="S30" s="535"/>
      <c r="T30" s="535"/>
    </row>
    <row r="31" spans="1:20" s="534" customFormat="1" ht="25.5">
      <c r="A31" s="524">
        <f t="shared" si="0"/>
        <v>559</v>
      </c>
      <c r="B31" s="531"/>
      <c r="C31" s="531" t="s">
        <v>19</v>
      </c>
      <c r="D31" s="540" t="s">
        <v>369</v>
      </c>
      <c r="E31" s="532"/>
      <c r="F31" s="754"/>
      <c r="G31" s="754"/>
      <c r="H31" s="754"/>
      <c r="I31" s="533" t="str">
        <f t="shared" si="1"/>
        <v xml:space="preserve">  </v>
      </c>
      <c r="R31" s="535"/>
      <c r="S31" s="535"/>
      <c r="T31" s="535"/>
    </row>
    <row r="32" spans="1:20" s="534" customFormat="1" ht="25.5">
      <c r="A32" s="524">
        <f t="shared" si="0"/>
        <v>560</v>
      </c>
      <c r="B32" s="531"/>
      <c r="C32" s="531" t="s">
        <v>819</v>
      </c>
      <c r="D32" s="540" t="s">
        <v>369</v>
      </c>
      <c r="E32" s="532"/>
      <c r="F32" s="755"/>
      <c r="G32" s="755"/>
      <c r="H32" s="755"/>
      <c r="I32" s="533" t="str">
        <f t="shared" si="1"/>
        <v xml:space="preserve">  </v>
      </c>
      <c r="R32" s="535"/>
      <c r="S32" s="535"/>
      <c r="T32" s="535"/>
    </row>
    <row r="33" spans="1:20" s="534" customFormat="1" ht="25.5">
      <c r="A33" s="524">
        <f t="shared" si="0"/>
        <v>561</v>
      </c>
      <c r="B33" s="531"/>
      <c r="C33" s="531" t="s">
        <v>21</v>
      </c>
      <c r="D33" s="540" t="s">
        <v>369</v>
      </c>
      <c r="E33" s="532"/>
      <c r="F33" s="755"/>
      <c r="G33" s="755"/>
      <c r="H33" s="755"/>
      <c r="I33" s="533" t="str">
        <f t="shared" si="1"/>
        <v xml:space="preserve">  </v>
      </c>
      <c r="R33" s="535"/>
      <c r="S33" s="535"/>
      <c r="T33" s="535"/>
    </row>
    <row r="34" spans="1:20" s="534" customFormat="1" ht="25.5">
      <c r="A34" s="524">
        <f t="shared" si="0"/>
        <v>562</v>
      </c>
      <c r="B34" s="531"/>
      <c r="C34" s="531" t="s">
        <v>412</v>
      </c>
      <c r="D34" s="540" t="s">
        <v>369</v>
      </c>
      <c r="E34" s="532"/>
      <c r="F34" s="755"/>
      <c r="G34" s="755"/>
      <c r="H34" s="755"/>
      <c r="I34" s="533" t="str">
        <f t="shared" si="1"/>
        <v xml:space="preserve">  </v>
      </c>
      <c r="R34" s="535"/>
      <c r="S34" s="535"/>
      <c r="T34" s="535"/>
    </row>
    <row r="35" spans="1:20" s="534" customFormat="1">
      <c r="A35" s="524">
        <f t="shared" si="0"/>
        <v>563</v>
      </c>
      <c r="B35" s="531"/>
      <c r="C35" s="531" t="s">
        <v>820</v>
      </c>
      <c r="D35" s="540" t="s">
        <v>369</v>
      </c>
      <c r="E35" s="532"/>
      <c r="F35" s="755"/>
      <c r="G35" s="755"/>
      <c r="H35" s="755"/>
      <c r="I35" s="533" t="str">
        <f t="shared" si="1"/>
        <v xml:space="preserve">  </v>
      </c>
      <c r="R35" s="535"/>
      <c r="S35" s="535"/>
      <c r="T35" s="535"/>
    </row>
    <row r="36" spans="1:20" s="534" customFormat="1" ht="25.5">
      <c r="A36" s="524">
        <f t="shared" si="0"/>
        <v>564</v>
      </c>
      <c r="B36" s="531"/>
      <c r="C36" s="531" t="s">
        <v>738</v>
      </c>
      <c r="D36" s="540" t="s">
        <v>369</v>
      </c>
      <c r="E36" s="532"/>
      <c r="F36" s="755"/>
      <c r="G36" s="755"/>
      <c r="H36" s="755"/>
      <c r="I36" s="533" t="str">
        <f t="shared" si="1"/>
        <v xml:space="preserve">  </v>
      </c>
      <c r="R36" s="535"/>
      <c r="S36" s="535"/>
      <c r="T36" s="535"/>
    </row>
    <row r="37" spans="1:20" s="534" customFormat="1" ht="25.5">
      <c r="A37" s="524">
        <f t="shared" si="0"/>
        <v>565</v>
      </c>
      <c r="B37" s="531"/>
      <c r="C37" s="531" t="s">
        <v>821</v>
      </c>
      <c r="D37" s="540" t="s">
        <v>369</v>
      </c>
      <c r="E37" s="532"/>
      <c r="F37" s="754"/>
      <c r="G37" s="754"/>
      <c r="H37" s="754"/>
      <c r="I37" s="533" t="str">
        <f t="shared" si="1"/>
        <v xml:space="preserve">  </v>
      </c>
      <c r="R37" s="535"/>
      <c r="S37" s="535"/>
      <c r="T37" s="535"/>
    </row>
    <row r="38" spans="1:20" s="534" customFormat="1" ht="25.5">
      <c r="A38" s="524">
        <f t="shared" si="0"/>
        <v>566</v>
      </c>
      <c r="B38" s="531"/>
      <c r="C38" s="531" t="s">
        <v>822</v>
      </c>
      <c r="D38" s="540" t="s">
        <v>369</v>
      </c>
      <c r="E38" s="532"/>
      <c r="F38" s="754"/>
      <c r="G38" s="754"/>
      <c r="H38" s="754"/>
      <c r="I38" s="533" t="str">
        <f t="shared" si="1"/>
        <v xml:space="preserve">  </v>
      </c>
      <c r="R38" s="535"/>
      <c r="S38" s="535"/>
      <c r="T38" s="535"/>
    </row>
    <row r="39" spans="1:20" s="529" customFormat="1">
      <c r="A39" s="524">
        <f t="shared" si="0"/>
        <v>567</v>
      </c>
      <c r="B39" s="525" t="s">
        <v>823</v>
      </c>
      <c r="C39" s="526"/>
      <c r="D39" s="526"/>
      <c r="E39" s="538"/>
      <c r="F39" s="749"/>
      <c r="G39" s="749"/>
      <c r="H39" s="749"/>
      <c r="I39" s="528"/>
      <c r="R39" s="530"/>
      <c r="S39" s="530"/>
      <c r="T39" s="530"/>
    </row>
    <row r="40" spans="1:20" s="529" customFormat="1" ht="25.5">
      <c r="A40" s="524">
        <f t="shared" si="0"/>
        <v>568</v>
      </c>
      <c r="B40" s="525"/>
      <c r="C40" s="531" t="s">
        <v>25</v>
      </c>
      <c r="D40" s="540" t="s">
        <v>365</v>
      </c>
      <c r="E40" s="532"/>
      <c r="F40" s="756"/>
      <c r="G40" s="756"/>
      <c r="H40" s="756"/>
      <c r="I40" s="533" t="str">
        <f>IF(NOT(ISBLANK($I$19)),$I$19,"  ")</f>
        <v xml:space="preserve">  </v>
      </c>
      <c r="R40" s="530"/>
      <c r="S40" s="530"/>
      <c r="T40" s="530"/>
    </row>
    <row r="41" spans="1:20" s="529" customFormat="1">
      <c r="A41" s="524">
        <f t="shared" si="0"/>
        <v>569</v>
      </c>
      <c r="B41" s="525"/>
      <c r="C41" s="531" t="s">
        <v>26</v>
      </c>
      <c r="D41" s="540" t="s">
        <v>365</v>
      </c>
      <c r="E41" s="532"/>
      <c r="F41" s="756"/>
      <c r="G41" s="756"/>
      <c r="H41" s="756"/>
      <c r="I41" s="533" t="str">
        <f>IF(NOT(ISBLANK($I$19)),$I$19,"  ")</f>
        <v xml:space="preserve">  </v>
      </c>
      <c r="R41" s="530"/>
      <c r="S41" s="530"/>
      <c r="T41" s="530"/>
    </row>
    <row r="42" spans="1:20" s="529" customFormat="1" ht="25.5">
      <c r="A42" s="524">
        <f t="shared" si="0"/>
        <v>570</v>
      </c>
      <c r="B42" s="525"/>
      <c r="C42" s="531" t="s">
        <v>392</v>
      </c>
      <c r="D42" s="540" t="s">
        <v>365</v>
      </c>
      <c r="E42" s="532"/>
      <c r="F42" s="756"/>
      <c r="G42" s="756"/>
      <c r="H42" s="756"/>
      <c r="I42" s="533" t="str">
        <f>IF(NOT(ISBLANK($I$19)),$I$19,"  ")</f>
        <v xml:space="preserve">  </v>
      </c>
      <c r="R42" s="530"/>
      <c r="S42" s="530"/>
      <c r="T42" s="530"/>
    </row>
    <row r="43" spans="1:20" s="529" customFormat="1">
      <c r="A43" s="524">
        <f t="shared" si="0"/>
        <v>571</v>
      </c>
      <c r="B43" s="525" t="s">
        <v>824</v>
      </c>
      <c r="C43" s="526"/>
      <c r="D43" s="526"/>
      <c r="E43" s="538"/>
      <c r="F43" s="749"/>
      <c r="G43" s="749"/>
      <c r="H43" s="749"/>
      <c r="I43" s="528"/>
      <c r="R43" s="530"/>
      <c r="S43" s="530"/>
      <c r="T43" s="530"/>
    </row>
    <row r="44" spans="1:20" s="534" customFormat="1" ht="25.5">
      <c r="A44" s="524">
        <f t="shared" si="0"/>
        <v>572</v>
      </c>
      <c r="B44" s="531"/>
      <c r="C44" s="531" t="s">
        <v>33</v>
      </c>
      <c r="D44" s="540" t="s">
        <v>365</v>
      </c>
      <c r="E44" s="532"/>
      <c r="F44" s="754"/>
      <c r="G44" s="754"/>
      <c r="H44" s="754"/>
      <c r="I44" s="533" t="str">
        <f t="shared" ref="I44:I51" si="2">IF(NOT(ISBLANK($I$19)),$I$19,"  ")</f>
        <v xml:space="preserve">  </v>
      </c>
      <c r="R44" s="535"/>
      <c r="S44" s="535"/>
      <c r="T44" s="535"/>
    </row>
    <row r="45" spans="1:20" s="534" customFormat="1" ht="25.5">
      <c r="A45" s="524">
        <f t="shared" si="0"/>
        <v>573</v>
      </c>
      <c r="B45" s="531"/>
      <c r="C45" s="531" t="s">
        <v>34</v>
      </c>
      <c r="D45" s="540" t="s">
        <v>365</v>
      </c>
      <c r="E45" s="532"/>
      <c r="F45" s="755"/>
      <c r="G45" s="755"/>
      <c r="H45" s="755"/>
      <c r="I45" s="533" t="str">
        <f t="shared" si="2"/>
        <v xml:space="preserve">  </v>
      </c>
      <c r="R45" s="535"/>
      <c r="S45" s="535"/>
      <c r="T45" s="535"/>
    </row>
    <row r="46" spans="1:20" s="534" customFormat="1">
      <c r="A46" s="524">
        <f t="shared" si="0"/>
        <v>574</v>
      </c>
      <c r="B46" s="531"/>
      <c r="C46" s="531" t="s">
        <v>38</v>
      </c>
      <c r="D46" s="540" t="s">
        <v>365</v>
      </c>
      <c r="E46" s="532"/>
      <c r="F46" s="755"/>
      <c r="G46" s="755"/>
      <c r="H46" s="755"/>
      <c r="I46" s="533" t="str">
        <f t="shared" si="2"/>
        <v xml:space="preserve">  </v>
      </c>
      <c r="R46" s="535"/>
      <c r="S46" s="535"/>
      <c r="T46" s="535"/>
    </row>
    <row r="47" spans="1:20" s="534" customFormat="1" ht="25.5">
      <c r="A47" s="524">
        <f t="shared" si="0"/>
        <v>575</v>
      </c>
      <c r="B47" s="531"/>
      <c r="C47" s="531" t="s">
        <v>39</v>
      </c>
      <c r="D47" s="540" t="s">
        <v>66</v>
      </c>
      <c r="E47" s="532"/>
      <c r="F47" s="755"/>
      <c r="G47" s="755"/>
      <c r="H47" s="755"/>
      <c r="I47" s="533" t="str">
        <f t="shared" si="2"/>
        <v xml:space="preserve">  </v>
      </c>
      <c r="R47" s="535"/>
      <c r="S47" s="535"/>
      <c r="T47" s="535"/>
    </row>
    <row r="48" spans="1:20" s="534" customFormat="1" ht="25.5">
      <c r="A48" s="524">
        <f t="shared" si="0"/>
        <v>576</v>
      </c>
      <c r="B48" s="531"/>
      <c r="C48" s="531" t="s">
        <v>40</v>
      </c>
      <c r="D48" s="540" t="s">
        <v>365</v>
      </c>
      <c r="E48" s="532"/>
      <c r="F48" s="755"/>
      <c r="G48" s="755"/>
      <c r="H48" s="755"/>
      <c r="I48" s="533" t="str">
        <f t="shared" si="2"/>
        <v xml:space="preserve">  </v>
      </c>
      <c r="R48" s="535"/>
      <c r="S48" s="535"/>
      <c r="T48" s="535"/>
    </row>
    <row r="49" spans="1:20" s="534" customFormat="1" ht="25.5">
      <c r="A49" s="524">
        <f t="shared" si="0"/>
        <v>577</v>
      </c>
      <c r="B49" s="531"/>
      <c r="C49" s="531" t="s">
        <v>42</v>
      </c>
      <c r="D49" s="540" t="s">
        <v>365</v>
      </c>
      <c r="E49" s="532"/>
      <c r="F49" s="755"/>
      <c r="G49" s="755"/>
      <c r="H49" s="755"/>
      <c r="I49" s="533" t="str">
        <f t="shared" si="2"/>
        <v xml:space="preserve">  </v>
      </c>
      <c r="R49" s="535"/>
      <c r="S49" s="535"/>
      <c r="T49" s="535"/>
    </row>
    <row r="50" spans="1:20" s="534" customFormat="1">
      <c r="A50" s="524">
        <f t="shared" si="0"/>
        <v>578</v>
      </c>
      <c r="B50" s="531"/>
      <c r="C50" s="531" t="s">
        <v>45</v>
      </c>
      <c r="D50" s="540" t="s">
        <v>365</v>
      </c>
      <c r="E50" s="532"/>
      <c r="F50" s="755"/>
      <c r="G50" s="755"/>
      <c r="H50" s="755"/>
      <c r="I50" s="533" t="str">
        <f t="shared" si="2"/>
        <v xml:space="preserve">  </v>
      </c>
      <c r="R50" s="535"/>
      <c r="S50" s="535"/>
      <c r="T50" s="535"/>
    </row>
    <row r="51" spans="1:20" s="534" customFormat="1" ht="25.5">
      <c r="A51" s="524">
        <f t="shared" si="0"/>
        <v>579</v>
      </c>
      <c r="B51" s="531"/>
      <c r="C51" s="531" t="s">
        <v>46</v>
      </c>
      <c r="D51" s="540" t="s">
        <v>365</v>
      </c>
      <c r="E51" s="532"/>
      <c r="F51" s="755"/>
      <c r="G51" s="755"/>
      <c r="H51" s="755"/>
      <c r="I51" s="533" t="str">
        <f t="shared" si="2"/>
        <v xml:space="preserve">  </v>
      </c>
      <c r="R51" s="535"/>
      <c r="S51" s="535"/>
      <c r="T51" s="535"/>
    </row>
    <row r="52" spans="1:20" s="529" customFormat="1">
      <c r="A52" s="524">
        <f t="shared" si="0"/>
        <v>580</v>
      </c>
      <c r="B52" s="525" t="s">
        <v>182</v>
      </c>
      <c r="C52" s="526"/>
      <c r="D52" s="526"/>
      <c r="E52" s="538"/>
      <c r="F52" s="749"/>
      <c r="G52" s="749"/>
      <c r="H52" s="749"/>
      <c r="I52" s="528"/>
      <c r="R52" s="530"/>
      <c r="S52" s="530"/>
      <c r="T52" s="530"/>
    </row>
    <row r="53" spans="1:20" s="529" customFormat="1">
      <c r="A53" s="524">
        <f t="shared" si="0"/>
        <v>581</v>
      </c>
      <c r="B53" s="531"/>
      <c r="C53" s="531" t="s">
        <v>825</v>
      </c>
      <c r="D53" s="540" t="s">
        <v>365</v>
      </c>
      <c r="E53" s="532"/>
      <c r="F53" s="755"/>
      <c r="G53" s="755"/>
      <c r="H53" s="755"/>
      <c r="I53" s="533" t="str">
        <f t="shared" ref="I53:I59" si="3">IF(NOT(ISBLANK($I$19)),$I$19,"  ")</f>
        <v xml:space="preserve">  </v>
      </c>
      <c r="R53" s="530"/>
      <c r="S53" s="530"/>
      <c r="T53" s="530"/>
    </row>
    <row r="54" spans="1:20" s="529" customFormat="1" ht="25.5">
      <c r="A54" s="524">
        <f t="shared" si="0"/>
        <v>582</v>
      </c>
      <c r="B54" s="531"/>
      <c r="C54" s="531" t="s">
        <v>826</v>
      </c>
      <c r="D54" s="540" t="s">
        <v>365</v>
      </c>
      <c r="E54" s="532"/>
      <c r="F54" s="755"/>
      <c r="G54" s="755"/>
      <c r="H54" s="755"/>
      <c r="I54" s="533" t="str">
        <f t="shared" si="3"/>
        <v xml:space="preserve">  </v>
      </c>
      <c r="R54" s="530"/>
      <c r="S54" s="530"/>
      <c r="T54" s="530"/>
    </row>
    <row r="55" spans="1:20" s="529" customFormat="1" ht="25.5">
      <c r="A55" s="524">
        <f t="shared" si="0"/>
        <v>583</v>
      </c>
      <c r="B55" s="531"/>
      <c r="C55" s="531" t="s">
        <v>827</v>
      </c>
      <c r="D55" s="540" t="s">
        <v>365</v>
      </c>
      <c r="E55" s="532"/>
      <c r="F55" s="755"/>
      <c r="G55" s="755"/>
      <c r="H55" s="755"/>
      <c r="I55" s="533" t="str">
        <f t="shared" si="3"/>
        <v xml:space="preserve">  </v>
      </c>
      <c r="R55" s="530"/>
      <c r="S55" s="530"/>
      <c r="T55" s="530"/>
    </row>
    <row r="56" spans="1:20" s="529" customFormat="1" ht="25.5">
      <c r="A56" s="524">
        <f t="shared" si="0"/>
        <v>584</v>
      </c>
      <c r="B56" s="531"/>
      <c r="C56" s="531" t="s">
        <v>828</v>
      </c>
      <c r="D56" s="540" t="s">
        <v>365</v>
      </c>
      <c r="E56" s="532"/>
      <c r="F56" s="755"/>
      <c r="G56" s="755"/>
      <c r="H56" s="755"/>
      <c r="I56" s="533" t="str">
        <f t="shared" si="3"/>
        <v xml:space="preserve">  </v>
      </c>
      <c r="R56" s="530"/>
      <c r="S56" s="530"/>
      <c r="T56" s="530"/>
    </row>
    <row r="57" spans="1:20" s="529" customFormat="1" ht="25.5">
      <c r="A57" s="524">
        <f t="shared" si="0"/>
        <v>585</v>
      </c>
      <c r="B57" s="531"/>
      <c r="C57" s="531" t="s">
        <v>829</v>
      </c>
      <c r="D57" s="540" t="s">
        <v>365</v>
      </c>
      <c r="E57" s="532"/>
      <c r="F57" s="755"/>
      <c r="G57" s="755"/>
      <c r="H57" s="755"/>
      <c r="I57" s="533" t="str">
        <f t="shared" si="3"/>
        <v xml:space="preserve">  </v>
      </c>
      <c r="R57" s="530"/>
      <c r="S57" s="530"/>
      <c r="T57" s="530"/>
    </row>
    <row r="58" spans="1:20" s="529" customFormat="1" ht="25.5">
      <c r="A58" s="524">
        <f t="shared" si="0"/>
        <v>586</v>
      </c>
      <c r="B58" s="531"/>
      <c r="C58" s="531" t="s">
        <v>830</v>
      </c>
      <c r="D58" s="540" t="s">
        <v>365</v>
      </c>
      <c r="E58" s="532"/>
      <c r="F58" s="755"/>
      <c r="G58" s="755"/>
      <c r="H58" s="755"/>
      <c r="I58" s="533" t="str">
        <f t="shared" si="3"/>
        <v xml:space="preserve">  </v>
      </c>
      <c r="R58" s="530"/>
      <c r="S58" s="530"/>
      <c r="T58" s="530"/>
    </row>
    <row r="59" spans="1:20" s="529" customFormat="1" ht="38.25">
      <c r="A59" s="524">
        <f t="shared" si="0"/>
        <v>587</v>
      </c>
      <c r="B59" s="531"/>
      <c r="C59" s="531" t="s">
        <v>831</v>
      </c>
      <c r="D59" s="540" t="s">
        <v>365</v>
      </c>
      <c r="E59" s="532"/>
      <c r="F59" s="755"/>
      <c r="G59" s="755"/>
      <c r="H59" s="755"/>
      <c r="I59" s="533" t="str">
        <f t="shared" si="3"/>
        <v xml:space="preserve">  </v>
      </c>
      <c r="R59" s="530"/>
      <c r="S59" s="530"/>
      <c r="T59" s="530"/>
    </row>
    <row r="60" spans="1:20" s="529" customFormat="1">
      <c r="A60" s="524">
        <f t="shared" si="0"/>
        <v>588</v>
      </c>
      <c r="B60" s="525" t="s">
        <v>185</v>
      </c>
      <c r="C60" s="526"/>
      <c r="D60" s="526"/>
      <c r="E60" s="538"/>
      <c r="F60" s="749"/>
      <c r="G60" s="749"/>
      <c r="H60" s="749"/>
      <c r="I60" s="541"/>
      <c r="R60" s="530"/>
      <c r="S60" s="530"/>
      <c r="T60" s="530"/>
    </row>
    <row r="61" spans="1:20" s="534" customFormat="1" ht="25.5">
      <c r="A61" s="524">
        <f t="shared" si="0"/>
        <v>589</v>
      </c>
      <c r="B61" s="531"/>
      <c r="C61" s="531" t="s">
        <v>186</v>
      </c>
      <c r="D61" s="540" t="s">
        <v>361</v>
      </c>
      <c r="E61" s="532"/>
      <c r="F61" s="754"/>
      <c r="G61" s="754"/>
      <c r="H61" s="754"/>
      <c r="I61" s="533" t="str">
        <f>IF(NOT(ISBLANK($I$19)),$I$19,"  ")</f>
        <v xml:space="preserve">  </v>
      </c>
      <c r="R61" s="535"/>
      <c r="S61" s="535"/>
      <c r="T61" s="535"/>
    </row>
    <row r="62" spans="1:20" s="534" customFormat="1" ht="25.5">
      <c r="A62" s="524">
        <f t="shared" si="0"/>
        <v>590</v>
      </c>
      <c r="B62" s="531"/>
      <c r="C62" s="531" t="s">
        <v>187</v>
      </c>
      <c r="D62" s="540" t="s">
        <v>361</v>
      </c>
      <c r="E62" s="532"/>
      <c r="F62" s="754"/>
      <c r="G62" s="754"/>
      <c r="H62" s="754"/>
      <c r="I62" s="533" t="str">
        <f>IF(NOT(ISBLANK($I$19)),$I$19,"  ")</f>
        <v xml:space="preserve">  </v>
      </c>
      <c r="R62" s="535"/>
      <c r="S62" s="535"/>
      <c r="T62" s="535"/>
    </row>
    <row r="63" spans="1:20" s="529" customFormat="1">
      <c r="A63" s="524">
        <f t="shared" si="0"/>
        <v>591</v>
      </c>
      <c r="B63" s="525" t="s">
        <v>220</v>
      </c>
      <c r="C63" s="526"/>
      <c r="D63" s="526"/>
      <c r="E63" s="538"/>
      <c r="F63" s="749"/>
      <c r="G63" s="749"/>
      <c r="H63" s="749"/>
      <c r="I63" s="528"/>
      <c r="R63" s="530"/>
      <c r="S63" s="530"/>
      <c r="T63" s="530"/>
    </row>
    <row r="64" spans="1:20" s="534" customFormat="1" ht="25.5">
      <c r="A64" s="524">
        <f t="shared" si="0"/>
        <v>592</v>
      </c>
      <c r="B64" s="531"/>
      <c r="C64" s="531" t="s">
        <v>189</v>
      </c>
      <c r="D64" s="540" t="s">
        <v>368</v>
      </c>
      <c r="E64" s="532"/>
      <c r="F64" s="754"/>
      <c r="G64" s="754"/>
      <c r="H64" s="754"/>
      <c r="I64" s="533" t="str">
        <f>IF(NOT(ISBLANK($I$19)),$I$19,"  ")</f>
        <v xml:space="preserve">  </v>
      </c>
      <c r="R64" s="535"/>
      <c r="S64" s="535"/>
      <c r="T64" s="535"/>
    </row>
    <row r="65" spans="1:20" s="534" customFormat="1" ht="25.5">
      <c r="A65" s="524">
        <f t="shared" si="0"/>
        <v>593</v>
      </c>
      <c r="B65" s="531"/>
      <c r="C65" s="531" t="s">
        <v>190</v>
      </c>
      <c r="D65" s="540" t="s">
        <v>371</v>
      </c>
      <c r="E65" s="532"/>
      <c r="F65" s="754"/>
      <c r="G65" s="754"/>
      <c r="H65" s="754"/>
      <c r="I65" s="533" t="str">
        <f>IF(NOT(ISBLANK($I$19)),$I$19,"  ")</f>
        <v xml:space="preserve">  </v>
      </c>
      <c r="R65" s="535"/>
      <c r="S65" s="535"/>
      <c r="T65" s="535"/>
    </row>
    <row r="66" spans="1:20" s="534" customFormat="1">
      <c r="A66" s="524">
        <f t="shared" si="0"/>
        <v>594</v>
      </c>
      <c r="B66" s="531"/>
      <c r="C66" s="531" t="s">
        <v>191</v>
      </c>
      <c r="D66" s="540" t="s">
        <v>365</v>
      </c>
      <c r="E66" s="532"/>
      <c r="F66" s="754"/>
      <c r="G66" s="754"/>
      <c r="H66" s="754"/>
      <c r="I66" s="533" t="str">
        <f>IF(NOT(ISBLANK($I$19)),$I$19,"  ")</f>
        <v xml:space="preserve">  </v>
      </c>
      <c r="R66" s="535"/>
      <c r="S66" s="535"/>
      <c r="T66" s="535"/>
    </row>
    <row r="67" spans="1:20" s="534" customFormat="1" ht="25.5">
      <c r="A67" s="524">
        <f t="shared" si="0"/>
        <v>595</v>
      </c>
      <c r="B67" s="542"/>
      <c r="C67" s="531" t="s">
        <v>54</v>
      </c>
      <c r="D67" s="540" t="s">
        <v>365</v>
      </c>
      <c r="E67" s="532"/>
      <c r="F67" s="754"/>
      <c r="G67" s="754"/>
      <c r="H67" s="754"/>
      <c r="I67" s="533" t="str">
        <f>IF(NOT(ISBLANK($I$19)),$I$19,"  ")</f>
        <v xml:space="preserve">  </v>
      </c>
      <c r="R67" s="535"/>
      <c r="S67" s="535"/>
      <c r="T67" s="535"/>
    </row>
    <row r="68" spans="1:20" s="529" customFormat="1">
      <c r="A68" s="543"/>
      <c r="B68" s="544" t="s">
        <v>132</v>
      </c>
      <c r="C68" s="544"/>
      <c r="D68" s="544"/>
      <c r="E68" s="545"/>
      <c r="F68" s="758"/>
      <c r="G68" s="758"/>
      <c r="H68" s="758"/>
      <c r="I68" s="546"/>
    </row>
    <row r="69" spans="1:20" s="529" customFormat="1">
      <c r="A69" s="757"/>
      <c r="B69" s="757"/>
      <c r="C69" s="757"/>
      <c r="D69" s="757"/>
      <c r="E69" s="757"/>
      <c r="F69" s="757"/>
      <c r="G69" s="757"/>
      <c r="H69" s="757"/>
      <c r="I69" s="757"/>
    </row>
    <row r="70" spans="1:20" s="529" customFormat="1">
      <c r="A70" s="757"/>
      <c r="B70" s="757"/>
      <c r="C70" s="757"/>
      <c r="D70" s="757"/>
      <c r="E70" s="757"/>
      <c r="F70" s="757"/>
      <c r="G70" s="757"/>
      <c r="H70" s="757"/>
      <c r="I70" s="757"/>
    </row>
    <row r="71" spans="1:20" customFormat="1">
      <c r="A71" s="757"/>
      <c r="B71" s="757"/>
      <c r="C71" s="757"/>
      <c r="D71" s="757"/>
      <c r="E71" s="757"/>
      <c r="F71" s="757"/>
      <c r="G71" s="757"/>
      <c r="H71" s="757"/>
      <c r="I71" s="757"/>
      <c r="J71" s="547"/>
      <c r="K71" s="547"/>
      <c r="L71" s="547"/>
      <c r="M71" s="547"/>
      <c r="N71" s="547"/>
      <c r="O71" s="547"/>
      <c r="P71" s="547"/>
      <c r="Q71" s="547"/>
      <c r="R71" s="547"/>
      <c r="S71" s="547"/>
      <c r="T71" s="547"/>
    </row>
    <row r="72" spans="1:20" customFormat="1">
      <c r="A72" s="757"/>
      <c r="B72" s="757"/>
      <c r="C72" s="757"/>
      <c r="D72" s="757"/>
      <c r="E72" s="757"/>
      <c r="F72" s="757"/>
      <c r="G72" s="757"/>
      <c r="H72" s="757"/>
      <c r="I72" s="757"/>
      <c r="J72" s="547"/>
      <c r="K72" s="547"/>
      <c r="L72" s="547"/>
      <c r="M72" s="547"/>
      <c r="N72" s="547"/>
      <c r="O72" s="547"/>
      <c r="P72" s="547"/>
      <c r="Q72" s="547"/>
      <c r="R72" s="547"/>
      <c r="S72" s="547"/>
      <c r="T72" s="547"/>
    </row>
    <row r="73" spans="1:20" customFormat="1">
      <c r="A73" s="757"/>
      <c r="B73" s="757"/>
      <c r="C73" s="757"/>
      <c r="D73" s="757"/>
      <c r="E73" s="757"/>
      <c r="F73" s="757"/>
      <c r="G73" s="757"/>
      <c r="H73" s="757"/>
      <c r="I73" s="757"/>
      <c r="J73" s="547"/>
      <c r="K73" s="547"/>
      <c r="L73" s="547"/>
      <c r="M73" s="547"/>
      <c r="N73" s="547"/>
      <c r="O73" s="547"/>
      <c r="P73" s="547"/>
      <c r="Q73" s="547"/>
      <c r="R73" s="547"/>
      <c r="S73" s="547"/>
      <c r="T73" s="547"/>
    </row>
    <row r="74" spans="1:20" customFormat="1">
      <c r="A74" s="757"/>
      <c r="B74" s="757"/>
      <c r="C74" s="757"/>
      <c r="D74" s="757"/>
      <c r="E74" s="757"/>
      <c r="F74" s="757"/>
      <c r="G74" s="757"/>
      <c r="H74" s="757"/>
      <c r="I74" s="757"/>
      <c r="J74" s="547"/>
      <c r="K74" s="547"/>
      <c r="L74" s="547"/>
      <c r="M74" s="547"/>
      <c r="N74" s="547"/>
      <c r="O74" s="547"/>
      <c r="P74" s="547"/>
      <c r="Q74" s="547"/>
      <c r="R74" s="547"/>
      <c r="S74" s="547"/>
      <c r="T74" s="547"/>
    </row>
  </sheetData>
  <mergeCells count="61">
    <mergeCell ref="A69:I74"/>
    <mergeCell ref="F63:H63"/>
    <mergeCell ref="F64:H64"/>
    <mergeCell ref="F65:H65"/>
    <mergeCell ref="F66:H66"/>
    <mergeCell ref="F67:H67"/>
    <mergeCell ref="F68:H68"/>
    <mergeCell ref="F62:H62"/>
    <mergeCell ref="F51:H51"/>
    <mergeCell ref="F52:H52"/>
    <mergeCell ref="F53:H53"/>
    <mergeCell ref="F54:H54"/>
    <mergeCell ref="F55:H55"/>
    <mergeCell ref="F56:H56"/>
    <mergeCell ref="F57:H57"/>
    <mergeCell ref="F58:H58"/>
    <mergeCell ref="F59:H59"/>
    <mergeCell ref="F60:H60"/>
    <mergeCell ref="F61:H61"/>
    <mergeCell ref="F50:H50"/>
    <mergeCell ref="F39:H39"/>
    <mergeCell ref="F40:H40"/>
    <mergeCell ref="F41:H41"/>
    <mergeCell ref="F42:H42"/>
    <mergeCell ref="F43:H43"/>
    <mergeCell ref="F44:H44"/>
    <mergeCell ref="F45:H45"/>
    <mergeCell ref="F46:H46"/>
    <mergeCell ref="F47:H47"/>
    <mergeCell ref="F48:H48"/>
    <mergeCell ref="F49:H49"/>
    <mergeCell ref="F38:H38"/>
    <mergeCell ref="F27:H27"/>
    <mergeCell ref="F28:H28"/>
    <mergeCell ref="F29:H29"/>
    <mergeCell ref="F30:H30"/>
    <mergeCell ref="F31:H31"/>
    <mergeCell ref="F32:H32"/>
    <mergeCell ref="F33:H33"/>
    <mergeCell ref="F34:H34"/>
    <mergeCell ref="F35:H35"/>
    <mergeCell ref="F36:H36"/>
    <mergeCell ref="F37:H37"/>
    <mergeCell ref="F26:H26"/>
    <mergeCell ref="B14:H14"/>
    <mergeCell ref="C16:D16"/>
    <mergeCell ref="F17:H17"/>
    <mergeCell ref="F18:H18"/>
    <mergeCell ref="F19:H19"/>
    <mergeCell ref="F20:H20"/>
    <mergeCell ref="F21:H21"/>
    <mergeCell ref="F22:H22"/>
    <mergeCell ref="F23:H23"/>
    <mergeCell ref="F24:H24"/>
    <mergeCell ref="F25:H25"/>
    <mergeCell ref="B11:C11"/>
    <mergeCell ref="B2:C2"/>
    <mergeCell ref="D2:G2"/>
    <mergeCell ref="H2:I2"/>
    <mergeCell ref="A4:I4"/>
    <mergeCell ref="B10:C10"/>
  </mergeCells>
  <dataValidations count="2">
    <dataValidation type="list" allowBlank="1" showInputMessage="1" showErrorMessage="1" sqref="E22 E26 E39:E43 E52:E60 E63">
      <formula1>Resultados1</formula1>
      <formula2>0</formula2>
    </dataValidation>
    <dataValidation type="list" allowBlank="1" showInputMessage="1" showErrorMessage="1" sqref="E18:E21 E27:E38 E61:E62 E64:E67 E44:E51 E23:E25">
      <formula1>Resultados</formula1>
      <formula2>0</formula2>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MK59"/>
  <sheetViews>
    <sheetView showGridLines="0" workbookViewId="0">
      <selection activeCell="I10" sqref="I10"/>
    </sheetView>
  </sheetViews>
  <sheetFormatPr baseColWidth="10" defaultColWidth="9.140625" defaultRowHeight="12.75"/>
  <cols>
    <col min="1" max="1" width="9" style="547" customWidth="1"/>
    <col min="2" max="2" width="3.85546875" style="547" customWidth="1"/>
    <col min="3" max="3" width="53.5703125" style="547" customWidth="1"/>
    <col min="4" max="4" width="19.5703125" style="547" customWidth="1"/>
    <col min="5" max="5" width="15.85546875" style="547" customWidth="1"/>
    <col min="6" max="6" width="10.140625" style="547" customWidth="1"/>
    <col min="7" max="7" width="19.5703125" style="547" customWidth="1"/>
    <col min="8" max="8" width="32.5703125" style="547" bestFit="1" customWidth="1"/>
    <col min="9" max="9" width="15" style="548" customWidth="1"/>
    <col min="10" max="1025" width="11.42578125" style="547" customWidth="1"/>
  </cols>
  <sheetData>
    <row r="2" spans="1:20" s="503" customFormat="1" ht="42" customHeight="1">
      <c r="A2" s="502"/>
      <c r="B2" s="746"/>
      <c r="C2" s="746"/>
      <c r="D2" s="746" t="s">
        <v>573</v>
      </c>
      <c r="E2" s="746"/>
      <c r="F2" s="746"/>
      <c r="G2" s="746"/>
      <c r="H2" s="746"/>
      <c r="I2" s="746"/>
    </row>
    <row r="4" spans="1:20" s="504" customFormat="1" ht="15.75">
      <c r="A4" s="747" t="s">
        <v>832</v>
      </c>
      <c r="B4" s="747"/>
      <c r="C4" s="747"/>
      <c r="D4" s="747"/>
      <c r="E4" s="747"/>
      <c r="F4" s="747"/>
      <c r="G4" s="747"/>
      <c r="H4" s="747"/>
      <c r="I4" s="747"/>
    </row>
    <row r="5" spans="1:20" s="504" customFormat="1" ht="12">
      <c r="I5" s="505"/>
    </row>
    <row r="6" spans="1:20" s="504" customFormat="1">
      <c r="B6" s="506" t="s">
        <v>79</v>
      </c>
      <c r="C6" s="507"/>
      <c r="D6" s="388"/>
      <c r="E6" s="508"/>
      <c r="F6" s="508"/>
      <c r="G6" s="509" t="s">
        <v>451</v>
      </c>
      <c r="H6" s="387" t="str">
        <f>'Historial de Revisiones'!G4</f>
        <v>GOC-7089</v>
      </c>
      <c r="I6" s="505"/>
      <c r="K6" s="510"/>
    </row>
    <row r="7" spans="1:20" s="504" customFormat="1">
      <c r="B7" s="506" t="s">
        <v>80</v>
      </c>
      <c r="C7" s="507"/>
      <c r="D7" s="388"/>
      <c r="E7" s="508"/>
      <c r="F7" s="508"/>
      <c r="G7" s="509" t="s">
        <v>477</v>
      </c>
      <c r="H7" s="387" t="str">
        <f>'Historial de Revisiones'!G5</f>
        <v>GOC-7092</v>
      </c>
      <c r="I7" s="505"/>
      <c r="K7" s="510"/>
    </row>
    <row r="8" spans="1:20" s="504" customFormat="1">
      <c r="B8" s="506" t="s">
        <v>81</v>
      </c>
      <c r="C8" s="507"/>
      <c r="D8" s="393"/>
      <c r="E8" s="508"/>
      <c r="F8" s="508"/>
      <c r="G8" s="509" t="s">
        <v>124</v>
      </c>
      <c r="H8" s="387">
        <f>'Historial de Revisiones'!G6</f>
        <v>0</v>
      </c>
      <c r="I8" s="505"/>
    </row>
    <row r="9" spans="1:20" s="504" customFormat="1">
      <c r="B9" s="506" t="s">
        <v>82</v>
      </c>
      <c r="C9" s="507"/>
      <c r="D9" s="394"/>
      <c r="E9" s="508"/>
      <c r="F9" s="508"/>
      <c r="G9" s="509" t="s">
        <v>125</v>
      </c>
      <c r="H9" s="387" t="str">
        <f>'Historial de Revisiones'!G7</f>
        <v>Nombre desarrolllador</v>
      </c>
      <c r="I9" s="505"/>
    </row>
    <row r="10" spans="1:20" s="504" customFormat="1">
      <c r="B10" s="748" t="s">
        <v>83</v>
      </c>
      <c r="C10" s="748"/>
      <c r="D10" s="554"/>
      <c r="E10" s="508"/>
      <c r="F10" s="508"/>
      <c r="G10" s="509" t="s">
        <v>126</v>
      </c>
      <c r="H10" s="387" t="str">
        <f>'Historial de Revisiones'!G8</f>
        <v>Nombre de custodio</v>
      </c>
      <c r="I10" s="505"/>
    </row>
    <row r="11" spans="1:20" s="504" customFormat="1">
      <c r="B11" s="745"/>
      <c r="C11" s="745"/>
      <c r="D11" s="511"/>
      <c r="E11" s="508"/>
      <c r="F11" s="508"/>
      <c r="G11" s="509" t="s">
        <v>193</v>
      </c>
      <c r="H11" s="387">
        <f>'Historial de Revisiones'!G9</f>
        <v>0</v>
      </c>
      <c r="I11" s="505"/>
    </row>
    <row r="12" spans="1:20" s="504" customFormat="1" ht="12">
      <c r="E12" s="512"/>
      <c r="F12" s="512"/>
      <c r="G12" s="513"/>
      <c r="H12" s="514"/>
      <c r="I12" s="505"/>
    </row>
    <row r="13" spans="1:20" s="504" customFormat="1" ht="12">
      <c r="B13" s="504" t="s">
        <v>221</v>
      </c>
      <c r="I13" s="505"/>
      <c r="R13" s="515"/>
      <c r="S13" s="515"/>
      <c r="T13" s="515"/>
    </row>
    <row r="14" spans="1:20" s="504" customFormat="1" ht="26.25" customHeight="1">
      <c r="B14" s="750" t="s">
        <v>297</v>
      </c>
      <c r="C14" s="750"/>
      <c r="D14" s="750"/>
      <c r="E14" s="750"/>
      <c r="F14" s="750"/>
      <c r="G14" s="750"/>
      <c r="H14" s="750"/>
      <c r="I14" s="505"/>
      <c r="R14" s="515"/>
      <c r="S14" s="515"/>
      <c r="T14" s="515"/>
    </row>
    <row r="15" spans="1:20" s="504" customFormat="1" ht="12">
      <c r="B15" s="516"/>
      <c r="C15" s="516"/>
      <c r="D15" s="516"/>
      <c r="E15" s="516"/>
      <c r="F15" s="516"/>
      <c r="G15" s="516"/>
      <c r="H15" s="516"/>
      <c r="I15" s="505"/>
      <c r="R15" s="515"/>
      <c r="S15" s="515"/>
      <c r="T15" s="515"/>
    </row>
    <row r="16" spans="1:20" s="504" customFormat="1">
      <c r="B16" s="517" t="s">
        <v>386</v>
      </c>
      <c r="C16" s="751"/>
      <c r="D16" s="751"/>
      <c r="I16" s="505"/>
      <c r="R16" s="515"/>
      <c r="S16" s="515"/>
      <c r="T16" s="515"/>
    </row>
    <row r="17" spans="1:20" s="523" customFormat="1" ht="12">
      <c r="A17" s="518" t="s">
        <v>247</v>
      </c>
      <c r="B17" s="519" t="s">
        <v>246</v>
      </c>
      <c r="C17" s="520"/>
      <c r="D17" s="518" t="s">
        <v>360</v>
      </c>
      <c r="E17" s="521" t="s">
        <v>283</v>
      </c>
      <c r="F17" s="752" t="s">
        <v>253</v>
      </c>
      <c r="G17" s="752"/>
      <c r="H17" s="752"/>
      <c r="I17" s="522" t="s">
        <v>284</v>
      </c>
      <c r="K17" s="504"/>
      <c r="L17" s="504"/>
      <c r="M17" s="504"/>
      <c r="N17" s="504"/>
      <c r="O17" s="504"/>
      <c r="P17" s="504"/>
    </row>
    <row r="18" spans="1:20" s="529" customFormat="1">
      <c r="A18" s="524">
        <f>'CHK Técnico-ANGULAR'!$A$67+1</f>
        <v>596</v>
      </c>
      <c r="B18" s="525" t="s">
        <v>133</v>
      </c>
      <c r="C18" s="531"/>
      <c r="D18" s="526"/>
      <c r="E18" s="538"/>
      <c r="F18" s="759"/>
      <c r="G18" s="759"/>
      <c r="H18" s="759"/>
      <c r="I18" s="549"/>
      <c r="R18" s="530"/>
      <c r="S18" s="530"/>
      <c r="T18" s="530"/>
    </row>
    <row r="19" spans="1:20" s="534" customFormat="1" ht="25.5">
      <c r="A19" s="524">
        <f>A18+1</f>
        <v>597</v>
      </c>
      <c r="B19" s="531"/>
      <c r="C19" s="531" t="s">
        <v>833</v>
      </c>
      <c r="D19" s="531" t="s">
        <v>361</v>
      </c>
      <c r="E19" s="550"/>
      <c r="F19" s="755"/>
      <c r="G19" s="755"/>
      <c r="H19" s="755"/>
      <c r="I19" s="533"/>
      <c r="R19" s="535"/>
      <c r="S19" s="535"/>
      <c r="T19" s="535"/>
    </row>
    <row r="20" spans="1:20" s="534" customFormat="1" ht="25.5">
      <c r="A20" s="524">
        <f t="shared" ref="A20:A52" si="0">A19+1</f>
        <v>598</v>
      </c>
      <c r="B20" s="531"/>
      <c r="C20" s="531" t="s">
        <v>8</v>
      </c>
      <c r="D20" s="531" t="s">
        <v>361</v>
      </c>
      <c r="E20" s="551"/>
      <c r="F20" s="755"/>
      <c r="G20" s="755"/>
      <c r="H20" s="755"/>
      <c r="I20" s="533" t="str">
        <f>IF(NOT(ISBLANK($I$19)),$I$19,"  ")</f>
        <v xml:space="preserve">  </v>
      </c>
      <c r="R20" s="535"/>
      <c r="S20" s="535"/>
      <c r="T20" s="535"/>
    </row>
    <row r="21" spans="1:20" s="534" customFormat="1" ht="25.5">
      <c r="A21" s="524">
        <f t="shared" si="0"/>
        <v>599</v>
      </c>
      <c r="B21" s="552"/>
      <c r="C21" s="531" t="s">
        <v>391</v>
      </c>
      <c r="D21" s="540" t="s">
        <v>368</v>
      </c>
      <c r="E21" s="551"/>
      <c r="F21" s="755"/>
      <c r="G21" s="755"/>
      <c r="H21" s="755"/>
      <c r="I21" s="533" t="str">
        <f t="shared" ref="I21:I52" si="1">IF(NOT(ISBLANK($I$19)),$I$19,"  ")</f>
        <v xml:space="preserve">  </v>
      </c>
      <c r="R21" s="535"/>
      <c r="S21" s="535"/>
      <c r="T21" s="535"/>
    </row>
    <row r="22" spans="1:20" s="534" customFormat="1" ht="25.5">
      <c r="A22" s="524">
        <f t="shared" si="0"/>
        <v>600</v>
      </c>
      <c r="B22" s="552"/>
      <c r="C22" s="531" t="s">
        <v>351</v>
      </c>
      <c r="D22" s="540" t="s">
        <v>368</v>
      </c>
      <c r="E22" s="551"/>
      <c r="F22" s="755"/>
      <c r="G22" s="755"/>
      <c r="H22" s="755"/>
      <c r="I22" s="533" t="str">
        <f t="shared" si="1"/>
        <v xml:space="preserve">  </v>
      </c>
      <c r="R22" s="535"/>
      <c r="S22" s="535"/>
      <c r="T22" s="535"/>
    </row>
    <row r="23" spans="1:20" s="534" customFormat="1">
      <c r="A23" s="524">
        <f t="shared" si="0"/>
        <v>601</v>
      </c>
      <c r="B23" s="525" t="s">
        <v>834</v>
      </c>
      <c r="C23" s="531"/>
      <c r="D23" s="526"/>
      <c r="E23" s="538"/>
      <c r="F23" s="759"/>
      <c r="G23" s="759"/>
      <c r="H23" s="759"/>
      <c r="I23" s="549"/>
      <c r="R23" s="535"/>
      <c r="S23" s="535"/>
      <c r="T23" s="535"/>
    </row>
    <row r="24" spans="1:20" s="534" customFormat="1">
      <c r="A24" s="524">
        <f t="shared" si="0"/>
        <v>602</v>
      </c>
      <c r="B24" s="531"/>
      <c r="C24" s="531" t="s">
        <v>835</v>
      </c>
      <c r="D24" s="540" t="s">
        <v>836</v>
      </c>
      <c r="E24" s="532"/>
      <c r="F24" s="754"/>
      <c r="G24" s="754"/>
      <c r="H24" s="754"/>
      <c r="I24" s="533" t="str">
        <f t="shared" si="1"/>
        <v xml:space="preserve">  </v>
      </c>
      <c r="R24" s="535"/>
      <c r="S24" s="535"/>
      <c r="T24" s="535"/>
    </row>
    <row r="25" spans="1:20" s="534" customFormat="1">
      <c r="A25" s="524">
        <f t="shared" si="0"/>
        <v>603</v>
      </c>
      <c r="B25" s="531"/>
      <c r="C25" s="531" t="s">
        <v>837</v>
      </c>
      <c r="D25" s="540" t="s">
        <v>836</v>
      </c>
      <c r="E25" s="532"/>
      <c r="F25" s="754"/>
      <c r="G25" s="754"/>
      <c r="H25" s="754"/>
      <c r="I25" s="533" t="str">
        <f t="shared" si="1"/>
        <v xml:space="preserve">  </v>
      </c>
      <c r="R25" s="535"/>
      <c r="S25" s="535"/>
      <c r="T25" s="535"/>
    </row>
    <row r="26" spans="1:20" s="534" customFormat="1" ht="25.5">
      <c r="A26" s="524">
        <f t="shared" si="0"/>
        <v>604</v>
      </c>
      <c r="B26" s="531"/>
      <c r="C26" s="531" t="s">
        <v>838</v>
      </c>
      <c r="D26" s="540" t="s">
        <v>836</v>
      </c>
      <c r="E26" s="532"/>
      <c r="F26" s="754"/>
      <c r="G26" s="754"/>
      <c r="H26" s="754"/>
      <c r="I26" s="533" t="str">
        <f t="shared" si="1"/>
        <v xml:space="preserve">  </v>
      </c>
      <c r="R26" s="535"/>
      <c r="S26" s="535"/>
      <c r="T26" s="535"/>
    </row>
    <row r="27" spans="1:20" s="534" customFormat="1" ht="25.5">
      <c r="A27" s="524">
        <f t="shared" si="0"/>
        <v>605</v>
      </c>
      <c r="B27" s="531"/>
      <c r="C27" s="531" t="s">
        <v>839</v>
      </c>
      <c r="D27" s="540" t="s">
        <v>836</v>
      </c>
      <c r="E27" s="532"/>
      <c r="F27" s="754"/>
      <c r="G27" s="754"/>
      <c r="H27" s="754"/>
      <c r="I27" s="533" t="str">
        <f t="shared" si="1"/>
        <v xml:space="preserve">  </v>
      </c>
      <c r="R27" s="535"/>
      <c r="S27" s="535"/>
      <c r="T27" s="535"/>
    </row>
    <row r="28" spans="1:20" s="534" customFormat="1" ht="25.5">
      <c r="A28" s="524">
        <f t="shared" si="0"/>
        <v>606</v>
      </c>
      <c r="B28" s="531"/>
      <c r="C28" s="531" t="s">
        <v>840</v>
      </c>
      <c r="D28" s="540" t="s">
        <v>836</v>
      </c>
      <c r="E28" s="532"/>
      <c r="F28" s="754"/>
      <c r="G28" s="754"/>
      <c r="H28" s="754"/>
      <c r="I28" s="533" t="str">
        <f t="shared" si="1"/>
        <v xml:space="preserve">  </v>
      </c>
      <c r="R28" s="535"/>
      <c r="S28" s="535"/>
      <c r="T28" s="535"/>
    </row>
    <row r="29" spans="1:20" s="529" customFormat="1">
      <c r="A29" s="524">
        <f t="shared" si="0"/>
        <v>607</v>
      </c>
      <c r="B29" s="525" t="s">
        <v>145</v>
      </c>
      <c r="C29" s="526"/>
      <c r="D29" s="526"/>
      <c r="E29" s="538"/>
      <c r="F29" s="759"/>
      <c r="G29" s="759"/>
      <c r="H29" s="759"/>
      <c r="I29" s="549"/>
      <c r="R29" s="530"/>
      <c r="S29" s="530"/>
      <c r="T29" s="530"/>
    </row>
    <row r="30" spans="1:20" s="534" customFormat="1">
      <c r="A30" s="524">
        <f t="shared" si="0"/>
        <v>608</v>
      </c>
      <c r="B30" s="531"/>
      <c r="C30" s="531" t="s">
        <v>407</v>
      </c>
      <c r="D30" s="540" t="s">
        <v>369</v>
      </c>
      <c r="E30" s="532"/>
      <c r="F30" s="754"/>
      <c r="G30" s="754"/>
      <c r="H30" s="754"/>
      <c r="I30" s="533" t="str">
        <f t="shared" si="1"/>
        <v xml:space="preserve">  </v>
      </c>
      <c r="R30" s="535"/>
      <c r="S30" s="535"/>
      <c r="T30" s="535"/>
    </row>
    <row r="31" spans="1:20" s="534" customFormat="1" ht="25.5">
      <c r="A31" s="524">
        <f t="shared" si="0"/>
        <v>609</v>
      </c>
      <c r="B31" s="531"/>
      <c r="C31" s="531" t="s">
        <v>841</v>
      </c>
      <c r="D31" s="540"/>
      <c r="E31" s="532"/>
      <c r="F31" s="754"/>
      <c r="G31" s="754"/>
      <c r="H31" s="754"/>
      <c r="I31" s="533" t="str">
        <f t="shared" si="1"/>
        <v xml:space="preserve">  </v>
      </c>
      <c r="R31" s="535"/>
      <c r="S31" s="535"/>
      <c r="T31" s="535"/>
    </row>
    <row r="32" spans="1:20" s="534" customFormat="1" ht="25.5">
      <c r="A32" s="524">
        <f t="shared" si="0"/>
        <v>610</v>
      </c>
      <c r="B32" s="531"/>
      <c r="C32" s="531" t="s">
        <v>842</v>
      </c>
      <c r="D32" s="540" t="s">
        <v>369</v>
      </c>
      <c r="E32" s="550"/>
      <c r="F32" s="755"/>
      <c r="G32" s="755"/>
      <c r="H32" s="755"/>
      <c r="I32" s="533" t="str">
        <f t="shared" si="1"/>
        <v xml:space="preserve">  </v>
      </c>
      <c r="R32" s="535"/>
      <c r="S32" s="535"/>
      <c r="T32" s="535"/>
    </row>
    <row r="33" spans="1:20" s="534" customFormat="1" ht="38.25">
      <c r="A33" s="524">
        <f t="shared" si="0"/>
        <v>611</v>
      </c>
      <c r="B33" s="531"/>
      <c r="C33" s="531" t="s">
        <v>843</v>
      </c>
      <c r="D33" s="540" t="s">
        <v>369</v>
      </c>
      <c r="E33" s="550"/>
      <c r="F33" s="755"/>
      <c r="G33" s="755"/>
      <c r="H33" s="755"/>
      <c r="I33" s="533" t="str">
        <f t="shared" si="1"/>
        <v xml:space="preserve">  </v>
      </c>
      <c r="R33" s="535"/>
      <c r="S33" s="535"/>
      <c r="T33" s="535"/>
    </row>
    <row r="34" spans="1:20" s="529" customFormat="1">
      <c r="A34" s="524">
        <f t="shared" si="0"/>
        <v>612</v>
      </c>
      <c r="B34" s="525" t="s">
        <v>182</v>
      </c>
      <c r="C34" s="526"/>
      <c r="D34" s="526"/>
      <c r="E34" s="538"/>
      <c r="F34" s="759"/>
      <c r="G34" s="759"/>
      <c r="H34" s="759"/>
      <c r="I34" s="549"/>
      <c r="R34" s="530"/>
      <c r="S34" s="530"/>
      <c r="T34" s="530"/>
    </row>
    <row r="35" spans="1:20" s="529" customFormat="1">
      <c r="A35" s="524">
        <f t="shared" si="0"/>
        <v>613</v>
      </c>
      <c r="B35" s="525"/>
      <c r="C35" s="531" t="s">
        <v>844</v>
      </c>
      <c r="D35" s="540" t="s">
        <v>369</v>
      </c>
      <c r="E35" s="532"/>
      <c r="F35" s="754"/>
      <c r="G35" s="754"/>
      <c r="H35" s="754"/>
      <c r="I35" s="533" t="str">
        <f t="shared" si="1"/>
        <v xml:space="preserve">  </v>
      </c>
      <c r="R35" s="530"/>
      <c r="S35" s="530"/>
      <c r="T35" s="530"/>
    </row>
    <row r="36" spans="1:20" s="529" customFormat="1" ht="25.5">
      <c r="A36" s="524">
        <f t="shared" si="0"/>
        <v>614</v>
      </c>
      <c r="B36" s="525"/>
      <c r="C36" s="531" t="s">
        <v>845</v>
      </c>
      <c r="D36" s="540" t="s">
        <v>369</v>
      </c>
      <c r="E36" s="532"/>
      <c r="F36" s="754"/>
      <c r="G36" s="754"/>
      <c r="H36" s="754"/>
      <c r="I36" s="533" t="str">
        <f t="shared" si="1"/>
        <v xml:space="preserve">  </v>
      </c>
      <c r="R36" s="530"/>
      <c r="S36" s="530"/>
      <c r="T36" s="530"/>
    </row>
    <row r="37" spans="1:20" s="529" customFormat="1">
      <c r="A37" s="524">
        <f t="shared" si="0"/>
        <v>615</v>
      </c>
      <c r="B37" s="531"/>
      <c r="C37" s="531" t="s">
        <v>846</v>
      </c>
      <c r="D37" s="540" t="s">
        <v>369</v>
      </c>
      <c r="E37" s="532"/>
      <c r="F37" s="754"/>
      <c r="G37" s="754"/>
      <c r="H37" s="754"/>
      <c r="I37" s="533" t="str">
        <f t="shared" si="1"/>
        <v xml:space="preserve">  </v>
      </c>
      <c r="R37" s="530"/>
      <c r="S37" s="530"/>
      <c r="T37" s="530"/>
    </row>
    <row r="38" spans="1:20" s="529" customFormat="1">
      <c r="A38" s="524">
        <f t="shared" si="0"/>
        <v>616</v>
      </c>
      <c r="B38" s="525" t="s">
        <v>847</v>
      </c>
      <c r="C38" s="531"/>
      <c r="D38" s="526"/>
      <c r="E38" s="538"/>
      <c r="F38" s="759"/>
      <c r="G38" s="759"/>
      <c r="H38" s="759"/>
      <c r="I38" s="549"/>
      <c r="R38" s="530"/>
      <c r="S38" s="530"/>
      <c r="T38" s="530"/>
    </row>
    <row r="39" spans="1:20" s="529" customFormat="1" ht="25.5">
      <c r="A39" s="524">
        <f t="shared" si="0"/>
        <v>617</v>
      </c>
      <c r="B39" s="531"/>
      <c r="C39" s="531" t="s">
        <v>848</v>
      </c>
      <c r="D39" s="540" t="s">
        <v>369</v>
      </c>
      <c r="E39" s="532"/>
      <c r="F39" s="754"/>
      <c r="G39" s="754"/>
      <c r="H39" s="754"/>
      <c r="I39" s="533" t="str">
        <f t="shared" si="1"/>
        <v xml:space="preserve">  </v>
      </c>
      <c r="R39" s="530"/>
      <c r="S39" s="530"/>
      <c r="T39" s="530"/>
    </row>
    <row r="40" spans="1:20" s="529" customFormat="1">
      <c r="A40" s="524">
        <f t="shared" si="0"/>
        <v>618</v>
      </c>
      <c r="B40" s="531"/>
      <c r="C40" s="531" t="s">
        <v>849</v>
      </c>
      <c r="D40" s="540" t="s">
        <v>369</v>
      </c>
      <c r="E40" s="532"/>
      <c r="F40" s="754"/>
      <c r="G40" s="754"/>
      <c r="H40" s="754"/>
      <c r="I40" s="533" t="str">
        <f t="shared" si="1"/>
        <v xml:space="preserve">  </v>
      </c>
      <c r="R40" s="530"/>
      <c r="S40" s="530"/>
      <c r="T40" s="530"/>
    </row>
    <row r="41" spans="1:20" s="529" customFormat="1" ht="25.5">
      <c r="A41" s="524">
        <f t="shared" si="0"/>
        <v>619</v>
      </c>
      <c r="B41" s="531"/>
      <c r="C41" s="531" t="s">
        <v>850</v>
      </c>
      <c r="D41" s="540" t="s">
        <v>369</v>
      </c>
      <c r="E41" s="532"/>
      <c r="F41" s="754"/>
      <c r="G41" s="754"/>
      <c r="H41" s="754"/>
      <c r="I41" s="533" t="str">
        <f t="shared" si="1"/>
        <v xml:space="preserve">  </v>
      </c>
      <c r="R41" s="530"/>
      <c r="S41" s="530"/>
      <c r="T41" s="530"/>
    </row>
    <row r="42" spans="1:20" s="529" customFormat="1" ht="25.5">
      <c r="A42" s="524">
        <f t="shared" si="0"/>
        <v>620</v>
      </c>
      <c r="B42" s="552"/>
      <c r="C42" s="531" t="s">
        <v>851</v>
      </c>
      <c r="D42" s="540" t="s">
        <v>369</v>
      </c>
      <c r="E42" s="532"/>
      <c r="F42" s="754"/>
      <c r="G42" s="754"/>
      <c r="H42" s="754"/>
      <c r="I42" s="533" t="str">
        <f t="shared" si="1"/>
        <v xml:space="preserve">  </v>
      </c>
      <c r="R42" s="530"/>
      <c r="S42" s="530"/>
      <c r="T42" s="530"/>
    </row>
    <row r="43" spans="1:20" s="529" customFormat="1">
      <c r="A43" s="524">
        <f t="shared" si="0"/>
        <v>621</v>
      </c>
      <c r="B43" s="525" t="s">
        <v>185</v>
      </c>
      <c r="C43" s="526"/>
      <c r="D43" s="526"/>
      <c r="E43" s="538"/>
      <c r="F43" s="759"/>
      <c r="G43" s="759"/>
      <c r="H43" s="759"/>
      <c r="I43" s="549"/>
      <c r="R43" s="530"/>
      <c r="S43" s="530"/>
      <c r="T43" s="530"/>
    </row>
    <row r="44" spans="1:20" s="534" customFormat="1" ht="25.5">
      <c r="A44" s="524">
        <f t="shared" si="0"/>
        <v>622</v>
      </c>
      <c r="B44" s="531"/>
      <c r="C44" s="531" t="s">
        <v>186</v>
      </c>
      <c r="D44" s="540" t="s">
        <v>361</v>
      </c>
      <c r="E44" s="532"/>
      <c r="F44" s="754"/>
      <c r="G44" s="754"/>
      <c r="H44" s="754"/>
      <c r="I44" s="533" t="str">
        <f t="shared" si="1"/>
        <v xml:space="preserve">  </v>
      </c>
      <c r="R44" s="535"/>
      <c r="S44" s="535"/>
      <c r="T44" s="535"/>
    </row>
    <row r="45" spans="1:20" s="534" customFormat="1" ht="25.5">
      <c r="A45" s="524">
        <f t="shared" si="0"/>
        <v>623</v>
      </c>
      <c r="B45" s="531"/>
      <c r="C45" s="531" t="s">
        <v>187</v>
      </c>
      <c r="D45" s="540" t="s">
        <v>361</v>
      </c>
      <c r="E45" s="532"/>
      <c r="F45" s="754"/>
      <c r="G45" s="754"/>
      <c r="H45" s="754"/>
      <c r="I45" s="533" t="str">
        <f t="shared" si="1"/>
        <v xml:space="preserve">  </v>
      </c>
      <c r="R45" s="535"/>
      <c r="S45" s="535"/>
      <c r="T45" s="535"/>
    </row>
    <row r="46" spans="1:20" s="529" customFormat="1">
      <c r="A46" s="524">
        <f t="shared" si="0"/>
        <v>624</v>
      </c>
      <c r="B46" s="525" t="s">
        <v>220</v>
      </c>
      <c r="C46" s="526"/>
      <c r="D46" s="526"/>
      <c r="E46" s="538"/>
      <c r="F46" s="759"/>
      <c r="G46" s="759"/>
      <c r="H46" s="759"/>
      <c r="I46" s="549"/>
      <c r="R46" s="530"/>
      <c r="S46" s="530"/>
      <c r="T46" s="530"/>
    </row>
    <row r="47" spans="1:20" s="534" customFormat="1" ht="25.5">
      <c r="A47" s="524">
        <f t="shared" si="0"/>
        <v>625</v>
      </c>
      <c r="B47" s="531"/>
      <c r="C47" s="531" t="s">
        <v>189</v>
      </c>
      <c r="D47" s="540" t="s">
        <v>368</v>
      </c>
      <c r="E47" s="532"/>
      <c r="F47" s="754"/>
      <c r="G47" s="754"/>
      <c r="H47" s="754"/>
      <c r="I47" s="533" t="str">
        <f t="shared" si="1"/>
        <v xml:space="preserve">  </v>
      </c>
      <c r="R47" s="535"/>
      <c r="S47" s="535"/>
      <c r="T47" s="535"/>
    </row>
    <row r="48" spans="1:20" s="534" customFormat="1" ht="25.5">
      <c r="A48" s="524">
        <f t="shared" si="0"/>
        <v>626</v>
      </c>
      <c r="B48" s="531"/>
      <c r="C48" s="531" t="s">
        <v>190</v>
      </c>
      <c r="D48" s="540" t="s">
        <v>371</v>
      </c>
      <c r="E48" s="532"/>
      <c r="F48" s="754"/>
      <c r="G48" s="754"/>
      <c r="H48" s="754"/>
      <c r="I48" s="533" t="str">
        <f t="shared" si="1"/>
        <v xml:space="preserve">  </v>
      </c>
      <c r="R48" s="535"/>
      <c r="S48" s="535"/>
      <c r="T48" s="535"/>
    </row>
    <row r="49" spans="1:20" s="534" customFormat="1">
      <c r="A49" s="524">
        <f t="shared" si="0"/>
        <v>627</v>
      </c>
      <c r="B49" s="531"/>
      <c r="C49" s="531" t="s">
        <v>191</v>
      </c>
      <c r="D49" s="540" t="s">
        <v>365</v>
      </c>
      <c r="E49" s="532"/>
      <c r="F49" s="754"/>
      <c r="G49" s="754"/>
      <c r="H49" s="754"/>
      <c r="I49" s="533" t="str">
        <f t="shared" si="1"/>
        <v xml:space="preserve">  </v>
      </c>
      <c r="R49" s="535"/>
      <c r="S49" s="535"/>
      <c r="T49" s="535"/>
    </row>
    <row r="50" spans="1:20" s="534" customFormat="1" ht="25.5">
      <c r="A50" s="524">
        <f t="shared" si="0"/>
        <v>628</v>
      </c>
      <c r="B50" s="542"/>
      <c r="C50" s="531" t="s">
        <v>54</v>
      </c>
      <c r="D50" s="540" t="s">
        <v>365</v>
      </c>
      <c r="E50" s="532"/>
      <c r="F50" s="754"/>
      <c r="G50" s="754"/>
      <c r="H50" s="754"/>
      <c r="I50" s="533" t="str">
        <f t="shared" si="1"/>
        <v xml:space="preserve">  </v>
      </c>
      <c r="R50" s="535"/>
      <c r="S50" s="535"/>
      <c r="T50" s="535"/>
    </row>
    <row r="51" spans="1:20" s="534" customFormat="1">
      <c r="A51" s="524">
        <f t="shared" si="0"/>
        <v>629</v>
      </c>
      <c r="B51" s="542"/>
      <c r="C51" s="542"/>
      <c r="D51" s="553"/>
      <c r="E51" s="532"/>
      <c r="F51" s="754"/>
      <c r="G51" s="754"/>
      <c r="H51" s="754"/>
      <c r="I51" s="533" t="str">
        <f t="shared" si="1"/>
        <v xml:space="preserve">  </v>
      </c>
      <c r="R51" s="535"/>
      <c r="S51" s="535"/>
      <c r="T51" s="535"/>
    </row>
    <row r="52" spans="1:20" s="534" customFormat="1">
      <c r="A52" s="524">
        <f t="shared" si="0"/>
        <v>630</v>
      </c>
      <c r="B52" s="542"/>
      <c r="C52" s="542"/>
      <c r="D52" s="553"/>
      <c r="E52" s="532"/>
      <c r="F52" s="754"/>
      <c r="G52" s="754"/>
      <c r="H52" s="754"/>
      <c r="I52" s="533" t="str">
        <f t="shared" si="1"/>
        <v xml:space="preserve">  </v>
      </c>
      <c r="R52" s="535"/>
      <c r="S52" s="535"/>
      <c r="T52" s="535"/>
    </row>
    <row r="53" spans="1:20" s="529" customFormat="1">
      <c r="A53" s="543"/>
      <c r="B53" s="544" t="s">
        <v>132</v>
      </c>
      <c r="C53" s="544"/>
      <c r="D53" s="544"/>
      <c r="E53" s="545"/>
      <c r="F53" s="758"/>
      <c r="G53" s="758"/>
      <c r="H53" s="758"/>
      <c r="I53" s="546"/>
    </row>
    <row r="54" spans="1:20" s="529" customFormat="1">
      <c r="A54" s="757"/>
      <c r="B54" s="757"/>
      <c r="C54" s="757"/>
      <c r="D54" s="757"/>
      <c r="E54" s="757"/>
      <c r="F54" s="757"/>
      <c r="G54" s="757"/>
      <c r="H54" s="757"/>
      <c r="I54" s="757"/>
    </row>
    <row r="55" spans="1:20" s="529" customFormat="1">
      <c r="A55" s="757"/>
      <c r="B55" s="757"/>
      <c r="C55" s="757"/>
      <c r="D55" s="757"/>
      <c r="E55" s="757"/>
      <c r="F55" s="757"/>
      <c r="G55" s="757"/>
      <c r="H55" s="757"/>
      <c r="I55" s="757"/>
    </row>
    <row r="56" spans="1:20" customFormat="1">
      <c r="A56" s="757"/>
      <c r="B56" s="757"/>
      <c r="C56" s="757"/>
      <c r="D56" s="757"/>
      <c r="E56" s="757"/>
      <c r="F56" s="757"/>
      <c r="G56" s="757"/>
      <c r="H56" s="757"/>
      <c r="I56" s="757"/>
      <c r="J56" s="547"/>
      <c r="K56" s="547"/>
      <c r="L56" s="547"/>
      <c r="M56" s="547"/>
      <c r="N56" s="547"/>
      <c r="O56" s="547"/>
      <c r="P56" s="547"/>
      <c r="Q56" s="547"/>
      <c r="R56" s="547"/>
      <c r="S56" s="547"/>
      <c r="T56" s="547"/>
    </row>
    <row r="57" spans="1:20" customFormat="1">
      <c r="A57" s="757"/>
      <c r="B57" s="757"/>
      <c r="C57" s="757"/>
      <c r="D57" s="757"/>
      <c r="E57" s="757"/>
      <c r="F57" s="757"/>
      <c r="G57" s="757"/>
      <c r="H57" s="757"/>
      <c r="I57" s="757"/>
      <c r="J57" s="547"/>
      <c r="K57" s="547"/>
      <c r="L57" s="547"/>
      <c r="M57" s="547"/>
      <c r="N57" s="547"/>
      <c r="O57" s="547"/>
      <c r="P57" s="547"/>
      <c r="Q57" s="547"/>
      <c r="R57" s="547"/>
      <c r="S57" s="547"/>
      <c r="T57" s="547"/>
    </row>
    <row r="58" spans="1:20" customFormat="1">
      <c r="A58" s="757"/>
      <c r="B58" s="757"/>
      <c r="C58" s="757"/>
      <c r="D58" s="757"/>
      <c r="E58" s="757"/>
      <c r="F58" s="757"/>
      <c r="G58" s="757"/>
      <c r="H58" s="757"/>
      <c r="I58" s="757"/>
      <c r="J58" s="547"/>
      <c r="K58" s="547"/>
      <c r="L58" s="547"/>
      <c r="M58" s="547"/>
      <c r="N58" s="547"/>
      <c r="O58" s="547"/>
      <c r="P58" s="547"/>
      <c r="Q58" s="547"/>
      <c r="R58" s="547"/>
      <c r="S58" s="547"/>
      <c r="T58" s="547"/>
    </row>
    <row r="59" spans="1:20" customFormat="1">
      <c r="A59" s="757"/>
      <c r="B59" s="757"/>
      <c r="C59" s="757"/>
      <c r="D59" s="757"/>
      <c r="E59" s="757"/>
      <c r="F59" s="757"/>
      <c r="G59" s="757"/>
      <c r="H59" s="757"/>
      <c r="I59" s="757"/>
      <c r="J59" s="547"/>
      <c r="K59" s="547"/>
      <c r="L59" s="547"/>
      <c r="M59" s="547"/>
      <c r="N59" s="547"/>
      <c r="O59" s="547"/>
      <c r="P59" s="547"/>
      <c r="Q59" s="547"/>
      <c r="R59" s="547"/>
      <c r="S59" s="547"/>
      <c r="T59" s="547"/>
    </row>
  </sheetData>
  <mergeCells count="46">
    <mergeCell ref="F51:H51"/>
    <mergeCell ref="F52:H52"/>
    <mergeCell ref="F53:H53"/>
    <mergeCell ref="A54:I59"/>
    <mergeCell ref="F45:H45"/>
    <mergeCell ref="F46:H46"/>
    <mergeCell ref="F47:H47"/>
    <mergeCell ref="F48:H48"/>
    <mergeCell ref="F49:H49"/>
    <mergeCell ref="F50:H50"/>
    <mergeCell ref="F44:H44"/>
    <mergeCell ref="F33:H33"/>
    <mergeCell ref="F34:H34"/>
    <mergeCell ref="F35:H35"/>
    <mergeCell ref="F36:H36"/>
    <mergeCell ref="F37:H37"/>
    <mergeCell ref="F38:H38"/>
    <mergeCell ref="F39:H39"/>
    <mergeCell ref="F40:H40"/>
    <mergeCell ref="F41:H41"/>
    <mergeCell ref="F42:H42"/>
    <mergeCell ref="F43:H43"/>
    <mergeCell ref="F32:H32"/>
    <mergeCell ref="F21:H21"/>
    <mergeCell ref="F22:H22"/>
    <mergeCell ref="F23:H23"/>
    <mergeCell ref="F24:H24"/>
    <mergeCell ref="F25:H25"/>
    <mergeCell ref="F26:H26"/>
    <mergeCell ref="F27:H27"/>
    <mergeCell ref="F28:H28"/>
    <mergeCell ref="F29:H29"/>
    <mergeCell ref="F30:H30"/>
    <mergeCell ref="F31:H31"/>
    <mergeCell ref="F20:H20"/>
    <mergeCell ref="B2:C2"/>
    <mergeCell ref="D2:G2"/>
    <mergeCell ref="H2:I2"/>
    <mergeCell ref="A4:I4"/>
    <mergeCell ref="B10:C10"/>
    <mergeCell ref="B11:C11"/>
    <mergeCell ref="B14:H14"/>
    <mergeCell ref="C16:D16"/>
    <mergeCell ref="F17:H17"/>
    <mergeCell ref="F18:H18"/>
    <mergeCell ref="F19:H19"/>
  </mergeCells>
  <dataValidations count="2">
    <dataValidation type="list" allowBlank="1" showInputMessage="1" showErrorMessage="1" sqref="E19:E22 E30:E33 E39:E42 E47:E52 E35:E37 E44:E45 E24:E28">
      <formula1>Resultados</formula1>
      <formula2>0</formula2>
    </dataValidation>
    <dataValidation type="list" allowBlank="1" showInputMessage="1" showErrorMessage="1" sqref="E34 E43 E38 E29 E46 E23 E18">
      <formula1>Resultados1</formula1>
      <formula2>0</formula2>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MK87"/>
  <sheetViews>
    <sheetView showGridLines="0" workbookViewId="0">
      <selection activeCell="J4" sqref="J4"/>
    </sheetView>
  </sheetViews>
  <sheetFormatPr baseColWidth="10" defaultColWidth="9.140625" defaultRowHeight="12.75"/>
  <cols>
    <col min="1" max="1" width="9" style="547" customWidth="1"/>
    <col min="2" max="2" width="3.85546875" style="547" customWidth="1"/>
    <col min="3" max="3" width="53.5703125" style="547" customWidth="1"/>
    <col min="4" max="4" width="19.5703125" style="547" customWidth="1"/>
    <col min="5" max="5" width="15.85546875" style="547" customWidth="1"/>
    <col min="6" max="6" width="10.140625" style="547" customWidth="1"/>
    <col min="7" max="7" width="19.5703125" style="547" customWidth="1"/>
    <col min="8" max="8" width="32.5703125" style="547" bestFit="1" customWidth="1"/>
    <col min="9" max="9" width="15" style="548" customWidth="1"/>
    <col min="10" max="1025" width="11.42578125" style="547" customWidth="1"/>
  </cols>
  <sheetData>
    <row r="2" spans="1:20" s="503" customFormat="1" ht="42" customHeight="1">
      <c r="A2" s="502"/>
      <c r="B2" s="746"/>
      <c r="C2" s="746"/>
      <c r="D2" s="746" t="s">
        <v>573</v>
      </c>
      <c r="E2" s="746"/>
      <c r="F2" s="746"/>
      <c r="G2" s="746"/>
      <c r="H2" s="746"/>
      <c r="I2" s="746"/>
    </row>
    <row r="4" spans="1:20" s="504" customFormat="1" ht="15.75">
      <c r="A4" s="747" t="s">
        <v>832</v>
      </c>
      <c r="B4" s="747"/>
      <c r="C4" s="747"/>
      <c r="D4" s="747"/>
      <c r="E4" s="747"/>
      <c r="F4" s="747"/>
      <c r="G4" s="747"/>
      <c r="H4" s="747"/>
      <c r="I4" s="747"/>
    </row>
    <row r="5" spans="1:20" s="504" customFormat="1" ht="12">
      <c r="I5" s="505"/>
    </row>
    <row r="6" spans="1:20" s="504" customFormat="1">
      <c r="B6" s="506" t="s">
        <v>79</v>
      </c>
      <c r="C6" s="507"/>
      <c r="D6" s="388"/>
      <c r="E6" s="508"/>
      <c r="F6" s="508"/>
      <c r="G6" s="509" t="s">
        <v>451</v>
      </c>
      <c r="H6" s="387" t="str">
        <f>'Historial de Revisiones'!G4</f>
        <v>GOC-7089</v>
      </c>
      <c r="I6" s="505"/>
      <c r="K6" s="510"/>
    </row>
    <row r="7" spans="1:20" s="504" customFormat="1">
      <c r="B7" s="506" t="s">
        <v>80</v>
      </c>
      <c r="C7" s="507"/>
      <c r="D7" s="388"/>
      <c r="E7" s="508"/>
      <c r="F7" s="508"/>
      <c r="G7" s="509" t="s">
        <v>477</v>
      </c>
      <c r="H7" s="387" t="str">
        <f>'Historial de Revisiones'!G5</f>
        <v>GOC-7092</v>
      </c>
      <c r="I7" s="505"/>
      <c r="K7" s="510"/>
    </row>
    <row r="8" spans="1:20" s="504" customFormat="1">
      <c r="B8" s="506" t="s">
        <v>81</v>
      </c>
      <c r="C8" s="507"/>
      <c r="D8" s="393"/>
      <c r="E8" s="508"/>
      <c r="F8" s="508"/>
      <c r="G8" s="509" t="s">
        <v>124</v>
      </c>
      <c r="H8" s="387">
        <f>'Historial de Revisiones'!G6</f>
        <v>0</v>
      </c>
      <c r="I8" s="505"/>
    </row>
    <row r="9" spans="1:20" s="504" customFormat="1">
      <c r="B9" s="506" t="s">
        <v>82</v>
      </c>
      <c r="C9" s="507"/>
      <c r="D9" s="394"/>
      <c r="E9" s="508"/>
      <c r="F9" s="508"/>
      <c r="G9" s="509" t="s">
        <v>125</v>
      </c>
      <c r="H9" s="387" t="str">
        <f>'Historial de Revisiones'!G7</f>
        <v>Nombre desarrolllador</v>
      </c>
      <c r="I9" s="505"/>
    </row>
    <row r="10" spans="1:20" s="504" customFormat="1">
      <c r="B10" s="748" t="s">
        <v>83</v>
      </c>
      <c r="C10" s="748"/>
      <c r="D10" s="554"/>
      <c r="E10" s="508"/>
      <c r="F10" s="508"/>
      <c r="G10" s="509" t="s">
        <v>126</v>
      </c>
      <c r="H10" s="387" t="str">
        <f>'Historial de Revisiones'!G8</f>
        <v>Nombre de custodio</v>
      </c>
      <c r="I10" s="505"/>
    </row>
    <row r="11" spans="1:20" s="504" customFormat="1">
      <c r="B11" s="745"/>
      <c r="C11" s="745"/>
      <c r="D11" s="511"/>
      <c r="E11" s="508"/>
      <c r="F11" s="508"/>
      <c r="G11" s="509" t="s">
        <v>193</v>
      </c>
      <c r="H11" s="387">
        <f>'Historial de Revisiones'!G9</f>
        <v>0</v>
      </c>
      <c r="I11" s="505"/>
    </row>
    <row r="12" spans="1:20" s="504" customFormat="1" ht="12">
      <c r="E12" s="512"/>
      <c r="F12" s="512"/>
      <c r="G12" s="513"/>
      <c r="H12" s="514"/>
      <c r="I12" s="505"/>
    </row>
    <row r="13" spans="1:20" s="504" customFormat="1" ht="12">
      <c r="B13" s="504" t="s">
        <v>221</v>
      </c>
      <c r="I13" s="505"/>
      <c r="R13" s="515"/>
      <c r="S13" s="515"/>
      <c r="T13" s="515"/>
    </row>
    <row r="14" spans="1:20" s="504" customFormat="1" ht="26.25" customHeight="1">
      <c r="B14" s="750" t="s">
        <v>297</v>
      </c>
      <c r="C14" s="750"/>
      <c r="D14" s="750"/>
      <c r="E14" s="750"/>
      <c r="F14" s="750"/>
      <c r="G14" s="750"/>
      <c r="H14" s="750"/>
      <c r="I14" s="505"/>
      <c r="R14" s="515"/>
      <c r="S14" s="515"/>
      <c r="T14" s="515"/>
    </row>
    <row r="15" spans="1:20" s="504" customFormat="1" ht="12">
      <c r="B15" s="516"/>
      <c r="C15" s="516"/>
      <c r="D15" s="516"/>
      <c r="E15" s="516"/>
      <c r="F15" s="516"/>
      <c r="G15" s="516"/>
      <c r="H15" s="516"/>
      <c r="I15" s="505"/>
      <c r="R15" s="515"/>
      <c r="S15" s="515"/>
      <c r="T15" s="515"/>
    </row>
    <row r="16" spans="1:20" s="504" customFormat="1">
      <c r="B16" s="517" t="s">
        <v>386</v>
      </c>
      <c r="C16" s="751"/>
      <c r="D16" s="751"/>
      <c r="I16" s="505"/>
      <c r="R16" s="515"/>
      <c r="S16" s="515"/>
      <c r="T16" s="515"/>
    </row>
    <row r="17" spans="1:20" s="523" customFormat="1" ht="12">
      <c r="A17" s="518" t="s">
        <v>247</v>
      </c>
      <c r="B17" s="519" t="s">
        <v>246</v>
      </c>
      <c r="C17" s="520"/>
      <c r="D17" s="518" t="s">
        <v>360</v>
      </c>
      <c r="E17" s="521" t="s">
        <v>283</v>
      </c>
      <c r="F17" s="752" t="s">
        <v>253</v>
      </c>
      <c r="G17" s="752"/>
      <c r="H17" s="752"/>
      <c r="I17" s="522" t="s">
        <v>284</v>
      </c>
      <c r="K17" s="504"/>
      <c r="L17" s="504"/>
      <c r="M17" s="504"/>
      <c r="N17" s="504"/>
      <c r="O17" s="504"/>
      <c r="P17" s="504"/>
    </row>
    <row r="18" spans="1:20" s="529" customFormat="1">
      <c r="A18" s="524">
        <f>+'CHK Técnico-ETL'!A52+1</f>
        <v>631</v>
      </c>
      <c r="B18" s="581" t="s">
        <v>133</v>
      </c>
      <c r="C18" s="582"/>
      <c r="D18" s="582"/>
      <c r="E18" s="538"/>
      <c r="F18" s="759"/>
      <c r="G18" s="759"/>
      <c r="H18" s="759"/>
      <c r="I18" s="549"/>
      <c r="R18" s="530"/>
      <c r="S18" s="530"/>
      <c r="T18" s="530"/>
    </row>
    <row r="19" spans="1:20" s="534" customFormat="1" ht="25.5">
      <c r="A19" s="524">
        <f>A18+1</f>
        <v>632</v>
      </c>
      <c r="B19" s="442"/>
      <c r="C19" s="442" t="s">
        <v>853</v>
      </c>
      <c r="D19" s="583" t="s">
        <v>361</v>
      </c>
      <c r="E19" s="550"/>
      <c r="F19" s="755"/>
      <c r="G19" s="755"/>
      <c r="H19" s="755"/>
      <c r="I19" s="533"/>
      <c r="R19" s="535"/>
      <c r="S19" s="535"/>
      <c r="T19" s="535"/>
    </row>
    <row r="20" spans="1:20" s="534" customFormat="1" ht="25.5">
      <c r="A20" s="524">
        <f t="shared" ref="A20:A72" si="0">A19+1</f>
        <v>633</v>
      </c>
      <c r="B20" s="442"/>
      <c r="C20" s="442" t="s">
        <v>8</v>
      </c>
      <c r="D20" s="442" t="s">
        <v>361</v>
      </c>
      <c r="E20" s="551"/>
      <c r="F20" s="755"/>
      <c r="G20" s="755"/>
      <c r="H20" s="755"/>
      <c r="I20" s="533" t="str">
        <f>IF(NOT(ISBLANK($I$19)),$I$19,"  ")</f>
        <v xml:space="preserve">  </v>
      </c>
      <c r="R20" s="535"/>
      <c r="S20" s="535"/>
      <c r="T20" s="535"/>
    </row>
    <row r="21" spans="1:20" s="534" customFormat="1" ht="25.5">
      <c r="A21" s="524">
        <f t="shared" si="0"/>
        <v>634</v>
      </c>
      <c r="B21" s="584"/>
      <c r="C21" s="585" t="s">
        <v>391</v>
      </c>
      <c r="D21" s="585" t="s">
        <v>367</v>
      </c>
      <c r="E21" s="551"/>
      <c r="F21" s="755"/>
      <c r="G21" s="755"/>
      <c r="H21" s="755"/>
      <c r="I21" s="533" t="str">
        <f t="shared" ref="I21:I80" si="1">IF(NOT(ISBLANK($I$19)),$I$19,"  ")</f>
        <v xml:space="preserve">  </v>
      </c>
      <c r="R21" s="535"/>
      <c r="S21" s="535"/>
      <c r="T21" s="535"/>
    </row>
    <row r="22" spans="1:20" s="534" customFormat="1" ht="25.5">
      <c r="A22" s="524">
        <f t="shared" si="0"/>
        <v>635</v>
      </c>
      <c r="B22" s="584"/>
      <c r="C22" s="489" t="s">
        <v>351</v>
      </c>
      <c r="D22" s="585" t="s">
        <v>367</v>
      </c>
      <c r="E22" s="551"/>
      <c r="F22" s="755"/>
      <c r="G22" s="755"/>
      <c r="H22" s="755"/>
      <c r="I22" s="533" t="str">
        <f t="shared" si="1"/>
        <v xml:space="preserve">  </v>
      </c>
      <c r="R22" s="535"/>
      <c r="S22" s="535"/>
      <c r="T22" s="535"/>
    </row>
    <row r="23" spans="1:20" s="534" customFormat="1">
      <c r="A23" s="524">
        <f t="shared" si="0"/>
        <v>636</v>
      </c>
      <c r="B23" s="581" t="s">
        <v>145</v>
      </c>
      <c r="C23" s="582"/>
      <c r="D23" s="582"/>
      <c r="E23" s="538"/>
      <c r="F23" s="759"/>
      <c r="G23" s="759"/>
      <c r="H23" s="759"/>
      <c r="I23" s="549"/>
      <c r="R23" s="535"/>
      <c r="S23" s="535"/>
      <c r="T23" s="535"/>
    </row>
    <row r="24" spans="1:20" s="534" customFormat="1" ht="25.5">
      <c r="A24" s="524">
        <f t="shared" si="0"/>
        <v>637</v>
      </c>
      <c r="B24" s="442"/>
      <c r="C24" s="442" t="s">
        <v>9</v>
      </c>
      <c r="D24" s="583" t="s">
        <v>369</v>
      </c>
      <c r="E24" s="578"/>
      <c r="F24" s="754"/>
      <c r="G24" s="754"/>
      <c r="H24" s="754"/>
      <c r="I24" s="533" t="str">
        <f t="shared" si="1"/>
        <v xml:space="preserve">  </v>
      </c>
      <c r="R24" s="535"/>
      <c r="S24" s="535"/>
      <c r="T24" s="535"/>
    </row>
    <row r="25" spans="1:20" s="534" customFormat="1">
      <c r="A25" s="524">
        <f t="shared" si="0"/>
        <v>638</v>
      </c>
      <c r="B25" s="442"/>
      <c r="C25" s="442" t="s">
        <v>10</v>
      </c>
      <c r="D25" s="583" t="s">
        <v>369</v>
      </c>
      <c r="E25" s="578"/>
      <c r="F25" s="754"/>
      <c r="G25" s="754"/>
      <c r="H25" s="754"/>
      <c r="I25" s="533" t="str">
        <f t="shared" si="1"/>
        <v xml:space="preserve">  </v>
      </c>
      <c r="R25" s="535"/>
      <c r="S25" s="535"/>
      <c r="T25" s="535"/>
    </row>
    <row r="26" spans="1:20" s="534" customFormat="1" ht="25.5">
      <c r="A26" s="524">
        <f t="shared" si="0"/>
        <v>639</v>
      </c>
      <c r="B26" s="442"/>
      <c r="C26" s="442" t="s">
        <v>854</v>
      </c>
      <c r="D26" s="583" t="s">
        <v>369</v>
      </c>
      <c r="E26" s="578"/>
      <c r="F26" s="754"/>
      <c r="G26" s="754"/>
      <c r="H26" s="754"/>
      <c r="I26" s="533" t="str">
        <f t="shared" si="1"/>
        <v xml:space="preserve">  </v>
      </c>
      <c r="R26" s="535"/>
      <c r="S26" s="535"/>
      <c r="T26" s="535"/>
    </row>
    <row r="27" spans="1:20" s="534" customFormat="1">
      <c r="A27" s="524">
        <f t="shared" si="0"/>
        <v>640</v>
      </c>
      <c r="B27" s="442"/>
      <c r="C27" s="442" t="s">
        <v>855</v>
      </c>
      <c r="D27" s="583" t="s">
        <v>369</v>
      </c>
      <c r="E27" s="578"/>
      <c r="F27" s="754"/>
      <c r="G27" s="754"/>
      <c r="H27" s="754"/>
      <c r="I27" s="533" t="str">
        <f t="shared" si="1"/>
        <v xml:space="preserve">  </v>
      </c>
      <c r="R27" s="535"/>
      <c r="S27" s="535"/>
      <c r="T27" s="535"/>
    </row>
    <row r="28" spans="1:20" s="534" customFormat="1" ht="25.5">
      <c r="A28" s="524">
        <f t="shared" si="0"/>
        <v>641</v>
      </c>
      <c r="B28" s="442"/>
      <c r="C28" s="442" t="s">
        <v>856</v>
      </c>
      <c r="D28" s="583" t="s">
        <v>369</v>
      </c>
      <c r="E28" s="578"/>
      <c r="F28" s="754"/>
      <c r="G28" s="754"/>
      <c r="H28" s="754"/>
      <c r="I28" s="533" t="str">
        <f t="shared" si="1"/>
        <v xml:space="preserve">  </v>
      </c>
      <c r="R28" s="535"/>
      <c r="S28" s="535"/>
      <c r="T28" s="535"/>
    </row>
    <row r="29" spans="1:20" s="529" customFormat="1">
      <c r="A29" s="524">
        <f t="shared" si="0"/>
        <v>642</v>
      </c>
      <c r="B29" s="581" t="s">
        <v>857</v>
      </c>
      <c r="C29" s="582"/>
      <c r="D29" s="582"/>
      <c r="E29" s="538"/>
      <c r="F29" s="759"/>
      <c r="G29" s="759"/>
      <c r="H29" s="759"/>
      <c r="I29" s="549"/>
      <c r="R29" s="530"/>
      <c r="S29" s="530"/>
      <c r="T29" s="530"/>
    </row>
    <row r="30" spans="1:20" s="534" customFormat="1">
      <c r="A30" s="524">
        <f t="shared" si="0"/>
        <v>643</v>
      </c>
      <c r="B30" s="442"/>
      <c r="C30" s="442" t="s">
        <v>14</v>
      </c>
      <c r="D30" s="583" t="s">
        <v>369</v>
      </c>
      <c r="E30" s="578"/>
      <c r="F30" s="754"/>
      <c r="G30" s="754"/>
      <c r="H30" s="754"/>
      <c r="I30" s="533" t="str">
        <f t="shared" si="1"/>
        <v xml:space="preserve">  </v>
      </c>
      <c r="R30" s="535"/>
      <c r="S30" s="535"/>
      <c r="T30" s="535"/>
    </row>
    <row r="31" spans="1:20" s="534" customFormat="1">
      <c r="A31" s="524">
        <f t="shared" si="0"/>
        <v>644</v>
      </c>
      <c r="B31" s="442"/>
      <c r="C31" s="442" t="s">
        <v>15</v>
      </c>
      <c r="D31" s="583" t="s">
        <v>369</v>
      </c>
      <c r="E31" s="578"/>
      <c r="F31" s="754"/>
      <c r="G31" s="754"/>
      <c r="H31" s="754"/>
      <c r="I31" s="533" t="str">
        <f t="shared" si="1"/>
        <v xml:space="preserve">  </v>
      </c>
      <c r="R31" s="535"/>
      <c r="S31" s="535"/>
      <c r="T31" s="535"/>
    </row>
    <row r="32" spans="1:20" s="534" customFormat="1">
      <c r="A32" s="524">
        <f t="shared" si="0"/>
        <v>645</v>
      </c>
      <c r="B32" s="442"/>
      <c r="C32" s="442" t="s">
        <v>16</v>
      </c>
      <c r="D32" s="583" t="s">
        <v>369</v>
      </c>
      <c r="E32" s="550"/>
      <c r="F32" s="755"/>
      <c r="G32" s="755"/>
      <c r="H32" s="755"/>
      <c r="I32" s="533" t="str">
        <f t="shared" si="1"/>
        <v xml:space="preserve">  </v>
      </c>
      <c r="R32" s="535"/>
      <c r="S32" s="535"/>
      <c r="T32" s="535"/>
    </row>
    <row r="33" spans="1:20" s="534" customFormat="1" ht="25.5">
      <c r="A33" s="524">
        <f t="shared" si="0"/>
        <v>646</v>
      </c>
      <c r="B33" s="442"/>
      <c r="C33" s="442" t="s">
        <v>17</v>
      </c>
      <c r="D33" s="583" t="s">
        <v>369</v>
      </c>
      <c r="E33" s="550"/>
      <c r="F33" s="755"/>
      <c r="G33" s="755"/>
      <c r="H33" s="755"/>
      <c r="I33" s="533" t="str">
        <f t="shared" si="1"/>
        <v xml:space="preserve">  </v>
      </c>
      <c r="R33" s="535"/>
      <c r="S33" s="535"/>
      <c r="T33" s="535"/>
    </row>
    <row r="34" spans="1:20" s="529" customFormat="1" ht="25.5">
      <c r="A34" s="524">
        <f t="shared" si="0"/>
        <v>647</v>
      </c>
      <c r="B34" s="442"/>
      <c r="C34" s="442" t="s">
        <v>19</v>
      </c>
      <c r="D34" s="583" t="s">
        <v>369</v>
      </c>
      <c r="E34" s="538"/>
      <c r="F34" s="759"/>
      <c r="G34" s="759"/>
      <c r="H34" s="759"/>
      <c r="I34" s="549"/>
      <c r="R34" s="530"/>
      <c r="S34" s="530"/>
      <c r="T34" s="530"/>
    </row>
    <row r="35" spans="1:20" s="529" customFormat="1">
      <c r="A35" s="524">
        <f t="shared" si="0"/>
        <v>648</v>
      </c>
      <c r="B35" s="442"/>
      <c r="C35" s="442" t="s">
        <v>858</v>
      </c>
      <c r="D35" s="583" t="s">
        <v>369</v>
      </c>
      <c r="E35" s="578"/>
      <c r="F35" s="754"/>
      <c r="G35" s="754"/>
      <c r="H35" s="754"/>
      <c r="I35" s="533" t="str">
        <f t="shared" si="1"/>
        <v xml:space="preserve">  </v>
      </c>
      <c r="R35" s="530"/>
      <c r="S35" s="530"/>
      <c r="T35" s="530"/>
    </row>
    <row r="36" spans="1:20" s="529" customFormat="1" ht="25.5">
      <c r="A36" s="524">
        <f t="shared" si="0"/>
        <v>649</v>
      </c>
      <c r="B36" s="442"/>
      <c r="C36" s="442" t="s">
        <v>21</v>
      </c>
      <c r="D36" s="583" t="s">
        <v>369</v>
      </c>
      <c r="E36" s="578"/>
      <c r="F36" s="754"/>
      <c r="G36" s="754"/>
      <c r="H36" s="754"/>
      <c r="I36" s="533" t="str">
        <f t="shared" si="1"/>
        <v xml:space="preserve">  </v>
      </c>
      <c r="R36" s="530"/>
      <c r="S36" s="530"/>
      <c r="T36" s="530"/>
    </row>
    <row r="37" spans="1:20" s="529" customFormat="1" ht="25.5">
      <c r="A37" s="524">
        <f t="shared" si="0"/>
        <v>650</v>
      </c>
      <c r="B37" s="442"/>
      <c r="C37" s="442" t="s">
        <v>22</v>
      </c>
      <c r="D37" s="583" t="s">
        <v>369</v>
      </c>
      <c r="E37" s="578"/>
      <c r="F37" s="754"/>
      <c r="G37" s="754"/>
      <c r="H37" s="754"/>
      <c r="I37" s="533" t="str">
        <f t="shared" si="1"/>
        <v xml:space="preserve">  </v>
      </c>
      <c r="R37" s="530"/>
      <c r="S37" s="530"/>
      <c r="T37" s="530"/>
    </row>
    <row r="38" spans="1:20" s="529" customFormat="1">
      <c r="A38" s="524">
        <f t="shared" si="0"/>
        <v>651</v>
      </c>
      <c r="B38" s="581" t="s">
        <v>859</v>
      </c>
      <c r="C38" s="582"/>
      <c r="D38" s="582"/>
      <c r="E38" s="538"/>
      <c r="F38" s="759"/>
      <c r="G38" s="759"/>
      <c r="H38" s="759"/>
      <c r="I38" s="549"/>
      <c r="R38" s="530"/>
      <c r="S38" s="530"/>
      <c r="T38" s="530"/>
    </row>
    <row r="39" spans="1:20" s="529" customFormat="1" ht="25.5">
      <c r="A39" s="524">
        <f t="shared" si="0"/>
        <v>652</v>
      </c>
      <c r="B39" s="442"/>
      <c r="C39" s="442" t="s">
        <v>860</v>
      </c>
      <c r="D39" s="583" t="s">
        <v>369</v>
      </c>
      <c r="E39" s="578"/>
      <c r="F39" s="754"/>
      <c r="G39" s="754"/>
      <c r="H39" s="754"/>
      <c r="I39" s="533" t="str">
        <f t="shared" si="1"/>
        <v xml:space="preserve">  </v>
      </c>
      <c r="R39" s="530"/>
      <c r="S39" s="530"/>
      <c r="T39" s="530"/>
    </row>
    <row r="40" spans="1:20" s="529" customFormat="1" ht="25.5">
      <c r="A40" s="524">
        <f t="shared" si="0"/>
        <v>653</v>
      </c>
      <c r="B40" s="442"/>
      <c r="C40" s="442" t="s">
        <v>861</v>
      </c>
      <c r="D40" s="583" t="s">
        <v>369</v>
      </c>
      <c r="E40" s="578"/>
      <c r="F40" s="754"/>
      <c r="G40" s="754"/>
      <c r="H40" s="754"/>
      <c r="I40" s="533" t="str">
        <f t="shared" si="1"/>
        <v xml:space="preserve">  </v>
      </c>
      <c r="R40" s="530"/>
      <c r="S40" s="530"/>
      <c r="T40" s="530"/>
    </row>
    <row r="41" spans="1:20" s="529" customFormat="1" ht="25.5">
      <c r="A41" s="524">
        <f t="shared" si="0"/>
        <v>654</v>
      </c>
      <c r="B41" s="442"/>
      <c r="C41" s="442" t="s">
        <v>862</v>
      </c>
      <c r="D41" s="583" t="s">
        <v>369</v>
      </c>
      <c r="E41" s="578"/>
      <c r="F41" s="754"/>
      <c r="G41" s="754"/>
      <c r="H41" s="754"/>
      <c r="I41" s="533" t="str">
        <f t="shared" si="1"/>
        <v xml:space="preserve">  </v>
      </c>
      <c r="R41" s="530"/>
      <c r="S41" s="530"/>
      <c r="T41" s="530"/>
    </row>
    <row r="42" spans="1:20" s="529" customFormat="1" ht="25.5">
      <c r="A42" s="524">
        <f t="shared" si="0"/>
        <v>655</v>
      </c>
      <c r="B42" s="442"/>
      <c r="C42" s="442" t="s">
        <v>392</v>
      </c>
      <c r="D42" s="583" t="s">
        <v>369</v>
      </c>
      <c r="E42" s="578"/>
      <c r="F42" s="754"/>
      <c r="G42" s="754"/>
      <c r="H42" s="754"/>
      <c r="I42" s="533" t="str">
        <f t="shared" si="1"/>
        <v xml:space="preserve">  </v>
      </c>
      <c r="R42" s="530"/>
      <c r="S42" s="530"/>
      <c r="T42" s="530"/>
    </row>
    <row r="43" spans="1:20" s="529" customFormat="1">
      <c r="A43" s="524">
        <f t="shared" si="0"/>
        <v>656</v>
      </c>
      <c r="B43" s="442"/>
      <c r="C43" s="442" t="s">
        <v>863</v>
      </c>
      <c r="D43" s="583"/>
      <c r="E43" s="538"/>
      <c r="F43" s="759"/>
      <c r="G43" s="759"/>
      <c r="H43" s="759"/>
      <c r="I43" s="549"/>
      <c r="R43" s="530"/>
      <c r="S43" s="530"/>
      <c r="T43" s="530"/>
    </row>
    <row r="44" spans="1:20" s="534" customFormat="1">
      <c r="A44" s="524">
        <f t="shared" si="0"/>
        <v>657</v>
      </c>
      <c r="B44" s="581" t="s">
        <v>27</v>
      </c>
      <c r="C44" s="582"/>
      <c r="D44" s="582"/>
      <c r="E44" s="578"/>
      <c r="F44" s="754"/>
      <c r="G44" s="754"/>
      <c r="H44" s="754"/>
      <c r="I44" s="533" t="str">
        <f t="shared" si="1"/>
        <v xml:space="preserve">  </v>
      </c>
      <c r="R44" s="535"/>
      <c r="S44" s="535"/>
      <c r="T44" s="535"/>
    </row>
    <row r="45" spans="1:20" s="534" customFormat="1" ht="25.5">
      <c r="A45" s="524">
        <f t="shared" si="0"/>
        <v>658</v>
      </c>
      <c r="B45" s="442"/>
      <c r="C45" s="442" t="s">
        <v>864</v>
      </c>
      <c r="D45" s="583" t="s">
        <v>365</v>
      </c>
      <c r="E45" s="578"/>
      <c r="F45" s="754"/>
      <c r="G45" s="754"/>
      <c r="H45" s="754"/>
      <c r="I45" s="533" t="str">
        <f t="shared" si="1"/>
        <v xml:space="preserve">  </v>
      </c>
      <c r="R45" s="535"/>
      <c r="S45" s="535"/>
      <c r="T45" s="535"/>
    </row>
    <row r="46" spans="1:20" s="529" customFormat="1" ht="25.5">
      <c r="A46" s="524">
        <f t="shared" si="0"/>
        <v>659</v>
      </c>
      <c r="B46" s="442"/>
      <c r="C46" s="442" t="s">
        <v>865</v>
      </c>
      <c r="D46" s="583" t="s">
        <v>365</v>
      </c>
      <c r="E46" s="538"/>
      <c r="F46" s="759"/>
      <c r="G46" s="759"/>
      <c r="H46" s="759"/>
      <c r="I46" s="549"/>
      <c r="R46" s="530"/>
      <c r="S46" s="530"/>
      <c r="T46" s="530"/>
    </row>
    <row r="47" spans="1:20" s="534" customFormat="1" ht="25.5">
      <c r="A47" s="524">
        <f t="shared" si="0"/>
        <v>660</v>
      </c>
      <c r="B47" s="442"/>
      <c r="C47" s="442" t="s">
        <v>866</v>
      </c>
      <c r="D47" s="583" t="s">
        <v>66</v>
      </c>
      <c r="E47" s="578"/>
      <c r="F47" s="754"/>
      <c r="G47" s="754"/>
      <c r="H47" s="754"/>
      <c r="I47" s="533" t="str">
        <f t="shared" si="1"/>
        <v xml:space="preserve">  </v>
      </c>
      <c r="R47" s="535"/>
      <c r="S47" s="535"/>
      <c r="T47" s="535"/>
    </row>
    <row r="48" spans="1:20" s="534" customFormat="1" ht="25.5">
      <c r="A48" s="524">
        <f t="shared" si="0"/>
        <v>661</v>
      </c>
      <c r="B48" s="442"/>
      <c r="C48" s="442" t="s">
        <v>867</v>
      </c>
      <c r="D48" s="583" t="s">
        <v>66</v>
      </c>
      <c r="E48" s="578"/>
      <c r="F48" s="754"/>
      <c r="G48" s="754"/>
      <c r="H48" s="754"/>
      <c r="I48" s="533" t="str">
        <f t="shared" si="1"/>
        <v xml:space="preserve">  </v>
      </c>
      <c r="R48" s="535"/>
      <c r="S48" s="535"/>
      <c r="T48" s="535"/>
    </row>
    <row r="49" spans="1:20" s="534" customFormat="1">
      <c r="A49" s="524">
        <f t="shared" si="0"/>
        <v>662</v>
      </c>
      <c r="B49" s="581" t="s">
        <v>179</v>
      </c>
      <c r="C49" s="582"/>
      <c r="D49" s="582"/>
      <c r="E49" s="538"/>
      <c r="F49" s="759"/>
      <c r="G49" s="759"/>
      <c r="H49" s="759"/>
      <c r="I49" s="549" t="str">
        <f t="shared" si="1"/>
        <v xml:space="preserve">  </v>
      </c>
      <c r="R49" s="535"/>
      <c r="S49" s="535"/>
      <c r="T49" s="535"/>
    </row>
    <row r="50" spans="1:20" s="534" customFormat="1">
      <c r="A50" s="524">
        <f t="shared" si="0"/>
        <v>663</v>
      </c>
      <c r="B50" s="442"/>
      <c r="C50" s="442" t="s">
        <v>868</v>
      </c>
      <c r="D50" s="583" t="s">
        <v>365</v>
      </c>
      <c r="E50" s="578"/>
      <c r="F50" s="754"/>
      <c r="G50" s="754"/>
      <c r="H50" s="754"/>
      <c r="I50" s="533" t="str">
        <f t="shared" si="1"/>
        <v xml:space="preserve">  </v>
      </c>
      <c r="R50" s="535"/>
      <c r="S50" s="535"/>
      <c r="T50" s="535"/>
    </row>
    <row r="51" spans="1:20" s="534" customFormat="1" ht="25.5">
      <c r="A51" s="524">
        <f t="shared" si="0"/>
        <v>664</v>
      </c>
      <c r="B51" s="442"/>
      <c r="C51" s="442" t="s">
        <v>35</v>
      </c>
      <c r="D51" s="583" t="s">
        <v>365</v>
      </c>
      <c r="E51" s="493"/>
      <c r="F51" s="760"/>
      <c r="G51" s="761"/>
      <c r="H51" s="762"/>
      <c r="I51" s="533"/>
      <c r="R51" s="535"/>
      <c r="S51" s="535"/>
      <c r="T51" s="535"/>
    </row>
    <row r="52" spans="1:20" s="534" customFormat="1" ht="25.5">
      <c r="A52" s="524">
        <f t="shared" si="0"/>
        <v>665</v>
      </c>
      <c r="B52" s="442"/>
      <c r="C52" s="442" t="s">
        <v>869</v>
      </c>
      <c r="D52" s="583" t="s">
        <v>365</v>
      </c>
      <c r="E52" s="493"/>
      <c r="F52" s="760"/>
      <c r="G52" s="761"/>
      <c r="H52" s="762"/>
      <c r="I52" s="533"/>
      <c r="R52" s="535"/>
      <c r="S52" s="535"/>
      <c r="T52" s="535"/>
    </row>
    <row r="53" spans="1:20" s="534" customFormat="1">
      <c r="A53" s="524">
        <f t="shared" si="0"/>
        <v>666</v>
      </c>
      <c r="B53" s="442"/>
      <c r="C53" s="442" t="s">
        <v>38</v>
      </c>
      <c r="D53" s="583" t="s">
        <v>365</v>
      </c>
      <c r="E53" s="493"/>
      <c r="F53" s="760"/>
      <c r="G53" s="761"/>
      <c r="H53" s="762"/>
      <c r="I53" s="533"/>
      <c r="R53" s="535"/>
      <c r="S53" s="535"/>
      <c r="T53" s="535"/>
    </row>
    <row r="54" spans="1:20" s="534" customFormat="1">
      <c r="A54" s="524">
        <f t="shared" si="0"/>
        <v>667</v>
      </c>
      <c r="B54" s="442"/>
      <c r="C54" s="442" t="s">
        <v>45</v>
      </c>
      <c r="D54" s="583" t="s">
        <v>365</v>
      </c>
      <c r="E54" s="493"/>
      <c r="F54" s="760"/>
      <c r="G54" s="761"/>
      <c r="H54" s="762"/>
      <c r="I54" s="533"/>
      <c r="R54" s="535"/>
      <c r="S54" s="535"/>
      <c r="T54" s="535"/>
    </row>
    <row r="55" spans="1:20" s="534" customFormat="1" ht="25.5">
      <c r="A55" s="524">
        <f t="shared" si="0"/>
        <v>668</v>
      </c>
      <c r="B55" s="442"/>
      <c r="C55" s="442" t="s">
        <v>46</v>
      </c>
      <c r="D55" s="583" t="s">
        <v>365</v>
      </c>
      <c r="E55" s="493"/>
      <c r="F55" s="760"/>
      <c r="G55" s="761"/>
      <c r="H55" s="762"/>
      <c r="I55" s="533"/>
      <c r="R55" s="535"/>
      <c r="S55" s="535"/>
      <c r="T55" s="535"/>
    </row>
    <row r="56" spans="1:20" s="534" customFormat="1">
      <c r="A56" s="524">
        <f t="shared" si="0"/>
        <v>669</v>
      </c>
      <c r="B56" s="581" t="s">
        <v>182</v>
      </c>
      <c r="C56" s="582"/>
      <c r="D56" s="582"/>
      <c r="E56" s="538"/>
      <c r="F56" s="759"/>
      <c r="G56" s="759"/>
      <c r="H56" s="759"/>
      <c r="I56" s="549"/>
      <c r="R56" s="535"/>
      <c r="S56" s="535"/>
      <c r="T56" s="535"/>
    </row>
    <row r="57" spans="1:20" s="534" customFormat="1" ht="25.5">
      <c r="A57" s="524">
        <f t="shared" si="0"/>
        <v>670</v>
      </c>
      <c r="B57" s="442"/>
      <c r="C57" s="442" t="s">
        <v>870</v>
      </c>
      <c r="D57" s="583" t="s">
        <v>365</v>
      </c>
      <c r="E57" s="493"/>
      <c r="F57" s="760"/>
      <c r="G57" s="761"/>
      <c r="H57" s="762"/>
      <c r="I57" s="533"/>
      <c r="R57" s="535"/>
      <c r="S57" s="535"/>
      <c r="T57" s="535"/>
    </row>
    <row r="58" spans="1:20" s="534" customFormat="1" ht="25.5">
      <c r="A58" s="524">
        <f t="shared" si="0"/>
        <v>671</v>
      </c>
      <c r="B58" s="442"/>
      <c r="C58" s="442" t="s">
        <v>871</v>
      </c>
      <c r="D58" s="583" t="s">
        <v>365</v>
      </c>
      <c r="E58" s="493"/>
      <c r="F58" s="760"/>
      <c r="G58" s="761"/>
      <c r="H58" s="762"/>
      <c r="I58" s="533"/>
      <c r="R58" s="535"/>
      <c r="S58" s="535"/>
      <c r="T58" s="535"/>
    </row>
    <row r="59" spans="1:20" s="534" customFormat="1" ht="25.5">
      <c r="A59" s="524">
        <f t="shared" si="0"/>
        <v>672</v>
      </c>
      <c r="B59" s="442"/>
      <c r="C59" s="442" t="s">
        <v>872</v>
      </c>
      <c r="D59" s="583" t="s">
        <v>365</v>
      </c>
      <c r="E59" s="493"/>
      <c r="F59" s="760"/>
      <c r="G59" s="761"/>
      <c r="H59" s="762"/>
      <c r="I59" s="533"/>
      <c r="R59" s="535"/>
      <c r="S59" s="535"/>
      <c r="T59" s="535"/>
    </row>
    <row r="60" spans="1:20" s="534" customFormat="1" ht="25.5">
      <c r="A60" s="524">
        <f t="shared" si="0"/>
        <v>673</v>
      </c>
      <c r="B60" s="442"/>
      <c r="C60" s="442" t="s">
        <v>48</v>
      </c>
      <c r="D60" s="583" t="s">
        <v>66</v>
      </c>
      <c r="E60" s="493"/>
      <c r="F60" s="760"/>
      <c r="G60" s="761"/>
      <c r="H60" s="762"/>
      <c r="I60" s="533"/>
      <c r="R60" s="535"/>
      <c r="S60" s="535"/>
      <c r="T60" s="535"/>
    </row>
    <row r="61" spans="1:20" s="534" customFormat="1" ht="25.5">
      <c r="A61" s="524">
        <f t="shared" si="0"/>
        <v>674</v>
      </c>
      <c r="B61" s="442"/>
      <c r="C61" s="442" t="s">
        <v>873</v>
      </c>
      <c r="D61" s="583" t="s">
        <v>66</v>
      </c>
      <c r="E61" s="493"/>
      <c r="F61" s="760"/>
      <c r="G61" s="761"/>
      <c r="H61" s="762"/>
      <c r="I61" s="533"/>
      <c r="R61" s="535"/>
      <c r="S61" s="535"/>
      <c r="T61" s="535"/>
    </row>
    <row r="62" spans="1:20" s="534" customFormat="1">
      <c r="A62" s="524">
        <f t="shared" si="0"/>
        <v>675</v>
      </c>
      <c r="B62" s="581" t="s">
        <v>185</v>
      </c>
      <c r="C62" s="582"/>
      <c r="D62" s="582"/>
      <c r="E62" s="538"/>
      <c r="F62" s="759"/>
      <c r="G62" s="759"/>
      <c r="H62" s="759"/>
      <c r="I62" s="549"/>
      <c r="R62" s="535"/>
      <c r="S62" s="535"/>
      <c r="T62" s="535"/>
    </row>
    <row r="63" spans="1:20" s="534" customFormat="1" ht="25.5">
      <c r="A63" s="524">
        <f t="shared" si="0"/>
        <v>676</v>
      </c>
      <c r="B63" s="442"/>
      <c r="C63" s="442" t="s">
        <v>874</v>
      </c>
      <c r="D63" s="583" t="s">
        <v>367</v>
      </c>
      <c r="E63" s="493"/>
      <c r="F63" s="760"/>
      <c r="G63" s="761"/>
      <c r="H63" s="762"/>
      <c r="I63" s="533"/>
      <c r="R63" s="535"/>
      <c r="S63" s="535"/>
      <c r="T63" s="535"/>
    </row>
    <row r="64" spans="1:20" s="534" customFormat="1" ht="25.5">
      <c r="A64" s="524">
        <f t="shared" si="0"/>
        <v>677</v>
      </c>
      <c r="B64" s="442"/>
      <c r="C64" s="442" t="s">
        <v>875</v>
      </c>
      <c r="D64" s="583" t="s">
        <v>367</v>
      </c>
      <c r="E64" s="493"/>
      <c r="F64" s="760"/>
      <c r="G64" s="761"/>
      <c r="H64" s="762"/>
      <c r="I64" s="533"/>
      <c r="R64" s="535"/>
      <c r="S64" s="535"/>
      <c r="T64" s="535"/>
    </row>
    <row r="65" spans="1:20" s="534" customFormat="1" ht="25.5">
      <c r="A65" s="524">
        <f t="shared" si="0"/>
        <v>678</v>
      </c>
      <c r="B65" s="442"/>
      <c r="C65" s="442" t="s">
        <v>876</v>
      </c>
      <c r="D65" s="583" t="s">
        <v>367</v>
      </c>
      <c r="E65" s="493"/>
      <c r="F65" s="760"/>
      <c r="G65" s="761"/>
      <c r="H65" s="762"/>
      <c r="I65" s="533"/>
      <c r="R65" s="535"/>
      <c r="S65" s="535"/>
      <c r="T65" s="535"/>
    </row>
    <row r="66" spans="1:20" s="534" customFormat="1" ht="25.5">
      <c r="A66" s="524">
        <f t="shared" si="0"/>
        <v>679</v>
      </c>
      <c r="B66" s="442"/>
      <c r="C66" s="442" t="s">
        <v>186</v>
      </c>
      <c r="D66" s="583" t="s">
        <v>361</v>
      </c>
      <c r="E66" s="493"/>
      <c r="F66" s="760"/>
      <c r="G66" s="761"/>
      <c r="H66" s="762"/>
      <c r="I66" s="533"/>
      <c r="R66" s="535"/>
      <c r="S66" s="535"/>
      <c r="T66" s="535"/>
    </row>
    <row r="67" spans="1:20" s="534" customFormat="1" ht="25.5">
      <c r="A67" s="524">
        <f t="shared" si="0"/>
        <v>680</v>
      </c>
      <c r="B67" s="442"/>
      <c r="C67" s="442" t="s">
        <v>187</v>
      </c>
      <c r="D67" s="583" t="s">
        <v>361</v>
      </c>
      <c r="E67" s="493"/>
      <c r="F67" s="760"/>
      <c r="G67" s="761"/>
      <c r="H67" s="762"/>
      <c r="I67" s="533"/>
      <c r="R67" s="535"/>
      <c r="S67" s="535"/>
      <c r="T67" s="535"/>
    </row>
    <row r="68" spans="1:20" s="534" customFormat="1">
      <c r="A68" s="524">
        <f t="shared" si="0"/>
        <v>681</v>
      </c>
      <c r="B68" s="581" t="s">
        <v>220</v>
      </c>
      <c r="C68" s="582"/>
      <c r="D68" s="582"/>
      <c r="E68" s="538"/>
      <c r="F68" s="759"/>
      <c r="G68" s="759"/>
      <c r="H68" s="759"/>
      <c r="I68" s="549"/>
      <c r="R68" s="535"/>
      <c r="S68" s="535"/>
      <c r="T68" s="535"/>
    </row>
    <row r="69" spans="1:20" s="534" customFormat="1" ht="25.5">
      <c r="A69" s="524">
        <f t="shared" si="0"/>
        <v>682</v>
      </c>
      <c r="B69" s="442"/>
      <c r="C69" s="442" t="s">
        <v>189</v>
      </c>
      <c r="D69" s="583" t="s">
        <v>368</v>
      </c>
      <c r="E69" s="493"/>
      <c r="F69" s="760"/>
      <c r="G69" s="761"/>
      <c r="H69" s="762"/>
      <c r="I69" s="533"/>
      <c r="R69" s="535"/>
      <c r="S69" s="535"/>
      <c r="T69" s="535"/>
    </row>
    <row r="70" spans="1:20" s="534" customFormat="1" ht="25.5">
      <c r="A70" s="524">
        <f t="shared" si="0"/>
        <v>683</v>
      </c>
      <c r="B70" s="442"/>
      <c r="C70" s="442" t="s">
        <v>190</v>
      </c>
      <c r="D70" s="583" t="s">
        <v>371</v>
      </c>
      <c r="E70" s="493"/>
      <c r="F70" s="760"/>
      <c r="G70" s="761"/>
      <c r="H70" s="762"/>
      <c r="I70" s="533"/>
      <c r="R70" s="535"/>
      <c r="S70" s="535"/>
      <c r="T70" s="535"/>
    </row>
    <row r="71" spans="1:20" s="534" customFormat="1">
      <c r="A71" s="524">
        <f t="shared" si="0"/>
        <v>684</v>
      </c>
      <c r="B71" s="442"/>
      <c r="C71" s="442" t="s">
        <v>191</v>
      </c>
      <c r="D71" s="583" t="s">
        <v>365</v>
      </c>
      <c r="E71" s="493"/>
      <c r="F71" s="760"/>
      <c r="G71" s="761"/>
      <c r="H71" s="762"/>
      <c r="I71" s="533"/>
      <c r="R71" s="535"/>
      <c r="S71" s="535"/>
      <c r="T71" s="535"/>
    </row>
    <row r="72" spans="1:20" s="534" customFormat="1" ht="25.5">
      <c r="A72" s="524">
        <f t="shared" si="0"/>
        <v>685</v>
      </c>
      <c r="B72" s="442"/>
      <c r="C72" s="442" t="s">
        <v>54</v>
      </c>
      <c r="D72" s="583" t="s">
        <v>365</v>
      </c>
      <c r="E72" s="493"/>
      <c r="F72" s="760"/>
      <c r="G72" s="761"/>
      <c r="H72" s="762"/>
      <c r="I72" s="533"/>
      <c r="R72" s="535"/>
      <c r="S72" s="535"/>
      <c r="T72" s="535"/>
    </row>
    <row r="73" spans="1:20" s="534" customFormat="1">
      <c r="A73" s="580"/>
      <c r="B73" s="542"/>
      <c r="C73" s="542"/>
      <c r="D73" s="553"/>
      <c r="E73" s="493"/>
      <c r="F73" s="760"/>
      <c r="G73" s="761"/>
      <c r="H73" s="762"/>
      <c r="I73" s="533"/>
      <c r="R73" s="535"/>
      <c r="S73" s="535"/>
      <c r="T73" s="535"/>
    </row>
    <row r="74" spans="1:20" s="534" customFormat="1">
      <c r="A74" s="580"/>
      <c r="B74" s="542"/>
      <c r="C74" s="542"/>
      <c r="D74" s="553"/>
      <c r="E74" s="493"/>
      <c r="F74" s="760"/>
      <c r="G74" s="761"/>
      <c r="H74" s="762"/>
      <c r="I74" s="533"/>
      <c r="R74" s="535"/>
      <c r="S74" s="535"/>
      <c r="T74" s="535"/>
    </row>
    <row r="75" spans="1:20" s="534" customFormat="1">
      <c r="A75" s="580"/>
      <c r="B75" s="542"/>
      <c r="C75" s="542"/>
      <c r="D75" s="553"/>
      <c r="E75" s="493"/>
      <c r="F75" s="760"/>
      <c r="G75" s="761"/>
      <c r="H75" s="762"/>
      <c r="I75" s="533"/>
      <c r="R75" s="535"/>
      <c r="S75" s="535"/>
      <c r="T75" s="535"/>
    </row>
    <row r="76" spans="1:20" s="534" customFormat="1">
      <c r="A76" s="580"/>
      <c r="B76" s="542"/>
      <c r="C76" s="542"/>
      <c r="D76" s="553"/>
      <c r="E76" s="493"/>
      <c r="F76" s="760"/>
      <c r="G76" s="761"/>
      <c r="H76" s="762"/>
      <c r="I76" s="533"/>
      <c r="R76" s="535"/>
      <c r="S76" s="535"/>
      <c r="T76" s="535"/>
    </row>
    <row r="77" spans="1:20" s="534" customFormat="1">
      <c r="A77" s="580"/>
      <c r="B77" s="542"/>
      <c r="C77" s="542"/>
      <c r="D77" s="553"/>
      <c r="E77" s="493"/>
      <c r="F77" s="760"/>
      <c r="G77" s="761"/>
      <c r="H77" s="762"/>
      <c r="I77" s="533"/>
      <c r="R77" s="535"/>
      <c r="S77" s="535"/>
      <c r="T77" s="535"/>
    </row>
    <row r="78" spans="1:20" s="534" customFormat="1">
      <c r="A78" s="580"/>
      <c r="B78" s="542"/>
      <c r="C78" s="542"/>
      <c r="D78" s="553"/>
      <c r="E78" s="493"/>
      <c r="F78" s="760"/>
      <c r="G78" s="761"/>
      <c r="H78" s="762"/>
      <c r="I78" s="533"/>
      <c r="R78" s="535"/>
      <c r="S78" s="535"/>
      <c r="T78" s="535"/>
    </row>
    <row r="79" spans="1:20" s="534" customFormat="1">
      <c r="A79" s="524"/>
      <c r="B79" s="542"/>
      <c r="C79" s="542"/>
      <c r="D79" s="553"/>
      <c r="E79" s="578"/>
      <c r="F79" s="754"/>
      <c r="G79" s="754"/>
      <c r="H79" s="754"/>
      <c r="I79" s="533" t="str">
        <f t="shared" si="1"/>
        <v xml:space="preserve">  </v>
      </c>
      <c r="R79" s="535"/>
      <c r="S79" s="535"/>
      <c r="T79" s="535"/>
    </row>
    <row r="80" spans="1:20" s="534" customFormat="1">
      <c r="A80" s="524"/>
      <c r="B80" s="542"/>
      <c r="C80" s="542"/>
      <c r="D80" s="553"/>
      <c r="E80" s="578"/>
      <c r="F80" s="754"/>
      <c r="G80" s="754"/>
      <c r="H80" s="754"/>
      <c r="I80" s="533" t="str">
        <f t="shared" si="1"/>
        <v xml:space="preserve">  </v>
      </c>
      <c r="R80" s="535"/>
      <c r="S80" s="535"/>
      <c r="T80" s="535"/>
    </row>
    <row r="81" spans="1:20" s="529" customFormat="1">
      <c r="A81" s="543"/>
      <c r="B81" s="544" t="s">
        <v>132</v>
      </c>
      <c r="C81" s="544"/>
      <c r="D81" s="544"/>
      <c r="E81" s="545"/>
      <c r="F81" s="758"/>
      <c r="G81" s="758"/>
      <c r="H81" s="758"/>
      <c r="I81" s="546"/>
    </row>
    <row r="82" spans="1:20" s="529" customFormat="1">
      <c r="A82" s="757"/>
      <c r="B82" s="757"/>
      <c r="C82" s="757"/>
      <c r="D82" s="757"/>
      <c r="E82" s="757"/>
      <c r="F82" s="757"/>
      <c r="G82" s="757"/>
      <c r="H82" s="757"/>
      <c r="I82" s="757"/>
    </row>
    <row r="83" spans="1:20" s="529" customFormat="1">
      <c r="A83" s="757"/>
      <c r="B83" s="757"/>
      <c r="C83" s="757"/>
      <c r="D83" s="757"/>
      <c r="E83" s="757"/>
      <c r="F83" s="757"/>
      <c r="G83" s="757"/>
      <c r="H83" s="757"/>
      <c r="I83" s="757"/>
    </row>
    <row r="84" spans="1:20" customFormat="1">
      <c r="A84" s="757"/>
      <c r="B84" s="757"/>
      <c r="C84" s="757"/>
      <c r="D84" s="757"/>
      <c r="E84" s="757"/>
      <c r="F84" s="757"/>
      <c r="G84" s="757"/>
      <c r="H84" s="757"/>
      <c r="I84" s="757"/>
      <c r="J84" s="547"/>
      <c r="K84" s="547"/>
      <c r="L84" s="547"/>
      <c r="M84" s="547"/>
      <c r="N84" s="547"/>
      <c r="O84" s="547"/>
      <c r="P84" s="547"/>
      <c r="Q84" s="547"/>
      <c r="R84" s="547"/>
      <c r="S84" s="547"/>
      <c r="T84" s="547"/>
    </row>
    <row r="85" spans="1:20" customFormat="1">
      <c r="A85" s="757"/>
      <c r="B85" s="757"/>
      <c r="C85" s="757"/>
      <c r="D85" s="757"/>
      <c r="E85" s="757"/>
      <c r="F85" s="757"/>
      <c r="G85" s="757"/>
      <c r="H85" s="757"/>
      <c r="I85" s="757"/>
      <c r="J85" s="547"/>
      <c r="K85" s="547"/>
      <c r="L85" s="547"/>
      <c r="M85" s="547"/>
      <c r="N85" s="547"/>
      <c r="O85" s="547"/>
      <c r="P85" s="547"/>
      <c r="Q85" s="547"/>
      <c r="R85" s="547"/>
      <c r="S85" s="547"/>
      <c r="T85" s="547"/>
    </row>
    <row r="86" spans="1:20" customFormat="1">
      <c r="A86" s="757"/>
      <c r="B86" s="757"/>
      <c r="C86" s="757"/>
      <c r="D86" s="757"/>
      <c r="E86" s="757"/>
      <c r="F86" s="757"/>
      <c r="G86" s="757"/>
      <c r="H86" s="757"/>
      <c r="I86" s="757"/>
      <c r="J86" s="547"/>
      <c r="K86" s="547"/>
      <c r="L86" s="547"/>
      <c r="M86" s="547"/>
      <c r="N86" s="547"/>
      <c r="O86" s="547"/>
      <c r="P86" s="547"/>
      <c r="Q86" s="547"/>
      <c r="R86" s="547"/>
      <c r="S86" s="547"/>
      <c r="T86" s="547"/>
    </row>
    <row r="87" spans="1:20" customFormat="1">
      <c r="A87" s="757"/>
      <c r="B87" s="757"/>
      <c r="C87" s="757"/>
      <c r="D87" s="757"/>
      <c r="E87" s="757"/>
      <c r="F87" s="757"/>
      <c r="G87" s="757"/>
      <c r="H87" s="757"/>
      <c r="I87" s="757"/>
      <c r="J87" s="547"/>
      <c r="K87" s="547"/>
      <c r="L87" s="547"/>
      <c r="M87" s="547"/>
      <c r="N87" s="547"/>
      <c r="O87" s="547"/>
      <c r="P87" s="547"/>
      <c r="Q87" s="547"/>
      <c r="R87" s="547"/>
      <c r="S87" s="547"/>
      <c r="T87" s="547"/>
    </row>
  </sheetData>
  <mergeCells count="74">
    <mergeCell ref="F20:H20"/>
    <mergeCell ref="B2:C2"/>
    <mergeCell ref="D2:G2"/>
    <mergeCell ref="H2:I2"/>
    <mergeCell ref="A4:I4"/>
    <mergeCell ref="B10:C10"/>
    <mergeCell ref="B11:C11"/>
    <mergeCell ref="B14:H14"/>
    <mergeCell ref="C16:D16"/>
    <mergeCell ref="F17:H17"/>
    <mergeCell ref="F18:H18"/>
    <mergeCell ref="F19:H19"/>
    <mergeCell ref="F32:H32"/>
    <mergeCell ref="F21:H21"/>
    <mergeCell ref="F22:H22"/>
    <mergeCell ref="F23:H23"/>
    <mergeCell ref="F24:H24"/>
    <mergeCell ref="F25:H25"/>
    <mergeCell ref="F26:H26"/>
    <mergeCell ref="F27:H27"/>
    <mergeCell ref="F28:H28"/>
    <mergeCell ref="F29:H29"/>
    <mergeCell ref="F30:H30"/>
    <mergeCell ref="F31:H31"/>
    <mergeCell ref="F44:H44"/>
    <mergeCell ref="F33:H33"/>
    <mergeCell ref="F34:H34"/>
    <mergeCell ref="F35:H35"/>
    <mergeCell ref="F36:H36"/>
    <mergeCell ref="F37:H37"/>
    <mergeCell ref="F38:H38"/>
    <mergeCell ref="F39:H39"/>
    <mergeCell ref="F40:H40"/>
    <mergeCell ref="F41:H41"/>
    <mergeCell ref="F42:H42"/>
    <mergeCell ref="F43:H43"/>
    <mergeCell ref="F79:H79"/>
    <mergeCell ref="F80:H80"/>
    <mergeCell ref="F81:H81"/>
    <mergeCell ref="A82:I87"/>
    <mergeCell ref="F45:H45"/>
    <mergeCell ref="F46:H46"/>
    <mergeCell ref="F47:H47"/>
    <mergeCell ref="F48:H48"/>
    <mergeCell ref="F49:H49"/>
    <mergeCell ref="F50:H50"/>
    <mergeCell ref="F51:H51"/>
    <mergeCell ref="F52:H52"/>
    <mergeCell ref="F53:H53"/>
    <mergeCell ref="F54:H54"/>
    <mergeCell ref="F55:H55"/>
    <mergeCell ref="F56:H56"/>
    <mergeCell ref="F57:H57"/>
    <mergeCell ref="F58:H58"/>
    <mergeCell ref="F59:H59"/>
    <mergeCell ref="F60:H60"/>
    <mergeCell ref="F61:H61"/>
    <mergeCell ref="F62:H62"/>
    <mergeCell ref="F63:H63"/>
    <mergeCell ref="F64:H64"/>
    <mergeCell ref="F65:H65"/>
    <mergeCell ref="F66:H66"/>
    <mergeCell ref="F67:H67"/>
    <mergeCell ref="F68:H68"/>
    <mergeCell ref="F69:H69"/>
    <mergeCell ref="F70:H70"/>
    <mergeCell ref="F71:H71"/>
    <mergeCell ref="F77:H77"/>
    <mergeCell ref="F78:H78"/>
    <mergeCell ref="F72:H72"/>
    <mergeCell ref="F73:H73"/>
    <mergeCell ref="F74:H74"/>
    <mergeCell ref="F75:H75"/>
    <mergeCell ref="F76:H76"/>
  </mergeCells>
  <dataValidations count="2">
    <dataValidation type="list" allowBlank="1" showInputMessage="1" showErrorMessage="1" sqref="E34 E43 E38 E29 E46 E23 E18">
      <formula1>Resultados1</formula1>
      <formula2>0</formula2>
    </dataValidation>
    <dataValidation type="list" allowBlank="1" showInputMessage="1" showErrorMessage="1" sqref="E19:E22 E30:E33 E39:E42 E35:E37 E44:E45 E24:E28 E47:E80">
      <formula1>Resultados</formula1>
      <formula2>0</formula2>
    </dataValidation>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5"/>
  </sheetPr>
  <dimension ref="A2:S317"/>
  <sheetViews>
    <sheetView showGridLines="0" tabSelected="1" zoomScaleNormal="100" workbookViewId="0">
      <pane ySplit="13" topLeftCell="A14" activePane="bottomLeft" state="frozen"/>
      <selection activeCell="F83" sqref="F83:H83"/>
      <selection pane="bottomLeft" activeCell="H10" sqref="H10"/>
    </sheetView>
  </sheetViews>
  <sheetFormatPr baseColWidth="10" defaultColWidth="9.140625" defaultRowHeight="12.75"/>
  <cols>
    <col min="1" max="1" width="5.85546875" style="54" customWidth="1"/>
    <col min="2" max="2" width="28.7109375" style="54" customWidth="1"/>
    <col min="3" max="3" width="18.140625" style="54" customWidth="1"/>
    <col min="4" max="4" width="15.28515625" style="54" customWidth="1"/>
    <col min="5" max="5" width="21.42578125" style="54" customWidth="1"/>
    <col min="6" max="6" width="29.28515625" style="54" customWidth="1"/>
    <col min="7" max="7" width="27.42578125" style="54" customWidth="1"/>
    <col min="8" max="8" width="11.5703125" style="54" customWidth="1"/>
    <col min="9" max="9" width="13.42578125" style="54" customWidth="1"/>
    <col min="10" max="10" width="11.140625" style="54" customWidth="1"/>
    <col min="11" max="16384" width="9.140625" style="54"/>
  </cols>
  <sheetData>
    <row r="2" spans="1:19" s="14" customFormat="1" ht="53.25" customHeight="1">
      <c r="A2" s="12"/>
      <c r="B2" s="622"/>
      <c r="C2" s="622"/>
      <c r="D2" s="641" t="s">
        <v>573</v>
      </c>
      <c r="E2" s="642"/>
      <c r="F2" s="642"/>
      <c r="G2" s="665"/>
      <c r="H2" s="622"/>
      <c r="I2" s="622"/>
      <c r="J2" s="622"/>
    </row>
    <row r="4" spans="1:19" s="52" customFormat="1" ht="15.75">
      <c r="A4" s="766" t="s">
        <v>55</v>
      </c>
      <c r="B4" s="767"/>
      <c r="C4" s="767"/>
      <c r="D4" s="767"/>
      <c r="E4" s="767"/>
      <c r="F4" s="767"/>
      <c r="G4" s="767"/>
      <c r="H4" s="767"/>
      <c r="I4" s="767"/>
      <c r="J4" s="768"/>
    </row>
    <row r="5" spans="1:19" s="52" customFormat="1" ht="12"/>
    <row r="6" spans="1:19" s="52" customFormat="1">
      <c r="B6" s="386" t="s">
        <v>79</v>
      </c>
      <c r="C6" s="422" t="str">
        <f>'Historial de Revisiones'!D4</f>
        <v>LP02</v>
      </c>
      <c r="D6" s="423"/>
      <c r="E6" s="386" t="s">
        <v>451</v>
      </c>
      <c r="F6" s="387" t="str">
        <f>'Historial de Revisiones'!G4</f>
        <v>GOC-7089</v>
      </c>
    </row>
    <row r="7" spans="1:19" s="52" customFormat="1">
      <c r="B7" s="386" t="s">
        <v>80</v>
      </c>
      <c r="C7" s="422" t="str">
        <f>'Historial de Revisiones'!D5</f>
        <v>Luis Marcilla</v>
      </c>
      <c r="D7" s="423"/>
      <c r="E7" s="386" t="s">
        <v>477</v>
      </c>
      <c r="F7" s="387" t="str">
        <f>'Historial de Revisiones'!G5</f>
        <v>GOC-7092</v>
      </c>
    </row>
    <row r="8" spans="1:19" s="52" customFormat="1">
      <c r="B8" s="386" t="s">
        <v>81</v>
      </c>
      <c r="C8" s="424">
        <f>'Historial de Revisiones'!D6</f>
        <v>673</v>
      </c>
      <c r="D8" s="423"/>
      <c r="E8" s="386" t="s">
        <v>124</v>
      </c>
      <c r="F8" s="387">
        <f>'Historial de Revisiones'!G6</f>
        <v>0</v>
      </c>
    </row>
    <row r="9" spans="1:19" s="52" customFormat="1">
      <c r="B9" s="386" t="s">
        <v>82</v>
      </c>
      <c r="C9" s="385">
        <f>'Historial de Revisiones'!D7</f>
        <v>44228</v>
      </c>
      <c r="D9" s="423"/>
      <c r="E9" s="386" t="s">
        <v>125</v>
      </c>
      <c r="F9" s="387" t="str">
        <f>'Historial de Revisiones'!G7</f>
        <v>Nombre desarrolllador</v>
      </c>
    </row>
    <row r="10" spans="1:19" s="52" customFormat="1">
      <c r="B10" s="386" t="s">
        <v>83</v>
      </c>
      <c r="C10" s="385">
        <f>'Historial de Revisiones'!D8</f>
        <v>44295</v>
      </c>
      <c r="D10" s="423"/>
      <c r="E10" s="386" t="s">
        <v>126</v>
      </c>
      <c r="F10" s="387" t="str">
        <f>'Historial de Revisiones'!G8</f>
        <v>Nombre de custodio</v>
      </c>
    </row>
    <row r="11" spans="1:19" s="52" customFormat="1" ht="12"/>
    <row r="12" spans="1:19" s="52" customFormat="1" ht="12">
      <c r="Q12" s="53"/>
      <c r="R12" s="53"/>
      <c r="S12" s="53"/>
    </row>
    <row r="13" spans="1:19" s="57" customFormat="1" ht="36">
      <c r="A13" s="84" t="s">
        <v>456</v>
      </c>
      <c r="B13" s="84" t="s">
        <v>246</v>
      </c>
      <c r="C13" s="87" t="s">
        <v>56</v>
      </c>
      <c r="D13" s="87" t="s">
        <v>57</v>
      </c>
      <c r="E13" s="87" t="s">
        <v>58</v>
      </c>
      <c r="F13" s="87" t="s">
        <v>59</v>
      </c>
      <c r="G13" s="87" t="s">
        <v>273</v>
      </c>
      <c r="H13" s="87" t="s">
        <v>60</v>
      </c>
      <c r="I13" s="87" t="s">
        <v>61</v>
      </c>
      <c r="J13" s="87" t="s">
        <v>62</v>
      </c>
      <c r="K13" s="56"/>
      <c r="L13" s="56"/>
      <c r="M13" s="56"/>
      <c r="N13" s="56"/>
      <c r="O13" s="56"/>
    </row>
    <row r="14" spans="1:19" ht="12.75" hidden="1" customHeight="1">
      <c r="A14" s="96">
        <f>IF(Consolidado!A702=0," ",Consolidado!A702)</f>
        <v>0.2</v>
      </c>
      <c r="B14" s="109" t="str">
        <f>IF(Consolidado!B702=0," ",Consolidado!B702)</f>
        <v xml:space="preserve"> </v>
      </c>
      <c r="C14" s="83" t="str">
        <f>IF(Consolidado!C702=0," ",Consolidado!C702)</f>
        <v xml:space="preserve"> </v>
      </c>
      <c r="D14" s="83" t="str">
        <f>IF(Consolidado!E702=0," ",Consolidado!E702)</f>
        <v xml:space="preserve"> </v>
      </c>
      <c r="E14" s="83"/>
      <c r="F14" s="111" t="str">
        <f>IF(Consolidado!D702=0," ",Consolidado!D702)</f>
        <v xml:space="preserve"> </v>
      </c>
      <c r="G14" s="111"/>
      <c r="H14" s="110"/>
      <c r="I14" s="110"/>
      <c r="J14" s="112"/>
    </row>
    <row r="15" spans="1:19" ht="44.25" hidden="1" customHeight="1">
      <c r="A15" s="96">
        <f>IF(Consolidado!A703=0," ",Consolidado!A703)</f>
        <v>0.5</v>
      </c>
      <c r="B15" s="109" t="str">
        <f>IF(Consolidado!B703=0," ",Consolidado!B703)</f>
        <v xml:space="preserve"> </v>
      </c>
      <c r="C15" s="83" t="str">
        <f>IF(Consolidado!C703=0," ",Consolidado!C703)</f>
        <v>21/06/201</v>
      </c>
      <c r="D15" s="83" t="str">
        <f>IF(Consolidado!E703=0," ",Consolidado!E703)</f>
        <v xml:space="preserve"> </v>
      </c>
      <c r="E15" s="83"/>
      <c r="F15" s="111" t="str">
        <f>IF(Consolidado!D703=0," ",Consolidado!D703)</f>
        <v>aaaa</v>
      </c>
      <c r="G15" s="111"/>
      <c r="H15" s="110"/>
      <c r="I15" s="110"/>
      <c r="J15" s="112"/>
    </row>
    <row r="16" spans="1:19">
      <c r="A16" s="96" t="str">
        <f>IF(Consolidado!A704=0," ",Consolidado!A704)</f>
        <v xml:space="preserve"> </v>
      </c>
      <c r="B16" s="109" t="str">
        <f>IF(Consolidado!B704=0," ",Consolidado!B704)</f>
        <v xml:space="preserve"> </v>
      </c>
      <c r="C16" s="83" t="str">
        <f>IF(Consolidado!C704=0," ",Consolidado!C704)</f>
        <v xml:space="preserve"> </v>
      </c>
      <c r="D16" s="83" t="str">
        <f>IF(Consolidado!E704=0," ",Consolidado!E704)</f>
        <v xml:space="preserve"> </v>
      </c>
      <c r="E16" s="247"/>
      <c r="F16" s="248" t="str">
        <f>IF(Consolidado!D704=0," ",Consolidado!D704)</f>
        <v xml:space="preserve"> </v>
      </c>
      <c r="G16" s="269"/>
      <c r="H16" s="249"/>
      <c r="I16" s="249"/>
      <c r="J16" s="250"/>
    </row>
    <row r="17" spans="1:10">
      <c r="A17" s="96" t="str">
        <f>IF(Consolidado!A705=0," ",Consolidado!A705)</f>
        <v xml:space="preserve"> </v>
      </c>
      <c r="B17" s="109" t="str">
        <f>IF(Consolidado!B705=0," ",Consolidado!B705)</f>
        <v xml:space="preserve"> </v>
      </c>
      <c r="C17" s="83" t="str">
        <f>IF(Consolidado!C705=0," ",Consolidado!C705)</f>
        <v xml:space="preserve"> </v>
      </c>
      <c r="D17" s="83" t="str">
        <f>IF(Consolidado!E705=0," ",Consolidado!E705)</f>
        <v xml:space="preserve"> </v>
      </c>
      <c r="E17" s="247"/>
      <c r="F17" s="248" t="str">
        <f>IF(Consolidado!D705=0," ",Consolidado!D705)</f>
        <v xml:space="preserve"> </v>
      </c>
      <c r="G17" s="248"/>
      <c r="H17" s="249"/>
      <c r="I17" s="249"/>
      <c r="J17" s="250"/>
    </row>
    <row r="18" spans="1:10">
      <c r="A18" s="96" t="str">
        <f>IF(Consolidado!A706=0," ",Consolidado!A706)</f>
        <v xml:space="preserve"> </v>
      </c>
      <c r="B18" s="109" t="str">
        <f>IF(Consolidado!B706=0," ",Consolidado!B706)</f>
        <v xml:space="preserve"> </v>
      </c>
      <c r="C18" s="83" t="str">
        <f>IF(Consolidado!C706=0," ",Consolidado!C706)</f>
        <v xml:space="preserve"> </v>
      </c>
      <c r="D18" s="83" t="str">
        <f>IF(Consolidado!E706=0," ",Consolidado!E706)</f>
        <v xml:space="preserve"> </v>
      </c>
      <c r="E18" s="247"/>
      <c r="F18" s="248" t="str">
        <f>IF(Consolidado!D706=0," ",Consolidado!D706)</f>
        <v xml:space="preserve"> </v>
      </c>
      <c r="G18" s="248"/>
      <c r="H18" s="249"/>
      <c r="I18" s="249"/>
      <c r="J18" s="250"/>
    </row>
    <row r="19" spans="1:10">
      <c r="A19" s="96" t="str">
        <f>IF(Consolidado!A707=0," ",Consolidado!A707)</f>
        <v xml:space="preserve"> </v>
      </c>
      <c r="B19" s="109" t="str">
        <f>IF(Consolidado!B707=0," ",Consolidado!B707)</f>
        <v xml:space="preserve"> </v>
      </c>
      <c r="C19" s="83" t="str">
        <f>IF(Consolidado!C707=0," ",Consolidado!C707)</f>
        <v xml:space="preserve"> </v>
      </c>
      <c r="D19" s="83" t="str">
        <f>IF(Consolidado!E707=0," ",Consolidado!E707)</f>
        <v xml:space="preserve"> </v>
      </c>
      <c r="E19" s="247"/>
      <c r="F19" s="248" t="str">
        <f>IF(Consolidado!D707=0," ",Consolidado!D707)</f>
        <v xml:space="preserve"> </v>
      </c>
      <c r="G19" s="248"/>
      <c r="H19" s="249"/>
      <c r="I19" s="249"/>
      <c r="J19" s="250"/>
    </row>
    <row r="20" spans="1:10">
      <c r="A20" s="96" t="str">
        <f>IF(Consolidado!A708=0," ",Consolidado!A708)</f>
        <v xml:space="preserve"> </v>
      </c>
      <c r="B20" s="109" t="str">
        <f>IF(Consolidado!B708=0," ",Consolidado!B708)</f>
        <v xml:space="preserve"> </v>
      </c>
      <c r="C20" s="83" t="str">
        <f>IF(Consolidado!C708=0," ",Consolidado!C708)</f>
        <v xml:space="preserve"> </v>
      </c>
      <c r="D20" s="83" t="str">
        <f>IF(Consolidado!E708=0," ",Consolidado!E708)</f>
        <v xml:space="preserve"> </v>
      </c>
      <c r="E20" s="247"/>
      <c r="F20" s="248" t="str">
        <f>IF(Consolidado!D708=0," ",Consolidado!D708)</f>
        <v xml:space="preserve"> </v>
      </c>
      <c r="G20" s="248"/>
      <c r="H20" s="249"/>
      <c r="I20" s="249"/>
      <c r="J20" s="250"/>
    </row>
    <row r="21" spans="1:10">
      <c r="A21" s="96" t="str">
        <f>IF(Consolidado!A709=0," ",Consolidado!A709)</f>
        <v xml:space="preserve"> </v>
      </c>
      <c r="B21" s="109" t="str">
        <f>IF(Consolidado!B709=0," ",Consolidado!B709)</f>
        <v xml:space="preserve"> </v>
      </c>
      <c r="C21" s="83" t="str">
        <f>IF(Consolidado!C709=0," ",Consolidado!C709)</f>
        <v xml:space="preserve"> </v>
      </c>
      <c r="D21" s="83" t="str">
        <f>IF(Consolidado!E709=0," ",Consolidado!E709)</f>
        <v xml:space="preserve"> </v>
      </c>
      <c r="E21" s="247"/>
      <c r="F21" s="248" t="str">
        <f>IF(Consolidado!D709=0," ",Consolidado!D709)</f>
        <v xml:space="preserve"> </v>
      </c>
      <c r="G21" s="248"/>
      <c r="H21" s="249"/>
      <c r="I21" s="249"/>
      <c r="J21" s="250"/>
    </row>
    <row r="22" spans="1:10">
      <c r="A22" s="96" t="str">
        <f>IF(Consolidado!A710=0," ",Consolidado!A710)</f>
        <v xml:space="preserve"> </v>
      </c>
      <c r="B22" s="109" t="str">
        <f>IF(Consolidado!B710=0," ",Consolidado!B710)</f>
        <v xml:space="preserve"> </v>
      </c>
      <c r="C22" s="83" t="str">
        <f>IF(Consolidado!C710=0," ",Consolidado!C710)</f>
        <v xml:space="preserve"> </v>
      </c>
      <c r="D22" s="83" t="str">
        <f>IF(Consolidado!E710=0," ",Consolidado!E710)</f>
        <v xml:space="preserve"> </v>
      </c>
      <c r="E22" s="247"/>
      <c r="F22" s="248" t="str">
        <f>IF(Consolidado!D710=0," ",Consolidado!D710)</f>
        <v xml:space="preserve"> </v>
      </c>
      <c r="G22" s="248"/>
      <c r="H22" s="249"/>
      <c r="I22" s="249"/>
      <c r="J22" s="250"/>
    </row>
    <row r="23" spans="1:10">
      <c r="A23" s="96" t="str">
        <f>IF(Consolidado!A711=0," ",Consolidado!A711)</f>
        <v xml:space="preserve"> </v>
      </c>
      <c r="B23" s="109" t="str">
        <f>IF(Consolidado!B711=0," ",Consolidado!B711)</f>
        <v xml:space="preserve"> </v>
      </c>
      <c r="C23" s="83" t="str">
        <f>IF(Consolidado!C711=0," ",Consolidado!C711)</f>
        <v xml:space="preserve"> </v>
      </c>
      <c r="D23" s="83" t="str">
        <f>IF(Consolidado!E711=0," ",Consolidado!E711)</f>
        <v xml:space="preserve"> </v>
      </c>
      <c r="E23" s="247"/>
      <c r="F23" s="248" t="str">
        <f>IF(Consolidado!D711=0," ",Consolidado!D711)</f>
        <v xml:space="preserve"> </v>
      </c>
      <c r="G23" s="248"/>
      <c r="H23" s="249"/>
      <c r="I23" s="249"/>
      <c r="J23" s="250"/>
    </row>
    <row r="24" spans="1:10">
      <c r="A24" s="96" t="str">
        <f>IF(Consolidado!A712=0," ",Consolidado!A712)</f>
        <v xml:space="preserve"> </v>
      </c>
      <c r="B24" s="109" t="str">
        <f>IF(Consolidado!B712=0," ",Consolidado!B712)</f>
        <v xml:space="preserve"> </v>
      </c>
      <c r="C24" s="83" t="str">
        <f>IF(Consolidado!C712=0," ",Consolidado!C712)</f>
        <v xml:space="preserve"> </v>
      </c>
      <c r="D24" s="83" t="str">
        <f>IF(Consolidado!E712=0," ",Consolidado!E712)</f>
        <v xml:space="preserve"> </v>
      </c>
      <c r="E24" s="247"/>
      <c r="F24" s="248" t="str">
        <f>IF(Consolidado!D712=0," ",Consolidado!D712)</f>
        <v xml:space="preserve"> </v>
      </c>
      <c r="G24" s="248"/>
      <c r="H24" s="249"/>
      <c r="I24" s="249"/>
      <c r="J24" s="250"/>
    </row>
    <row r="25" spans="1:10">
      <c r="A25" s="96" t="str">
        <f>IF(Consolidado!A713=0," ",Consolidado!A713)</f>
        <v xml:space="preserve"> </v>
      </c>
      <c r="B25" s="109" t="str">
        <f>IF(Consolidado!B713=0," ",Consolidado!B713)</f>
        <v xml:space="preserve"> </v>
      </c>
      <c r="C25" s="83" t="str">
        <f>IF(Consolidado!C713=0," ",Consolidado!C713)</f>
        <v xml:space="preserve"> </v>
      </c>
      <c r="D25" s="83" t="str">
        <f>IF(Consolidado!E713=0," ",Consolidado!E713)</f>
        <v xml:space="preserve"> </v>
      </c>
      <c r="E25" s="247"/>
      <c r="F25" s="248" t="str">
        <f>IF(Consolidado!D713=0," ",Consolidado!D713)</f>
        <v xml:space="preserve"> </v>
      </c>
      <c r="G25" s="248"/>
      <c r="H25" s="249"/>
      <c r="I25" s="249"/>
      <c r="J25" s="250"/>
    </row>
    <row r="26" spans="1:10">
      <c r="A26" s="96" t="str">
        <f>IF(Consolidado!A714=0," ",Consolidado!A714)</f>
        <v xml:space="preserve"> </v>
      </c>
      <c r="B26" s="109" t="str">
        <f>IF(Consolidado!B714=0," ",Consolidado!B714)</f>
        <v xml:space="preserve"> </v>
      </c>
      <c r="C26" s="83" t="str">
        <f>IF(Consolidado!C714=0," ",Consolidado!C714)</f>
        <v xml:space="preserve"> </v>
      </c>
      <c r="D26" s="83" t="str">
        <f>IF(Consolidado!E714=0," ",Consolidado!E714)</f>
        <v xml:space="preserve"> </v>
      </c>
      <c r="E26" s="247"/>
      <c r="F26" s="248" t="str">
        <f>IF(Consolidado!D714=0," ",Consolidado!D714)</f>
        <v xml:space="preserve"> </v>
      </c>
      <c r="G26" s="248"/>
      <c r="H26" s="249"/>
      <c r="I26" s="249"/>
      <c r="J26" s="250"/>
    </row>
    <row r="27" spans="1:10">
      <c r="A27" s="96" t="str">
        <f>IF(Consolidado!A715=0," ",Consolidado!A715)</f>
        <v xml:space="preserve"> </v>
      </c>
      <c r="B27" s="109" t="str">
        <f>IF(Consolidado!B715=0," ",Consolidado!B715)</f>
        <v xml:space="preserve"> </v>
      </c>
      <c r="C27" s="83" t="str">
        <f>IF(Consolidado!C715=0," ",Consolidado!C715)</f>
        <v xml:space="preserve"> </v>
      </c>
      <c r="D27" s="83" t="str">
        <f>IF(Consolidado!E715=0," ",Consolidado!E715)</f>
        <v xml:space="preserve"> </v>
      </c>
      <c r="E27" s="247"/>
      <c r="F27" s="248" t="str">
        <f>IF(Consolidado!D715=0," ",Consolidado!D715)</f>
        <v xml:space="preserve"> </v>
      </c>
      <c r="G27" s="248"/>
      <c r="H27" s="249"/>
      <c r="I27" s="249"/>
      <c r="J27" s="250"/>
    </row>
    <row r="28" spans="1:10">
      <c r="A28" s="96" t="str">
        <f>IF(Consolidado!A716=0," ",Consolidado!A716)</f>
        <v xml:space="preserve"> </v>
      </c>
      <c r="B28" s="109" t="str">
        <f>IF(Consolidado!B716=0," ",Consolidado!B716)</f>
        <v xml:space="preserve"> </v>
      </c>
      <c r="C28" s="83" t="str">
        <f>IF(Consolidado!C716=0," ",Consolidado!C716)</f>
        <v xml:space="preserve"> </v>
      </c>
      <c r="D28" s="83" t="str">
        <f>IF(Consolidado!E716=0," ",Consolidado!E716)</f>
        <v xml:space="preserve"> </v>
      </c>
      <c r="E28" s="247"/>
      <c r="F28" s="248" t="str">
        <f>IF(Consolidado!D716=0," ",Consolidado!D716)</f>
        <v xml:space="preserve"> </v>
      </c>
      <c r="G28" s="248"/>
      <c r="H28" s="249"/>
      <c r="I28" s="249"/>
      <c r="J28" s="250"/>
    </row>
    <row r="29" spans="1:10">
      <c r="A29" s="96" t="str">
        <f>IF(Consolidado!A717=0," ",Consolidado!A717)</f>
        <v xml:space="preserve"> </v>
      </c>
      <c r="B29" s="109" t="str">
        <f>IF(Consolidado!B717=0," ",Consolidado!B717)</f>
        <v xml:space="preserve"> </v>
      </c>
      <c r="C29" s="83" t="str">
        <f>IF(Consolidado!C717=0," ",Consolidado!C717)</f>
        <v xml:space="preserve"> </v>
      </c>
      <c r="D29" s="83" t="str">
        <f>IF(Consolidado!E717=0," ",Consolidado!E717)</f>
        <v xml:space="preserve"> </v>
      </c>
      <c r="E29" s="247"/>
      <c r="F29" s="248" t="str">
        <f>IF(Consolidado!D717=0," ",Consolidado!D717)</f>
        <v xml:space="preserve"> </v>
      </c>
      <c r="G29" s="248"/>
      <c r="H29" s="249"/>
      <c r="I29" s="249"/>
      <c r="J29" s="250"/>
    </row>
    <row r="30" spans="1:10">
      <c r="A30" s="96" t="str">
        <f>IF(Consolidado!A718=0," ",Consolidado!A718)</f>
        <v xml:space="preserve"> </v>
      </c>
      <c r="B30" s="109" t="str">
        <f>IF(Consolidado!B718=0," ",Consolidado!B718)</f>
        <v xml:space="preserve"> </v>
      </c>
      <c r="C30" s="83" t="str">
        <f>IF(Consolidado!C718=0," ",Consolidado!C718)</f>
        <v xml:space="preserve"> </v>
      </c>
      <c r="D30" s="83" t="str">
        <f>IF(Consolidado!E718=0," ",Consolidado!E718)</f>
        <v xml:space="preserve"> </v>
      </c>
      <c r="E30" s="247"/>
      <c r="F30" s="248" t="str">
        <f>IF(Consolidado!D718=0," ",Consolidado!D718)</f>
        <v xml:space="preserve"> </v>
      </c>
      <c r="G30" s="248"/>
      <c r="H30" s="249"/>
      <c r="I30" s="249"/>
      <c r="J30" s="250"/>
    </row>
    <row r="31" spans="1:10">
      <c r="A31" s="96"/>
      <c r="B31" s="109"/>
      <c r="C31" s="83"/>
      <c r="D31" s="83"/>
      <c r="E31" s="247"/>
      <c r="F31" s="248" t="str">
        <f>IF(Consolidado!D719=0," ",Consolidado!D719)</f>
        <v xml:space="preserve"> </v>
      </c>
      <c r="G31" s="248"/>
      <c r="H31" s="249"/>
      <c r="I31" s="249"/>
      <c r="J31" s="250"/>
    </row>
    <row r="32" spans="1:10">
      <c r="A32" s="96"/>
      <c r="B32" s="109"/>
      <c r="C32" s="83"/>
      <c r="D32" s="83"/>
      <c r="E32" s="247"/>
      <c r="F32" s="248" t="str">
        <f>IF(Consolidado!D720=0," ",Consolidado!D720)</f>
        <v xml:space="preserve"> </v>
      </c>
      <c r="G32" s="248"/>
      <c r="H32" s="249"/>
      <c r="I32" s="249"/>
      <c r="J32" s="250"/>
    </row>
    <row r="33" spans="1:10">
      <c r="A33" s="96"/>
      <c r="B33" s="109"/>
      <c r="C33" s="83"/>
      <c r="D33" s="83"/>
      <c r="E33" s="247"/>
      <c r="F33" s="248" t="str">
        <f>IF(Consolidado!D721=0," ",Consolidado!D721)</f>
        <v xml:space="preserve"> </v>
      </c>
      <c r="G33" s="248"/>
      <c r="H33" s="249"/>
      <c r="I33" s="249"/>
      <c r="J33" s="250"/>
    </row>
    <row r="34" spans="1:10">
      <c r="A34" s="96"/>
      <c r="B34" s="109"/>
      <c r="C34" s="83"/>
      <c r="D34" s="83"/>
      <c r="E34" s="247"/>
      <c r="F34" s="248" t="str">
        <f>IF(Consolidado!D722=0," ",Consolidado!D722)</f>
        <v xml:space="preserve"> </v>
      </c>
      <c r="G34" s="248"/>
      <c r="H34" s="249"/>
      <c r="I34" s="249"/>
      <c r="J34" s="250"/>
    </row>
    <row r="35" spans="1:10">
      <c r="A35" s="96"/>
      <c r="B35" s="109"/>
      <c r="C35" s="83"/>
      <c r="D35" s="83"/>
      <c r="E35" s="247"/>
      <c r="F35" s="248" t="str">
        <f>IF(Consolidado!D723=0," ",Consolidado!D723)</f>
        <v xml:space="preserve"> </v>
      </c>
      <c r="G35" s="248"/>
      <c r="H35" s="249"/>
      <c r="I35" s="249"/>
      <c r="J35" s="250"/>
    </row>
    <row r="36" spans="1:10">
      <c r="A36" s="96"/>
      <c r="B36" s="109"/>
      <c r="C36" s="83"/>
      <c r="D36" s="83"/>
      <c r="E36" s="247"/>
      <c r="F36" s="248" t="str">
        <f>IF(Consolidado!D724=0," ",Consolidado!D724)</f>
        <v xml:space="preserve"> </v>
      </c>
      <c r="G36" s="248"/>
      <c r="H36" s="249"/>
      <c r="I36" s="249"/>
      <c r="J36" s="250"/>
    </row>
    <row r="37" spans="1:10">
      <c r="A37" s="96"/>
      <c r="B37" s="109"/>
      <c r="C37" s="83"/>
      <c r="D37" s="83"/>
      <c r="E37" s="247"/>
      <c r="F37" s="248" t="str">
        <f>IF(Consolidado!D725=0," ",Consolidado!D725)</f>
        <v xml:space="preserve"> </v>
      </c>
      <c r="G37" s="248"/>
      <c r="H37" s="249"/>
      <c r="I37" s="249"/>
      <c r="J37" s="250"/>
    </row>
    <row r="38" spans="1:10">
      <c r="A38" s="96"/>
      <c r="B38" s="109"/>
      <c r="C38" s="83"/>
      <c r="D38" s="83"/>
      <c r="E38" s="247"/>
      <c r="F38" s="248" t="str">
        <f>IF(Consolidado!D726=0," ",Consolidado!D726)</f>
        <v xml:space="preserve"> </v>
      </c>
      <c r="G38" s="248"/>
      <c r="H38" s="249"/>
      <c r="I38" s="249"/>
      <c r="J38" s="250"/>
    </row>
    <row r="39" spans="1:10">
      <c r="A39" s="96"/>
      <c r="B39" s="109"/>
      <c r="C39" s="83"/>
      <c r="D39" s="83"/>
      <c r="E39" s="247"/>
      <c r="F39" s="248" t="str">
        <f>IF(Consolidado!D727=0," ",Consolidado!D727)</f>
        <v xml:space="preserve"> </v>
      </c>
      <c r="G39" s="248"/>
      <c r="H39" s="249"/>
      <c r="I39" s="249"/>
      <c r="J39" s="250"/>
    </row>
    <row r="40" spans="1:10">
      <c r="A40" s="96"/>
      <c r="B40" s="109"/>
      <c r="C40" s="83"/>
      <c r="D40" s="83"/>
      <c r="E40" s="247"/>
      <c r="F40" s="248" t="str">
        <f>IF(Consolidado!D728=0," ",Consolidado!D728)</f>
        <v xml:space="preserve"> </v>
      </c>
      <c r="G40" s="248"/>
      <c r="H40" s="249"/>
      <c r="I40" s="249"/>
      <c r="J40" s="250"/>
    </row>
    <row r="41" spans="1:10">
      <c r="A41" s="96"/>
      <c r="B41" s="109"/>
      <c r="C41" s="83"/>
      <c r="D41" s="83"/>
      <c r="E41" s="247"/>
      <c r="F41" s="248" t="str">
        <f>IF(Consolidado!D729=0," ",Consolidado!D729)</f>
        <v xml:space="preserve"> </v>
      </c>
      <c r="G41" s="248"/>
      <c r="H41" s="249"/>
      <c r="I41" s="249"/>
      <c r="J41" s="250"/>
    </row>
    <row r="42" spans="1:10">
      <c r="A42" s="96"/>
      <c r="B42" s="109"/>
      <c r="C42" s="83"/>
      <c r="D42" s="83"/>
      <c r="E42" s="247"/>
      <c r="F42" s="248" t="str">
        <f>IF(Consolidado!D730=0," ",Consolidado!D730)</f>
        <v xml:space="preserve"> </v>
      </c>
      <c r="G42" s="248"/>
      <c r="H42" s="249"/>
      <c r="I42" s="249"/>
      <c r="J42" s="250"/>
    </row>
    <row r="43" spans="1:10">
      <c r="A43" s="96"/>
      <c r="B43" s="109"/>
      <c r="C43" s="83"/>
      <c r="D43" s="83"/>
      <c r="E43" s="247"/>
      <c r="F43" s="248" t="str">
        <f>IF(Consolidado!D731=0," ",Consolidado!D731)</f>
        <v xml:space="preserve"> </v>
      </c>
      <c r="G43" s="248"/>
      <c r="H43" s="249"/>
      <c r="I43" s="249"/>
      <c r="J43" s="250"/>
    </row>
    <row r="44" spans="1:10">
      <c r="A44" s="96"/>
      <c r="B44" s="109"/>
      <c r="C44" s="83"/>
      <c r="D44" s="83"/>
      <c r="E44" s="247"/>
      <c r="F44" s="248" t="str">
        <f>IF(Consolidado!D732=0," ",Consolidado!D732)</f>
        <v xml:space="preserve"> </v>
      </c>
      <c r="G44" s="248"/>
      <c r="H44" s="249"/>
      <c r="I44" s="249"/>
      <c r="J44" s="250"/>
    </row>
    <row r="45" spans="1:10">
      <c r="A45" s="96"/>
      <c r="B45" s="109"/>
      <c r="C45" s="83"/>
      <c r="D45" s="83"/>
      <c r="E45" s="247"/>
      <c r="F45" s="248" t="str">
        <f>IF(Consolidado!D733=0," ",Consolidado!D733)</f>
        <v xml:space="preserve"> </v>
      </c>
      <c r="G45" s="248"/>
      <c r="H45" s="249"/>
      <c r="I45" s="249"/>
      <c r="J45" s="250"/>
    </row>
    <row r="46" spans="1:10">
      <c r="A46" s="96"/>
      <c r="B46" s="109"/>
      <c r="C46" s="83"/>
      <c r="D46" s="83"/>
      <c r="E46" s="247"/>
      <c r="F46" s="248" t="str">
        <f>IF(Consolidado!D734=0," ",Consolidado!D734)</f>
        <v xml:space="preserve"> </v>
      </c>
      <c r="G46" s="248"/>
      <c r="H46" s="249"/>
      <c r="I46" s="249"/>
      <c r="J46" s="250"/>
    </row>
    <row r="47" spans="1:10">
      <c r="A47" s="96"/>
      <c r="B47" s="109"/>
      <c r="C47" s="83"/>
      <c r="D47" s="83"/>
      <c r="E47" s="247"/>
      <c r="F47" s="248" t="str">
        <f>IF(Consolidado!D735=0," ",Consolidado!D735)</f>
        <v xml:space="preserve"> </v>
      </c>
      <c r="G47" s="248"/>
      <c r="H47" s="249"/>
      <c r="I47" s="249"/>
      <c r="J47" s="250"/>
    </row>
    <row r="48" spans="1:10">
      <c r="A48" s="96"/>
      <c r="B48" s="109"/>
      <c r="C48" s="83"/>
      <c r="D48" s="83"/>
      <c r="E48" s="247"/>
      <c r="F48" s="248" t="str">
        <f>IF(Consolidado!D736=0," ",Consolidado!D736)</f>
        <v xml:space="preserve"> </v>
      </c>
      <c r="G48" s="248"/>
      <c r="H48" s="249"/>
      <c r="I48" s="249"/>
      <c r="J48" s="250"/>
    </row>
    <row r="49" spans="1:10">
      <c r="A49" s="96"/>
      <c r="B49" s="109"/>
      <c r="C49" s="83"/>
      <c r="D49" s="83"/>
      <c r="E49" s="247"/>
      <c r="F49" s="248" t="str">
        <f>IF(Consolidado!D737=0," ",Consolidado!D737)</f>
        <v xml:space="preserve"> </v>
      </c>
      <c r="G49" s="248"/>
      <c r="H49" s="249"/>
      <c r="I49" s="249"/>
      <c r="J49" s="250"/>
    </row>
    <row r="50" spans="1:10">
      <c r="A50" s="96"/>
      <c r="B50" s="109"/>
      <c r="C50" s="83"/>
      <c r="D50" s="83"/>
      <c r="E50" s="247"/>
      <c r="F50" s="248" t="str">
        <f>IF(Consolidado!D738=0," ",Consolidado!D738)</f>
        <v xml:space="preserve"> </v>
      </c>
      <c r="G50" s="248"/>
      <c r="H50" s="249"/>
      <c r="I50" s="249"/>
      <c r="J50" s="250"/>
    </row>
    <row r="51" spans="1:10">
      <c r="A51" s="96"/>
      <c r="B51" s="109"/>
      <c r="C51" s="83"/>
      <c r="D51" s="83"/>
      <c r="E51" s="247"/>
      <c r="F51" s="248" t="str">
        <f>IF(Consolidado!D739=0," ",Consolidado!D739)</f>
        <v xml:space="preserve"> </v>
      </c>
      <c r="G51" s="248"/>
      <c r="H51" s="249"/>
      <c r="I51" s="249"/>
      <c r="J51" s="250"/>
    </row>
    <row r="52" spans="1:10">
      <c r="A52" s="96"/>
      <c r="B52" s="109"/>
      <c r="C52" s="83"/>
      <c r="D52" s="83"/>
      <c r="E52" s="247"/>
      <c r="F52" s="248" t="str">
        <f>IF(Consolidado!D740=0," ",Consolidado!D740)</f>
        <v xml:space="preserve"> </v>
      </c>
      <c r="G52" s="248"/>
      <c r="H52" s="249"/>
      <c r="I52" s="249"/>
      <c r="J52" s="250"/>
    </row>
    <row r="53" spans="1:10">
      <c r="A53" s="96"/>
      <c r="B53" s="109"/>
      <c r="C53" s="83"/>
      <c r="D53" s="83"/>
      <c r="E53" s="247"/>
      <c r="F53" s="248" t="str">
        <f>IF(Consolidado!D741=0," ",Consolidado!D741)</f>
        <v xml:space="preserve"> </v>
      </c>
      <c r="G53" s="248"/>
      <c r="H53" s="249"/>
      <c r="I53" s="249"/>
      <c r="J53" s="250"/>
    </row>
    <row r="54" spans="1:10">
      <c r="A54" s="96"/>
      <c r="B54" s="109"/>
      <c r="C54" s="83"/>
      <c r="D54" s="83"/>
      <c r="E54" s="247"/>
      <c r="F54" s="248" t="str">
        <f>IF(Consolidado!D742=0," ",Consolidado!D742)</f>
        <v xml:space="preserve"> </v>
      </c>
      <c r="G54" s="248"/>
      <c r="H54" s="249"/>
      <c r="I54" s="249"/>
      <c r="J54" s="250"/>
    </row>
    <row r="55" spans="1:10">
      <c r="A55" s="96"/>
      <c r="B55" s="109"/>
      <c r="C55" s="83"/>
      <c r="D55" s="83"/>
      <c r="E55" s="247"/>
      <c r="F55" s="248" t="str">
        <f>IF(Consolidado!D743=0," ",Consolidado!D743)</f>
        <v xml:space="preserve"> </v>
      </c>
      <c r="G55" s="248"/>
      <c r="H55" s="249"/>
      <c r="I55" s="249"/>
      <c r="J55" s="250"/>
    </row>
    <row r="56" spans="1:10">
      <c r="A56" s="96"/>
      <c r="B56" s="109"/>
      <c r="C56" s="83"/>
      <c r="D56" s="83"/>
      <c r="E56" s="247"/>
      <c r="F56" s="248" t="str">
        <f>IF(Consolidado!D744=0," ",Consolidado!D744)</f>
        <v xml:space="preserve"> </v>
      </c>
      <c r="G56" s="248"/>
      <c r="H56" s="249"/>
      <c r="I56" s="249"/>
      <c r="J56" s="250"/>
    </row>
    <row r="57" spans="1:10">
      <c r="A57" s="96"/>
      <c r="B57" s="109"/>
      <c r="C57" s="83"/>
      <c r="D57" s="83"/>
      <c r="E57" s="247"/>
      <c r="F57" s="248" t="str">
        <f>IF(Consolidado!D745=0," ",Consolidado!D745)</f>
        <v xml:space="preserve"> </v>
      </c>
      <c r="G57" s="248"/>
      <c r="H57" s="249"/>
      <c r="I57" s="249"/>
      <c r="J57" s="250"/>
    </row>
    <row r="58" spans="1:10">
      <c r="A58" s="96"/>
      <c r="B58" s="109"/>
      <c r="C58" s="83"/>
      <c r="D58" s="83"/>
      <c r="E58" s="247"/>
      <c r="F58" s="248" t="str">
        <f>IF(Consolidado!D746=0," ",Consolidado!D746)</f>
        <v xml:space="preserve"> </v>
      </c>
      <c r="G58" s="248"/>
      <c r="H58" s="249"/>
      <c r="I58" s="249"/>
      <c r="J58" s="250"/>
    </row>
    <row r="59" spans="1:10">
      <c r="A59" s="96"/>
      <c r="B59" s="109"/>
      <c r="C59" s="83"/>
      <c r="D59" s="83"/>
      <c r="E59" s="247"/>
      <c r="F59" s="248" t="str">
        <f>IF(Consolidado!D747=0," ",Consolidado!D747)</f>
        <v xml:space="preserve"> </v>
      </c>
      <c r="G59" s="248"/>
      <c r="H59" s="249"/>
      <c r="I59" s="249"/>
      <c r="J59" s="250"/>
    </row>
    <row r="60" spans="1:10">
      <c r="A60" s="96"/>
      <c r="B60" s="109"/>
      <c r="C60" s="83"/>
      <c r="D60" s="83"/>
      <c r="E60" s="247"/>
      <c r="F60" s="248" t="str">
        <f>IF(Consolidado!D748=0," ",Consolidado!D748)</f>
        <v xml:space="preserve"> </v>
      </c>
      <c r="G60" s="248"/>
      <c r="H60" s="249"/>
      <c r="I60" s="249"/>
      <c r="J60" s="250"/>
    </row>
    <row r="61" spans="1:10">
      <c r="A61" s="96"/>
      <c r="B61" s="109"/>
      <c r="C61" s="83"/>
      <c r="D61" s="83"/>
      <c r="E61" s="247"/>
      <c r="F61" s="248" t="str">
        <f>IF(Consolidado!D749=0," ",Consolidado!D749)</f>
        <v xml:space="preserve"> </v>
      </c>
      <c r="G61" s="248"/>
      <c r="H61" s="249"/>
      <c r="I61" s="249"/>
      <c r="J61" s="250"/>
    </row>
    <row r="62" spans="1:10">
      <c r="A62" s="96"/>
      <c r="B62" s="109"/>
      <c r="C62" s="83"/>
      <c r="D62" s="83"/>
      <c r="E62" s="247"/>
      <c r="F62" s="248" t="str">
        <f>IF(Consolidado!D750=0," ",Consolidado!D750)</f>
        <v xml:space="preserve"> </v>
      </c>
      <c r="G62" s="248"/>
      <c r="H62" s="249"/>
      <c r="I62" s="249"/>
      <c r="J62" s="250"/>
    </row>
    <row r="63" spans="1:10">
      <c r="A63" s="96"/>
      <c r="B63" s="109"/>
      <c r="C63" s="83"/>
      <c r="D63" s="83"/>
      <c r="E63" s="247"/>
      <c r="F63" s="248" t="str">
        <f>IF(Consolidado!D751=0," ",Consolidado!D751)</f>
        <v xml:space="preserve"> </v>
      </c>
      <c r="G63" s="248"/>
      <c r="H63" s="249"/>
      <c r="I63" s="249"/>
      <c r="J63" s="250"/>
    </row>
    <row r="64" spans="1:10">
      <c r="A64" s="96"/>
      <c r="B64" s="109"/>
      <c r="C64" s="83"/>
      <c r="D64" s="83"/>
      <c r="E64" s="247"/>
      <c r="F64" s="248" t="str">
        <f>IF(Consolidado!D752=0," ",Consolidado!D752)</f>
        <v xml:space="preserve"> </v>
      </c>
      <c r="G64" s="248"/>
      <c r="H64" s="249"/>
      <c r="I64" s="249"/>
      <c r="J64" s="250"/>
    </row>
    <row r="65" spans="1:10">
      <c r="A65" s="96"/>
      <c r="B65" s="109"/>
      <c r="C65" s="83"/>
      <c r="D65" s="83"/>
      <c r="E65" s="247"/>
      <c r="F65" s="248" t="str">
        <f>IF(Consolidado!D753=0," ",Consolidado!D753)</f>
        <v xml:space="preserve"> </v>
      </c>
      <c r="G65" s="248"/>
      <c r="H65" s="249"/>
      <c r="I65" s="249"/>
      <c r="J65" s="250"/>
    </row>
    <row r="66" spans="1:10">
      <c r="A66" s="96"/>
      <c r="B66" s="109"/>
      <c r="C66" s="83"/>
      <c r="D66" s="83"/>
      <c r="E66" s="247"/>
      <c r="F66" s="248" t="str">
        <f>IF(Consolidado!D754=0," ",Consolidado!D754)</f>
        <v xml:space="preserve"> </v>
      </c>
      <c r="G66" s="248"/>
      <c r="H66" s="249"/>
      <c r="I66" s="249"/>
      <c r="J66" s="250"/>
    </row>
    <row r="67" spans="1:10">
      <c r="A67" s="96"/>
      <c r="B67" s="109"/>
      <c r="C67" s="83"/>
      <c r="D67" s="83"/>
      <c r="E67" s="247"/>
      <c r="F67" s="248" t="str">
        <f>IF(Consolidado!D755=0," ",Consolidado!D755)</f>
        <v xml:space="preserve"> </v>
      </c>
      <c r="G67" s="248"/>
      <c r="H67" s="249"/>
      <c r="I67" s="249"/>
      <c r="J67" s="250"/>
    </row>
    <row r="68" spans="1:10">
      <c r="A68" s="96"/>
      <c r="B68" s="109"/>
      <c r="C68" s="83"/>
      <c r="D68" s="83"/>
      <c r="E68" s="247"/>
      <c r="F68" s="248" t="str">
        <f>IF(Consolidado!D756=0," ",Consolidado!D756)</f>
        <v xml:space="preserve"> </v>
      </c>
      <c r="G68" s="248"/>
      <c r="H68" s="249"/>
      <c r="I68" s="249"/>
      <c r="J68" s="250"/>
    </row>
    <row r="69" spans="1:10">
      <c r="A69" s="96"/>
      <c r="B69" s="109"/>
      <c r="C69" s="83"/>
      <c r="D69" s="83"/>
      <c r="E69" s="247"/>
      <c r="F69" s="248" t="str">
        <f>IF(Consolidado!D757=0," ",Consolidado!D757)</f>
        <v xml:space="preserve"> </v>
      </c>
      <c r="G69" s="248"/>
      <c r="H69" s="249"/>
      <c r="I69" s="249"/>
      <c r="J69" s="250"/>
    </row>
    <row r="70" spans="1:10">
      <c r="A70" s="96"/>
      <c r="B70" s="109"/>
      <c r="C70" s="83"/>
      <c r="D70" s="83"/>
      <c r="E70" s="247"/>
      <c r="F70" s="248" t="str">
        <f>IF(Consolidado!D758=0," ",Consolidado!D758)</f>
        <v xml:space="preserve"> </v>
      </c>
      <c r="G70" s="248"/>
      <c r="H70" s="249"/>
      <c r="I70" s="249"/>
      <c r="J70" s="250"/>
    </row>
    <row r="71" spans="1:10">
      <c r="A71" s="96"/>
      <c r="B71" s="109"/>
      <c r="C71" s="83"/>
      <c r="D71" s="83"/>
      <c r="E71" s="247"/>
      <c r="F71" s="248" t="str">
        <f>IF(Consolidado!D759=0," ",Consolidado!D759)</f>
        <v xml:space="preserve"> </v>
      </c>
      <c r="G71" s="248"/>
      <c r="H71" s="249"/>
      <c r="I71" s="249"/>
      <c r="J71" s="250"/>
    </row>
    <row r="72" spans="1:10">
      <c r="A72" s="96"/>
      <c r="B72" s="109"/>
      <c r="C72" s="83"/>
      <c r="D72" s="83"/>
      <c r="E72" s="247"/>
      <c r="F72" s="248" t="str">
        <f>IF(Consolidado!D760=0," ",Consolidado!D760)</f>
        <v xml:space="preserve"> </v>
      </c>
      <c r="G72" s="248"/>
      <c r="H72" s="249"/>
      <c r="I72" s="249"/>
      <c r="J72" s="250"/>
    </row>
    <row r="73" spans="1:10">
      <c r="A73" s="96"/>
      <c r="B73" s="109"/>
      <c r="C73" s="83"/>
      <c r="D73" s="83"/>
      <c r="E73" s="247"/>
      <c r="F73" s="248" t="str">
        <f>IF(Consolidado!D761=0," ",Consolidado!D761)</f>
        <v xml:space="preserve"> </v>
      </c>
      <c r="G73" s="248"/>
      <c r="H73" s="249"/>
      <c r="I73" s="249"/>
      <c r="J73" s="250"/>
    </row>
    <row r="74" spans="1:10">
      <c r="A74" s="96"/>
      <c r="B74" s="109"/>
      <c r="C74" s="83"/>
      <c r="D74" s="83"/>
      <c r="E74" s="247"/>
      <c r="F74" s="248" t="str">
        <f>IF(Consolidado!D762=0," ",Consolidado!D762)</f>
        <v xml:space="preserve"> </v>
      </c>
      <c r="G74" s="248"/>
      <c r="H74" s="249"/>
      <c r="I74" s="249"/>
      <c r="J74" s="250"/>
    </row>
    <row r="75" spans="1:10">
      <c r="A75" s="96"/>
      <c r="B75" s="109"/>
      <c r="C75" s="83"/>
      <c r="D75" s="83"/>
      <c r="E75" s="247"/>
      <c r="F75" s="248" t="str">
        <f>IF(Consolidado!D763=0," ",Consolidado!D763)</f>
        <v xml:space="preserve"> </v>
      </c>
      <c r="G75" s="248"/>
      <c r="H75" s="249"/>
      <c r="I75" s="249"/>
      <c r="J75" s="250"/>
    </row>
    <row r="76" spans="1:10">
      <c r="A76" s="96"/>
      <c r="B76" s="109"/>
      <c r="C76" s="83"/>
      <c r="D76" s="83"/>
      <c r="E76" s="247"/>
      <c r="F76" s="248" t="str">
        <f>IF(Consolidado!D764=0," ",Consolidado!D764)</f>
        <v xml:space="preserve"> </v>
      </c>
      <c r="G76" s="248"/>
      <c r="H76" s="249"/>
      <c r="I76" s="249"/>
      <c r="J76" s="250"/>
    </row>
    <row r="77" spans="1:10">
      <c r="A77" s="96"/>
      <c r="B77" s="109"/>
      <c r="C77" s="83"/>
      <c r="D77" s="83"/>
      <c r="E77" s="247"/>
      <c r="F77" s="248" t="str">
        <f>IF(Consolidado!D765=0," ",Consolidado!D765)</f>
        <v xml:space="preserve"> </v>
      </c>
      <c r="G77" s="248"/>
      <c r="H77" s="249"/>
      <c r="I77" s="249"/>
      <c r="J77" s="250"/>
    </row>
    <row r="78" spans="1:10">
      <c r="A78" s="96"/>
      <c r="B78" s="109"/>
      <c r="C78" s="83"/>
      <c r="D78" s="83"/>
      <c r="E78" s="247"/>
      <c r="F78" s="248" t="str">
        <f>IF(Consolidado!D766=0," ",Consolidado!D766)</f>
        <v xml:space="preserve"> </v>
      </c>
      <c r="G78" s="248"/>
      <c r="H78" s="249"/>
      <c r="I78" s="249"/>
      <c r="J78" s="250"/>
    </row>
    <row r="79" spans="1:10">
      <c r="A79" s="96"/>
      <c r="B79" s="109"/>
      <c r="C79" s="83"/>
      <c r="D79" s="83"/>
      <c r="E79" s="247"/>
      <c r="F79" s="248" t="str">
        <f>IF(Consolidado!D767=0," ",Consolidado!D767)</f>
        <v xml:space="preserve"> </v>
      </c>
      <c r="G79" s="248"/>
      <c r="H79" s="249"/>
      <c r="I79" s="249"/>
      <c r="J79" s="250"/>
    </row>
    <row r="80" spans="1:10">
      <c r="A80" s="96"/>
      <c r="B80" s="109"/>
      <c r="C80" s="83"/>
      <c r="D80" s="83"/>
      <c r="E80" s="247"/>
      <c r="F80" s="248" t="str">
        <f>IF(Consolidado!D768=0," ",Consolidado!D768)</f>
        <v xml:space="preserve"> </v>
      </c>
      <c r="G80" s="248"/>
      <c r="H80" s="249"/>
      <c r="I80" s="249"/>
      <c r="J80" s="250"/>
    </row>
    <row r="81" spans="1:10">
      <c r="A81" s="96"/>
      <c r="B81" s="109"/>
      <c r="C81" s="83"/>
      <c r="D81" s="83"/>
      <c r="E81" s="247"/>
      <c r="F81" s="248" t="str">
        <f>IF(Consolidado!D769=0," ",Consolidado!D769)</f>
        <v xml:space="preserve"> </v>
      </c>
      <c r="G81" s="248"/>
      <c r="H81" s="249"/>
      <c r="I81" s="249"/>
      <c r="J81" s="250"/>
    </row>
    <row r="82" spans="1:10">
      <c r="A82" s="96"/>
      <c r="B82" s="109"/>
      <c r="C82" s="83"/>
      <c r="D82" s="83"/>
      <c r="E82" s="247"/>
      <c r="F82" s="248" t="str">
        <f>IF(Consolidado!D770=0," ",Consolidado!D770)</f>
        <v xml:space="preserve"> </v>
      </c>
      <c r="G82" s="248"/>
      <c r="H82" s="249"/>
      <c r="I82" s="249"/>
      <c r="J82" s="250"/>
    </row>
    <row r="83" spans="1:10">
      <c r="A83" s="96"/>
      <c r="B83" s="109"/>
      <c r="C83" s="83"/>
      <c r="D83" s="83"/>
      <c r="E83" s="247"/>
      <c r="F83" s="248" t="str">
        <f>IF(Consolidado!D771=0," ",Consolidado!D771)</f>
        <v xml:space="preserve"> </v>
      </c>
      <c r="G83" s="248"/>
      <c r="H83" s="249"/>
      <c r="I83" s="249"/>
      <c r="J83" s="250"/>
    </row>
    <row r="84" spans="1:10">
      <c r="A84" s="96"/>
      <c r="B84" s="109"/>
      <c r="C84" s="83"/>
      <c r="D84" s="83"/>
      <c r="E84" s="247"/>
      <c r="F84" s="248" t="str">
        <f>IF(Consolidado!D772=0," ",Consolidado!D772)</f>
        <v xml:space="preserve"> </v>
      </c>
      <c r="G84" s="248"/>
      <c r="H84" s="249"/>
      <c r="I84" s="249"/>
      <c r="J84" s="250"/>
    </row>
    <row r="85" spans="1:10">
      <c r="A85" s="96"/>
      <c r="B85" s="109"/>
      <c r="C85" s="83"/>
      <c r="D85" s="83"/>
      <c r="E85" s="247"/>
      <c r="F85" s="248" t="str">
        <f>IF(Consolidado!D773=0," ",Consolidado!D773)</f>
        <v xml:space="preserve"> </v>
      </c>
      <c r="G85" s="248"/>
      <c r="H85" s="249"/>
      <c r="I85" s="249"/>
      <c r="J85" s="250"/>
    </row>
    <row r="86" spans="1:10">
      <c r="A86" s="96"/>
      <c r="B86" s="109"/>
      <c r="C86" s="83"/>
      <c r="D86" s="83"/>
      <c r="E86" s="247"/>
      <c r="F86" s="248" t="str">
        <f>IF(Consolidado!D774=0," ",Consolidado!D774)</f>
        <v xml:space="preserve"> </v>
      </c>
      <c r="G86" s="248"/>
      <c r="H86" s="249"/>
      <c r="I86" s="249"/>
      <c r="J86" s="250"/>
    </row>
    <row r="87" spans="1:10">
      <c r="A87" s="96"/>
      <c r="B87" s="109"/>
      <c r="C87" s="83"/>
      <c r="D87" s="83"/>
      <c r="E87" s="247"/>
      <c r="F87" s="248" t="str">
        <f>IF(Consolidado!D775=0," ",Consolidado!D775)</f>
        <v xml:space="preserve"> </v>
      </c>
      <c r="G87" s="248"/>
      <c r="H87" s="249"/>
      <c r="I87" s="249"/>
      <c r="J87" s="250"/>
    </row>
    <row r="88" spans="1:10">
      <c r="A88" s="96"/>
      <c r="B88" s="109"/>
      <c r="C88" s="83"/>
      <c r="D88" s="83"/>
      <c r="E88" s="247"/>
      <c r="F88" s="248" t="str">
        <f>IF(Consolidado!D776=0," ",Consolidado!D776)</f>
        <v xml:space="preserve"> </v>
      </c>
      <c r="G88" s="248"/>
      <c r="H88" s="249"/>
      <c r="I88" s="249"/>
      <c r="J88" s="250"/>
    </row>
    <row r="89" spans="1:10">
      <c r="A89" s="96"/>
      <c r="B89" s="109"/>
      <c r="C89" s="83"/>
      <c r="D89" s="83"/>
      <c r="E89" s="247"/>
      <c r="F89" s="248" t="str">
        <f>IF(Consolidado!D777=0," ",Consolidado!D777)</f>
        <v xml:space="preserve"> </v>
      </c>
      <c r="G89" s="248"/>
      <c r="H89" s="249"/>
      <c r="I89" s="249"/>
      <c r="J89" s="250"/>
    </row>
    <row r="90" spans="1:10">
      <c r="A90" s="96"/>
      <c r="B90" s="109"/>
      <c r="C90" s="83"/>
      <c r="D90" s="83"/>
      <c r="E90" s="247"/>
      <c r="F90" s="248" t="str">
        <f>IF(Consolidado!D778=0," ",Consolidado!D778)</f>
        <v xml:space="preserve"> </v>
      </c>
      <c r="G90" s="248"/>
      <c r="H90" s="249"/>
      <c r="I90" s="249"/>
      <c r="J90" s="250"/>
    </row>
    <row r="91" spans="1:10">
      <c r="A91" s="96"/>
      <c r="B91" s="109"/>
      <c r="C91" s="83"/>
      <c r="D91" s="83"/>
      <c r="E91" s="247"/>
      <c r="F91" s="248" t="str">
        <f>IF(Consolidado!D779=0," ",Consolidado!D779)</f>
        <v xml:space="preserve"> </v>
      </c>
      <c r="G91" s="248"/>
      <c r="H91" s="249"/>
      <c r="I91" s="249"/>
      <c r="J91" s="250"/>
    </row>
    <row r="92" spans="1:10">
      <c r="A92" s="96"/>
      <c r="B92" s="109"/>
      <c r="C92" s="83"/>
      <c r="D92" s="83"/>
      <c r="E92" s="247"/>
      <c r="F92" s="248" t="str">
        <f>IF(Consolidado!D780=0," ",Consolidado!D780)</f>
        <v xml:space="preserve"> </v>
      </c>
      <c r="G92" s="248"/>
      <c r="H92" s="249"/>
      <c r="I92" s="249"/>
      <c r="J92" s="250"/>
    </row>
    <row r="93" spans="1:10">
      <c r="A93" s="96"/>
      <c r="B93" s="109"/>
      <c r="C93" s="83"/>
      <c r="D93" s="83"/>
      <c r="E93" s="247"/>
      <c r="F93" s="248" t="str">
        <f>IF(Consolidado!D781=0," ",Consolidado!D781)</f>
        <v xml:space="preserve"> </v>
      </c>
      <c r="G93" s="248"/>
      <c r="H93" s="249"/>
      <c r="I93" s="249"/>
      <c r="J93" s="250"/>
    </row>
    <row r="94" spans="1:10">
      <c r="A94" s="96"/>
      <c r="B94" s="109"/>
      <c r="C94" s="83"/>
      <c r="D94" s="83"/>
      <c r="E94" s="247"/>
      <c r="F94" s="248" t="str">
        <f>IF(Consolidado!D782=0," ",Consolidado!D782)</f>
        <v xml:space="preserve"> </v>
      </c>
      <c r="G94" s="248"/>
      <c r="H94" s="249"/>
      <c r="I94" s="249"/>
      <c r="J94" s="250"/>
    </row>
    <row r="95" spans="1:10">
      <c r="A95" s="96"/>
      <c r="B95" s="109"/>
      <c r="C95" s="83"/>
      <c r="D95" s="83"/>
      <c r="E95" s="247"/>
      <c r="F95" s="248" t="str">
        <f>IF(Consolidado!D783=0," ",Consolidado!D783)</f>
        <v xml:space="preserve"> </v>
      </c>
      <c r="G95" s="248"/>
      <c r="H95" s="249"/>
      <c r="I95" s="249"/>
      <c r="J95" s="250"/>
    </row>
    <row r="96" spans="1:10">
      <c r="A96" s="96"/>
      <c r="B96" s="109"/>
      <c r="C96" s="83"/>
      <c r="D96" s="83"/>
      <c r="E96" s="247"/>
      <c r="F96" s="248" t="str">
        <f>IF(Consolidado!D784=0," ",Consolidado!D784)</f>
        <v xml:space="preserve"> </v>
      </c>
      <c r="G96" s="248"/>
      <c r="H96" s="249"/>
      <c r="I96" s="249"/>
      <c r="J96" s="250"/>
    </row>
    <row r="97" spans="1:10">
      <c r="A97" s="96"/>
      <c r="B97" s="109"/>
      <c r="C97" s="83"/>
      <c r="D97" s="83"/>
      <c r="E97" s="247"/>
      <c r="F97" s="248" t="str">
        <f>IF(Consolidado!D785=0," ",Consolidado!D785)</f>
        <v xml:space="preserve"> </v>
      </c>
      <c r="G97" s="248"/>
      <c r="H97" s="249"/>
      <c r="I97" s="249"/>
      <c r="J97" s="250"/>
    </row>
    <row r="98" spans="1:10">
      <c r="A98" s="96"/>
      <c r="B98" s="109"/>
      <c r="C98" s="83"/>
      <c r="D98" s="83"/>
      <c r="E98" s="247"/>
      <c r="F98" s="248" t="str">
        <f>IF(Consolidado!D786=0," ",Consolidado!D786)</f>
        <v xml:space="preserve"> </v>
      </c>
      <c r="G98" s="248"/>
      <c r="H98" s="249"/>
      <c r="I98" s="249"/>
      <c r="J98" s="250"/>
    </row>
    <row r="99" spans="1:10">
      <c r="A99" s="96"/>
      <c r="B99" s="109"/>
      <c r="C99" s="83"/>
      <c r="D99" s="83"/>
      <c r="E99" s="247"/>
      <c r="F99" s="248" t="str">
        <f>IF(Consolidado!D787=0," ",Consolidado!D787)</f>
        <v xml:space="preserve"> </v>
      </c>
      <c r="G99" s="248"/>
      <c r="H99" s="249"/>
      <c r="I99" s="249"/>
      <c r="J99" s="250"/>
    </row>
    <row r="100" spans="1:10">
      <c r="A100" s="96"/>
      <c r="B100" s="109"/>
      <c r="C100" s="83"/>
      <c r="D100" s="83"/>
      <c r="E100" s="247"/>
      <c r="F100" s="248" t="str">
        <f>IF(Consolidado!D788=0," ",Consolidado!D788)</f>
        <v xml:space="preserve"> </v>
      </c>
      <c r="G100" s="248"/>
      <c r="H100" s="249"/>
      <c r="I100" s="249"/>
      <c r="J100" s="250"/>
    </row>
    <row r="101" spans="1:10">
      <c r="A101" s="96"/>
      <c r="B101" s="109"/>
      <c r="C101" s="83"/>
      <c r="D101" s="83"/>
      <c r="E101" s="247"/>
      <c r="F101" s="248" t="str">
        <f>IF(Consolidado!D789=0," ",Consolidado!D789)</f>
        <v xml:space="preserve"> </v>
      </c>
      <c r="G101" s="248"/>
      <c r="H101" s="249"/>
      <c r="I101" s="249"/>
      <c r="J101" s="250"/>
    </row>
    <row r="102" spans="1:10">
      <c r="A102" s="96"/>
      <c r="B102" s="109"/>
      <c r="C102" s="83"/>
      <c r="D102" s="83"/>
      <c r="E102" s="247"/>
      <c r="F102" s="248" t="str">
        <f>IF(Consolidado!D790=0," ",Consolidado!D790)</f>
        <v xml:space="preserve"> </v>
      </c>
      <c r="G102" s="248"/>
      <c r="H102" s="249"/>
      <c r="I102" s="249"/>
      <c r="J102" s="250"/>
    </row>
    <row r="103" spans="1:10">
      <c r="A103" s="96"/>
      <c r="B103" s="109"/>
      <c r="C103" s="83"/>
      <c r="D103" s="83"/>
      <c r="E103" s="247"/>
      <c r="F103" s="248" t="str">
        <f>IF(Consolidado!D791=0," ",Consolidado!D791)</f>
        <v xml:space="preserve"> </v>
      </c>
      <c r="G103" s="248"/>
      <c r="H103" s="249"/>
      <c r="I103" s="249"/>
      <c r="J103" s="250"/>
    </row>
    <row r="104" spans="1:10">
      <c r="A104" s="96"/>
      <c r="B104" s="109"/>
      <c r="C104" s="83"/>
      <c r="D104" s="83"/>
      <c r="E104" s="247"/>
      <c r="F104" s="248" t="str">
        <f>IF(Consolidado!D792=0," ",Consolidado!D792)</f>
        <v xml:space="preserve"> </v>
      </c>
      <c r="G104" s="248"/>
      <c r="H104" s="249"/>
      <c r="I104" s="249"/>
      <c r="J104" s="250"/>
    </row>
    <row r="105" spans="1:10">
      <c r="A105" s="96"/>
      <c r="B105" s="109"/>
      <c r="C105" s="83"/>
      <c r="D105" s="83"/>
      <c r="E105" s="247"/>
      <c r="F105" s="248" t="str">
        <f>IF(Consolidado!D793=0," ",Consolidado!D793)</f>
        <v xml:space="preserve"> </v>
      </c>
      <c r="G105" s="248"/>
      <c r="H105" s="249"/>
      <c r="I105" s="249"/>
      <c r="J105" s="250"/>
    </row>
    <row r="106" spans="1:10">
      <c r="A106" s="96"/>
      <c r="B106" s="109"/>
      <c r="C106" s="83"/>
      <c r="D106" s="83"/>
      <c r="E106" s="247"/>
      <c r="F106" s="248" t="str">
        <f>IF(Consolidado!D794=0," ",Consolidado!D794)</f>
        <v xml:space="preserve"> </v>
      </c>
      <c r="G106" s="248"/>
      <c r="H106" s="249"/>
      <c r="I106" s="249"/>
      <c r="J106" s="250"/>
    </row>
    <row r="107" spans="1:10">
      <c r="A107" s="96"/>
      <c r="B107" s="109"/>
      <c r="C107" s="83"/>
      <c r="D107" s="83"/>
      <c r="E107" s="247"/>
      <c r="F107" s="248" t="str">
        <f>IF(Consolidado!D795=0," ",Consolidado!D795)</f>
        <v xml:space="preserve"> </v>
      </c>
      <c r="G107" s="248"/>
      <c r="H107" s="249"/>
      <c r="I107" s="249"/>
      <c r="J107" s="250"/>
    </row>
    <row r="108" spans="1:10">
      <c r="A108" s="96"/>
      <c r="B108" s="109"/>
      <c r="C108" s="83"/>
      <c r="D108" s="83"/>
      <c r="E108" s="247"/>
      <c r="F108" s="248" t="str">
        <f>IF(Consolidado!D796=0," ",Consolidado!D796)</f>
        <v xml:space="preserve"> </v>
      </c>
      <c r="G108" s="248"/>
      <c r="H108" s="249"/>
      <c r="I108" s="249"/>
      <c r="J108" s="250"/>
    </row>
    <row r="109" spans="1:10">
      <c r="A109" s="96"/>
      <c r="B109" s="109"/>
      <c r="C109" s="83"/>
      <c r="D109" s="83"/>
      <c r="E109" s="247"/>
      <c r="F109" s="248" t="str">
        <f>IF(Consolidado!D797=0," ",Consolidado!D797)</f>
        <v xml:space="preserve"> </v>
      </c>
      <c r="G109" s="248"/>
      <c r="H109" s="249"/>
      <c r="I109" s="249"/>
      <c r="J109" s="250"/>
    </row>
    <row r="110" spans="1:10">
      <c r="A110" s="96"/>
      <c r="B110" s="109"/>
      <c r="C110" s="83"/>
      <c r="D110" s="83"/>
      <c r="E110" s="247"/>
      <c r="F110" s="248" t="str">
        <f>IF(Consolidado!D798=0," ",Consolidado!D798)</f>
        <v xml:space="preserve"> </v>
      </c>
      <c r="G110" s="248"/>
      <c r="H110" s="249"/>
      <c r="I110" s="249"/>
      <c r="J110" s="250"/>
    </row>
    <row r="111" spans="1:10">
      <c r="A111" s="96"/>
      <c r="B111" s="109"/>
      <c r="C111" s="83"/>
      <c r="D111" s="83"/>
      <c r="E111" s="247"/>
      <c r="F111" s="248" t="str">
        <f>IF(Consolidado!D799=0," ",Consolidado!D799)</f>
        <v xml:space="preserve"> </v>
      </c>
      <c r="G111" s="248"/>
      <c r="H111" s="249"/>
      <c r="I111" s="249"/>
      <c r="J111" s="250"/>
    </row>
    <row r="112" spans="1:10">
      <c r="A112" s="96"/>
      <c r="B112" s="109"/>
      <c r="C112" s="83"/>
      <c r="D112" s="83"/>
      <c r="E112" s="247"/>
      <c r="F112" s="248" t="str">
        <f>IF(Consolidado!D800=0," ",Consolidado!D800)</f>
        <v xml:space="preserve"> </v>
      </c>
      <c r="G112" s="248"/>
      <c r="H112" s="249"/>
      <c r="I112" s="249"/>
      <c r="J112" s="250"/>
    </row>
    <row r="113" spans="1:10">
      <c r="A113" s="96"/>
      <c r="B113" s="109"/>
      <c r="C113" s="83"/>
      <c r="D113" s="83"/>
      <c r="E113" s="247"/>
      <c r="F113" s="248" t="str">
        <f>IF(Consolidado!D801=0," ",Consolidado!D801)</f>
        <v xml:space="preserve"> </v>
      </c>
      <c r="G113" s="248"/>
      <c r="H113" s="249"/>
      <c r="I113" s="249"/>
      <c r="J113" s="250"/>
    </row>
    <row r="114" spans="1:10">
      <c r="A114" s="96"/>
      <c r="B114" s="109"/>
      <c r="C114" s="83"/>
      <c r="D114" s="83"/>
      <c r="E114" s="247"/>
      <c r="F114" s="248" t="str">
        <f>IF(Consolidado!D802=0," ",Consolidado!D802)</f>
        <v xml:space="preserve"> </v>
      </c>
      <c r="G114" s="248"/>
      <c r="H114" s="249"/>
      <c r="I114" s="249"/>
      <c r="J114" s="250"/>
    </row>
    <row r="115" spans="1:10">
      <c r="A115" s="96"/>
      <c r="B115" s="109"/>
      <c r="C115" s="83"/>
      <c r="D115" s="83"/>
      <c r="E115" s="247"/>
      <c r="F115" s="248" t="str">
        <f>IF(Consolidado!D803=0," ",Consolidado!D803)</f>
        <v xml:space="preserve"> </v>
      </c>
      <c r="G115" s="248"/>
      <c r="H115" s="249"/>
      <c r="I115" s="249"/>
      <c r="J115" s="250"/>
    </row>
    <row r="116" spans="1:10">
      <c r="A116" s="96"/>
      <c r="B116" s="109"/>
      <c r="C116" s="83"/>
      <c r="D116" s="83"/>
      <c r="E116" s="247"/>
      <c r="F116" s="248" t="str">
        <f>IF(Consolidado!D804=0," ",Consolidado!D804)</f>
        <v xml:space="preserve"> </v>
      </c>
      <c r="G116" s="248"/>
      <c r="H116" s="249"/>
      <c r="I116" s="249"/>
      <c r="J116" s="250"/>
    </row>
    <row r="117" spans="1:10">
      <c r="A117" s="96"/>
      <c r="B117" s="109"/>
      <c r="C117" s="83"/>
      <c r="D117" s="83"/>
      <c r="E117" s="247"/>
      <c r="F117" s="248" t="str">
        <f>IF(Consolidado!D805=0," ",Consolidado!D805)</f>
        <v xml:space="preserve"> </v>
      </c>
      <c r="G117" s="248"/>
      <c r="H117" s="249"/>
      <c r="I117" s="249"/>
      <c r="J117" s="250"/>
    </row>
    <row r="118" spans="1:10">
      <c r="A118" s="96"/>
      <c r="B118" s="109"/>
      <c r="C118" s="83"/>
      <c r="D118" s="83"/>
      <c r="E118" s="247"/>
      <c r="F118" s="248" t="str">
        <f>IF(Consolidado!D806=0," ",Consolidado!D806)</f>
        <v xml:space="preserve"> </v>
      </c>
      <c r="G118" s="248"/>
      <c r="H118" s="249"/>
      <c r="I118" s="249"/>
      <c r="J118" s="250"/>
    </row>
    <row r="119" spans="1:10">
      <c r="A119" s="96"/>
      <c r="B119" s="109"/>
      <c r="C119" s="83"/>
      <c r="D119" s="83"/>
      <c r="E119" s="247"/>
      <c r="F119" s="248" t="str">
        <f>IF(Consolidado!D807=0," ",Consolidado!D807)</f>
        <v xml:space="preserve"> </v>
      </c>
      <c r="G119" s="248"/>
      <c r="H119" s="249"/>
      <c r="I119" s="249"/>
      <c r="J119" s="250"/>
    </row>
    <row r="120" spans="1:10">
      <c r="A120" s="96"/>
      <c r="B120" s="109"/>
      <c r="C120" s="83"/>
      <c r="D120" s="83"/>
      <c r="E120" s="247"/>
      <c r="F120" s="248" t="str">
        <f>IF(Consolidado!D808=0," ",Consolidado!D808)</f>
        <v xml:space="preserve"> </v>
      </c>
      <c r="G120" s="248"/>
      <c r="H120" s="249"/>
      <c r="I120" s="249"/>
      <c r="J120" s="250"/>
    </row>
    <row r="121" spans="1:10">
      <c r="A121" s="96"/>
      <c r="B121" s="109"/>
      <c r="C121" s="83"/>
      <c r="D121" s="83"/>
      <c r="E121" s="247"/>
      <c r="F121" s="248" t="str">
        <f>IF(Consolidado!D809=0," ",Consolidado!D809)</f>
        <v xml:space="preserve"> </v>
      </c>
      <c r="G121" s="248"/>
      <c r="H121" s="249"/>
      <c r="I121" s="249"/>
      <c r="J121" s="250"/>
    </row>
    <row r="122" spans="1:10">
      <c r="A122" s="96"/>
      <c r="B122" s="109"/>
      <c r="C122" s="83"/>
      <c r="D122" s="83"/>
      <c r="E122" s="247"/>
      <c r="F122" s="248" t="str">
        <f>IF(Consolidado!D810=0," ",Consolidado!D810)</f>
        <v xml:space="preserve"> </v>
      </c>
      <c r="G122" s="248"/>
      <c r="H122" s="249"/>
      <c r="I122" s="249"/>
      <c r="J122" s="250"/>
    </row>
    <row r="123" spans="1:10">
      <c r="A123" s="96"/>
      <c r="B123" s="109"/>
      <c r="C123" s="83"/>
      <c r="D123" s="83"/>
      <c r="E123" s="247"/>
      <c r="F123" s="248" t="str">
        <f>IF(Consolidado!D811=0," ",Consolidado!D811)</f>
        <v xml:space="preserve"> </v>
      </c>
      <c r="G123" s="248"/>
      <c r="H123" s="249"/>
      <c r="I123" s="249"/>
      <c r="J123" s="250"/>
    </row>
    <row r="124" spans="1:10">
      <c r="A124" s="96"/>
      <c r="B124" s="109"/>
      <c r="C124" s="83"/>
      <c r="D124" s="83"/>
      <c r="E124" s="247"/>
      <c r="F124" s="248" t="str">
        <f>IF(Consolidado!D812=0," ",Consolidado!D812)</f>
        <v xml:space="preserve"> </v>
      </c>
      <c r="G124" s="248"/>
      <c r="H124" s="249"/>
      <c r="I124" s="249"/>
      <c r="J124" s="250"/>
    </row>
    <row r="125" spans="1:10">
      <c r="A125" s="96"/>
      <c r="B125" s="109"/>
      <c r="C125" s="83"/>
      <c r="D125" s="83"/>
      <c r="E125" s="247"/>
      <c r="F125" s="248" t="str">
        <f>IF(Consolidado!D813=0," ",Consolidado!D813)</f>
        <v xml:space="preserve"> </v>
      </c>
      <c r="G125" s="248"/>
      <c r="H125" s="249"/>
      <c r="I125" s="249"/>
      <c r="J125" s="250"/>
    </row>
    <row r="126" spans="1:10">
      <c r="A126" s="96"/>
      <c r="B126" s="109"/>
      <c r="C126" s="83"/>
      <c r="D126" s="83"/>
      <c r="E126" s="247"/>
      <c r="F126" s="248" t="str">
        <f>IF(Consolidado!D814=0," ",Consolidado!D814)</f>
        <v xml:space="preserve"> </v>
      </c>
      <c r="G126" s="248"/>
      <c r="H126" s="249"/>
      <c r="I126" s="249"/>
      <c r="J126" s="250"/>
    </row>
    <row r="127" spans="1:10">
      <c r="A127" s="96"/>
      <c r="B127" s="109"/>
      <c r="C127" s="83"/>
      <c r="D127" s="83"/>
      <c r="E127" s="247"/>
      <c r="F127" s="248" t="str">
        <f>IF(Consolidado!D815=0," ",Consolidado!D815)</f>
        <v xml:space="preserve"> </v>
      </c>
      <c r="G127" s="248"/>
      <c r="H127" s="249"/>
      <c r="I127" s="249"/>
      <c r="J127" s="250"/>
    </row>
    <row r="128" spans="1:10">
      <c r="A128" s="96"/>
      <c r="B128" s="109"/>
      <c r="C128" s="83"/>
      <c r="D128" s="83"/>
      <c r="E128" s="247"/>
      <c r="F128" s="248" t="str">
        <f>IF(Consolidado!D816=0," ",Consolidado!D816)</f>
        <v xml:space="preserve"> </v>
      </c>
      <c r="G128" s="248"/>
      <c r="H128" s="249"/>
      <c r="I128" s="249"/>
      <c r="J128" s="250"/>
    </row>
    <row r="129" spans="1:10">
      <c r="A129" s="96"/>
      <c r="B129" s="109"/>
      <c r="C129" s="83"/>
      <c r="D129" s="83"/>
      <c r="E129" s="247"/>
      <c r="F129" s="248" t="str">
        <f>IF(Consolidado!D817=0," ",Consolidado!D817)</f>
        <v xml:space="preserve"> </v>
      </c>
      <c r="G129" s="248"/>
      <c r="H129" s="249"/>
      <c r="I129" s="249"/>
      <c r="J129" s="250"/>
    </row>
    <row r="130" spans="1:10">
      <c r="A130" s="96"/>
      <c r="B130" s="109"/>
      <c r="C130" s="83"/>
      <c r="D130" s="83"/>
      <c r="E130" s="247"/>
      <c r="F130" s="248" t="str">
        <f>IF(Consolidado!D818=0," ",Consolidado!D818)</f>
        <v xml:space="preserve"> </v>
      </c>
      <c r="G130" s="248"/>
      <c r="H130" s="249"/>
      <c r="I130" s="249"/>
      <c r="J130" s="250"/>
    </row>
    <row r="131" spans="1:10">
      <c r="A131" s="96"/>
      <c r="B131" s="109"/>
      <c r="C131" s="83"/>
      <c r="D131" s="83"/>
      <c r="E131" s="247"/>
      <c r="F131" s="248" t="str">
        <f>IF(Consolidado!D819=0," ",Consolidado!D819)</f>
        <v xml:space="preserve"> </v>
      </c>
      <c r="G131" s="248"/>
      <c r="H131" s="249"/>
      <c r="I131" s="249"/>
      <c r="J131" s="250"/>
    </row>
    <row r="132" spans="1:10">
      <c r="A132" s="96"/>
      <c r="B132" s="109"/>
      <c r="C132" s="83"/>
      <c r="D132" s="83"/>
      <c r="E132" s="247"/>
      <c r="F132" s="248" t="str">
        <f>IF(Consolidado!D820=0," ",Consolidado!D820)</f>
        <v xml:space="preserve"> </v>
      </c>
      <c r="G132" s="248"/>
      <c r="H132" s="249"/>
      <c r="I132" s="249"/>
      <c r="J132" s="250"/>
    </row>
    <row r="133" spans="1:10">
      <c r="A133" s="96"/>
      <c r="B133" s="109"/>
      <c r="C133" s="83"/>
      <c r="D133" s="83"/>
      <c r="E133" s="247"/>
      <c r="F133" s="248" t="str">
        <f>IF(Consolidado!D821=0," ",Consolidado!D821)</f>
        <v xml:space="preserve"> </v>
      </c>
      <c r="G133" s="248"/>
      <c r="H133" s="249"/>
      <c r="I133" s="249"/>
      <c r="J133" s="250"/>
    </row>
    <row r="134" spans="1:10">
      <c r="A134" s="96"/>
      <c r="B134" s="109"/>
      <c r="C134" s="83"/>
      <c r="D134" s="83"/>
      <c r="E134" s="247"/>
      <c r="F134" s="248" t="str">
        <f>IF(Consolidado!D822=0," ",Consolidado!D822)</f>
        <v xml:space="preserve"> </v>
      </c>
      <c r="G134" s="248"/>
      <c r="H134" s="249"/>
      <c r="I134" s="249"/>
      <c r="J134" s="250"/>
    </row>
    <row r="135" spans="1:10">
      <c r="A135" s="96"/>
      <c r="B135" s="109"/>
      <c r="C135" s="83"/>
      <c r="D135" s="83"/>
      <c r="E135" s="247"/>
      <c r="F135" s="248" t="str">
        <f>IF(Consolidado!D823=0," ",Consolidado!D823)</f>
        <v xml:space="preserve"> </v>
      </c>
      <c r="G135" s="248"/>
      <c r="H135" s="249"/>
      <c r="I135" s="249"/>
      <c r="J135" s="250"/>
    </row>
    <row r="136" spans="1:10">
      <c r="A136" s="96"/>
      <c r="B136" s="109"/>
      <c r="C136" s="83"/>
      <c r="D136" s="83"/>
      <c r="E136" s="247"/>
      <c r="F136" s="248" t="str">
        <f>IF(Consolidado!D824=0," ",Consolidado!D824)</f>
        <v xml:space="preserve"> </v>
      </c>
      <c r="G136" s="248"/>
      <c r="H136" s="249"/>
      <c r="I136" s="249"/>
      <c r="J136" s="250"/>
    </row>
    <row r="137" spans="1:10">
      <c r="A137" s="96"/>
      <c r="B137" s="109"/>
      <c r="C137" s="83"/>
      <c r="D137" s="83"/>
      <c r="E137" s="247"/>
      <c r="F137" s="248" t="str">
        <f>IF(Consolidado!D825=0," ",Consolidado!D825)</f>
        <v xml:space="preserve"> </v>
      </c>
      <c r="G137" s="248"/>
      <c r="H137" s="249"/>
      <c r="I137" s="249"/>
      <c r="J137" s="250"/>
    </row>
    <row r="138" spans="1:10">
      <c r="A138" s="96"/>
      <c r="B138" s="109"/>
      <c r="C138" s="83"/>
      <c r="D138" s="83"/>
      <c r="E138" s="247"/>
      <c r="F138" s="248" t="str">
        <f>IF(Consolidado!D826=0," ",Consolidado!D826)</f>
        <v xml:space="preserve"> </v>
      </c>
      <c r="G138" s="248"/>
      <c r="H138" s="249"/>
      <c r="I138" s="249"/>
      <c r="J138" s="250"/>
    </row>
    <row r="139" spans="1:10">
      <c r="A139" s="96"/>
      <c r="B139" s="109"/>
      <c r="C139" s="83"/>
      <c r="D139" s="83"/>
      <c r="E139" s="247"/>
      <c r="F139" s="248" t="str">
        <f>IF(Consolidado!D827=0," ",Consolidado!D827)</f>
        <v xml:space="preserve"> </v>
      </c>
      <c r="G139" s="248"/>
      <c r="H139" s="249"/>
      <c r="I139" s="249"/>
      <c r="J139" s="250"/>
    </row>
    <row r="140" spans="1:10">
      <c r="A140" s="96"/>
      <c r="B140" s="109"/>
      <c r="C140" s="83"/>
      <c r="D140" s="83"/>
      <c r="E140" s="247"/>
      <c r="F140" s="248" t="str">
        <f>IF(Consolidado!D828=0," ",Consolidado!D828)</f>
        <v xml:space="preserve"> </v>
      </c>
      <c r="G140" s="248"/>
      <c r="H140" s="249"/>
      <c r="I140" s="249"/>
      <c r="J140" s="250"/>
    </row>
    <row r="141" spans="1:10">
      <c r="A141" s="96"/>
      <c r="B141" s="109"/>
      <c r="C141" s="83"/>
      <c r="D141" s="83"/>
      <c r="E141" s="247"/>
      <c r="F141" s="248" t="str">
        <f>IF(Consolidado!D829=0," ",Consolidado!D829)</f>
        <v xml:space="preserve"> </v>
      </c>
      <c r="G141" s="248"/>
      <c r="H141" s="249"/>
      <c r="I141" s="249"/>
      <c r="J141" s="250"/>
    </row>
    <row r="142" spans="1:10">
      <c r="A142" s="96"/>
      <c r="B142" s="109"/>
      <c r="C142" s="83"/>
      <c r="D142" s="83"/>
      <c r="E142" s="247"/>
      <c r="F142" s="248" t="str">
        <f>IF(Consolidado!D830=0," ",Consolidado!D830)</f>
        <v xml:space="preserve"> </v>
      </c>
      <c r="G142" s="248"/>
      <c r="H142" s="249"/>
      <c r="I142" s="249"/>
      <c r="J142" s="250"/>
    </row>
    <row r="143" spans="1:10">
      <c r="A143" s="96"/>
      <c r="B143" s="109"/>
      <c r="C143" s="83"/>
      <c r="D143" s="83"/>
      <c r="E143" s="247"/>
      <c r="F143" s="248" t="str">
        <f>IF(Consolidado!D831=0," ",Consolidado!D831)</f>
        <v xml:space="preserve"> </v>
      </c>
      <c r="G143" s="248"/>
      <c r="H143" s="249"/>
      <c r="I143" s="249"/>
      <c r="J143" s="250"/>
    </row>
    <row r="144" spans="1:10">
      <c r="A144" s="96"/>
      <c r="B144" s="109"/>
      <c r="C144" s="83"/>
      <c r="D144" s="83"/>
      <c r="E144" s="247"/>
      <c r="F144" s="248" t="str">
        <f>IF(Consolidado!D832=0," ",Consolidado!D832)</f>
        <v xml:space="preserve"> </v>
      </c>
      <c r="G144" s="248"/>
      <c r="H144" s="249"/>
      <c r="I144" s="249"/>
      <c r="J144" s="250"/>
    </row>
    <row r="145" spans="1:10">
      <c r="A145" s="96"/>
      <c r="B145" s="109"/>
      <c r="C145" s="83"/>
      <c r="D145" s="83"/>
      <c r="E145" s="247"/>
      <c r="F145" s="248" t="str">
        <f>IF(Consolidado!D833=0," ",Consolidado!D833)</f>
        <v xml:space="preserve"> </v>
      </c>
      <c r="G145" s="248"/>
      <c r="H145" s="249"/>
      <c r="I145" s="249"/>
      <c r="J145" s="250"/>
    </row>
    <row r="146" spans="1:10">
      <c r="A146" s="96"/>
      <c r="B146" s="109"/>
      <c r="C146" s="83"/>
      <c r="D146" s="83"/>
      <c r="E146" s="247"/>
      <c r="F146" s="248" t="str">
        <f>IF(Consolidado!D834=0," ",Consolidado!D834)</f>
        <v xml:space="preserve"> </v>
      </c>
      <c r="G146" s="248"/>
      <c r="H146" s="249"/>
      <c r="I146" s="249"/>
      <c r="J146" s="250"/>
    </row>
    <row r="147" spans="1:10">
      <c r="A147" s="96"/>
      <c r="B147" s="109"/>
      <c r="C147" s="83"/>
      <c r="D147" s="83"/>
      <c r="E147" s="247"/>
      <c r="F147" s="248" t="str">
        <f>IF(Consolidado!D835=0," ",Consolidado!D835)</f>
        <v xml:space="preserve"> </v>
      </c>
      <c r="G147" s="248"/>
      <c r="H147" s="249"/>
      <c r="I147" s="249"/>
      <c r="J147" s="250"/>
    </row>
    <row r="148" spans="1:10">
      <c r="A148" s="96"/>
      <c r="B148" s="109"/>
      <c r="C148" s="83"/>
      <c r="D148" s="83"/>
      <c r="E148" s="247"/>
      <c r="F148" s="248" t="str">
        <f>IF(Consolidado!D836=0," ",Consolidado!D836)</f>
        <v xml:space="preserve"> </v>
      </c>
      <c r="G148" s="248"/>
      <c r="H148" s="249"/>
      <c r="I148" s="249"/>
      <c r="J148" s="250"/>
    </row>
    <row r="149" spans="1:10">
      <c r="A149" s="96"/>
      <c r="B149" s="109"/>
      <c r="C149" s="83"/>
      <c r="D149" s="83"/>
      <c r="E149" s="247"/>
      <c r="F149" s="248" t="str">
        <f>IF(Consolidado!D837=0," ",Consolidado!D837)</f>
        <v xml:space="preserve"> </v>
      </c>
      <c r="G149" s="248"/>
      <c r="H149" s="249"/>
      <c r="I149" s="249"/>
      <c r="J149" s="250"/>
    </row>
    <row r="150" spans="1:10">
      <c r="A150" s="96"/>
      <c r="B150" s="109"/>
      <c r="C150" s="83"/>
      <c r="D150" s="83"/>
      <c r="E150" s="247"/>
      <c r="F150" s="248" t="str">
        <f>IF(Consolidado!D838=0," ",Consolidado!D838)</f>
        <v xml:space="preserve"> </v>
      </c>
      <c r="G150" s="248"/>
      <c r="H150" s="249"/>
      <c r="I150" s="249"/>
      <c r="J150" s="250"/>
    </row>
    <row r="151" spans="1:10">
      <c r="A151" s="96"/>
      <c r="B151" s="109"/>
      <c r="C151" s="83"/>
      <c r="D151" s="83"/>
      <c r="E151" s="247"/>
      <c r="F151" s="248" t="str">
        <f>IF(Consolidado!D839=0," ",Consolidado!D839)</f>
        <v xml:space="preserve"> </v>
      </c>
      <c r="G151" s="248"/>
      <c r="H151" s="249"/>
      <c r="I151" s="249"/>
      <c r="J151" s="250"/>
    </row>
    <row r="152" spans="1:10">
      <c r="A152" s="96"/>
      <c r="B152" s="109"/>
      <c r="C152" s="83"/>
      <c r="D152" s="83"/>
      <c r="E152" s="247"/>
      <c r="F152" s="248" t="str">
        <f>IF(Consolidado!D840=0," ",Consolidado!D840)</f>
        <v xml:space="preserve"> </v>
      </c>
      <c r="G152" s="248"/>
      <c r="H152" s="249"/>
      <c r="I152" s="249"/>
      <c r="J152" s="250"/>
    </row>
    <row r="153" spans="1:10">
      <c r="A153" s="96"/>
      <c r="B153" s="109"/>
      <c r="C153" s="83"/>
      <c r="D153" s="83"/>
      <c r="E153" s="247"/>
      <c r="F153" s="248" t="str">
        <f>IF(Consolidado!D841=0," ",Consolidado!D841)</f>
        <v xml:space="preserve"> </v>
      </c>
      <c r="G153" s="248"/>
      <c r="H153" s="249"/>
      <c r="I153" s="249"/>
      <c r="J153" s="250"/>
    </row>
    <row r="154" spans="1:10">
      <c r="A154" s="96"/>
      <c r="B154" s="109"/>
      <c r="C154" s="83"/>
      <c r="D154" s="83"/>
      <c r="E154" s="247"/>
      <c r="F154" s="248" t="str">
        <f>IF(Consolidado!D842=0," ",Consolidado!D842)</f>
        <v xml:space="preserve"> </v>
      </c>
      <c r="G154" s="248"/>
      <c r="H154" s="249"/>
      <c r="I154" s="249"/>
      <c r="J154" s="250"/>
    </row>
    <row r="155" spans="1:10">
      <c r="A155" s="96"/>
      <c r="B155" s="109"/>
      <c r="C155" s="83"/>
      <c r="D155" s="83"/>
      <c r="E155" s="247"/>
      <c r="F155" s="248" t="str">
        <f>IF(Consolidado!D843=0," ",Consolidado!D843)</f>
        <v xml:space="preserve"> </v>
      </c>
      <c r="G155" s="248"/>
      <c r="H155" s="249"/>
      <c r="I155" s="249"/>
      <c r="J155" s="250"/>
    </row>
    <row r="156" spans="1:10">
      <c r="A156" s="96"/>
      <c r="B156" s="109"/>
      <c r="C156" s="83"/>
      <c r="D156" s="83"/>
      <c r="E156" s="247"/>
      <c r="F156" s="248" t="str">
        <f>IF(Consolidado!D844=0," ",Consolidado!D844)</f>
        <v xml:space="preserve"> </v>
      </c>
      <c r="G156" s="248"/>
      <c r="H156" s="249"/>
      <c r="I156" s="249"/>
      <c r="J156" s="250"/>
    </row>
    <row r="157" spans="1:10">
      <c r="A157" s="96"/>
      <c r="B157" s="109"/>
      <c r="C157" s="83"/>
      <c r="D157" s="83"/>
      <c r="E157" s="247"/>
      <c r="F157" s="248" t="str">
        <f>IF(Consolidado!D845=0," ",Consolidado!D845)</f>
        <v xml:space="preserve"> </v>
      </c>
      <c r="G157" s="248"/>
      <c r="H157" s="249"/>
      <c r="I157" s="249"/>
      <c r="J157" s="250"/>
    </row>
    <row r="158" spans="1:10">
      <c r="A158" s="96"/>
      <c r="B158" s="109"/>
      <c r="C158" s="83"/>
      <c r="D158" s="83"/>
      <c r="E158" s="247"/>
      <c r="F158" s="248" t="str">
        <f>IF(Consolidado!D846=0," ",Consolidado!D846)</f>
        <v xml:space="preserve"> </v>
      </c>
      <c r="G158" s="248"/>
      <c r="H158" s="249"/>
      <c r="I158" s="249"/>
      <c r="J158" s="250"/>
    </row>
    <row r="159" spans="1:10">
      <c r="A159" s="96"/>
      <c r="B159" s="109"/>
      <c r="C159" s="83"/>
      <c r="D159" s="83"/>
      <c r="E159" s="247"/>
      <c r="F159" s="248" t="str">
        <f>IF(Consolidado!D847=0," ",Consolidado!D847)</f>
        <v xml:space="preserve"> </v>
      </c>
      <c r="G159" s="248"/>
      <c r="H159" s="249"/>
      <c r="I159" s="249"/>
      <c r="J159" s="250"/>
    </row>
    <row r="160" spans="1:10">
      <c r="A160" s="96"/>
      <c r="B160" s="109"/>
      <c r="C160" s="83"/>
      <c r="D160" s="83"/>
      <c r="E160" s="247"/>
      <c r="F160" s="248" t="str">
        <f>IF(Consolidado!D848=0," ",Consolidado!D848)</f>
        <v xml:space="preserve"> </v>
      </c>
      <c r="G160" s="248"/>
      <c r="H160" s="249"/>
      <c r="I160" s="249"/>
      <c r="J160" s="250"/>
    </row>
    <row r="161" spans="1:10">
      <c r="A161" s="96"/>
      <c r="B161" s="109"/>
      <c r="C161" s="83"/>
      <c r="D161" s="83"/>
      <c r="E161" s="247"/>
      <c r="F161" s="248" t="str">
        <f>IF(Consolidado!D849=0," ",Consolidado!D849)</f>
        <v xml:space="preserve"> </v>
      </c>
      <c r="G161" s="248"/>
      <c r="H161" s="249"/>
      <c r="I161" s="249"/>
      <c r="J161" s="250"/>
    </row>
    <row r="162" spans="1:10">
      <c r="A162" s="96"/>
      <c r="B162" s="109"/>
      <c r="C162" s="83"/>
      <c r="D162" s="83"/>
      <c r="E162" s="247"/>
      <c r="F162" s="248" t="str">
        <f>IF(Consolidado!D850=0," ",Consolidado!D850)</f>
        <v xml:space="preserve"> </v>
      </c>
      <c r="G162" s="248"/>
      <c r="H162" s="249"/>
      <c r="I162" s="249"/>
      <c r="J162" s="250"/>
    </row>
    <row r="163" spans="1:10">
      <c r="A163" s="96"/>
      <c r="B163" s="109"/>
      <c r="C163" s="83"/>
      <c r="D163" s="83"/>
      <c r="E163" s="247"/>
      <c r="F163" s="248" t="str">
        <f>IF(Consolidado!D851=0," ",Consolidado!D851)</f>
        <v xml:space="preserve"> </v>
      </c>
      <c r="G163" s="248"/>
      <c r="H163" s="249"/>
      <c r="I163" s="249"/>
      <c r="J163" s="250"/>
    </row>
    <row r="164" spans="1:10">
      <c r="A164" s="96"/>
      <c r="B164" s="109"/>
      <c r="C164" s="83"/>
      <c r="D164" s="83"/>
      <c r="E164" s="247"/>
      <c r="F164" s="248" t="str">
        <f>IF(Consolidado!D852=0," ",Consolidado!D852)</f>
        <v xml:space="preserve"> </v>
      </c>
      <c r="G164" s="248"/>
      <c r="H164" s="249"/>
      <c r="I164" s="249"/>
      <c r="J164" s="250"/>
    </row>
    <row r="165" spans="1:10">
      <c r="A165" s="96"/>
      <c r="B165" s="109"/>
      <c r="C165" s="83"/>
      <c r="D165" s="83"/>
      <c r="E165" s="247"/>
      <c r="F165" s="248" t="str">
        <f>IF(Consolidado!D853=0," ",Consolidado!D853)</f>
        <v xml:space="preserve"> </v>
      </c>
      <c r="G165" s="248"/>
      <c r="H165" s="249"/>
      <c r="I165" s="249"/>
      <c r="J165" s="250"/>
    </row>
    <row r="166" spans="1:10">
      <c r="A166" s="96"/>
      <c r="B166" s="109"/>
      <c r="C166" s="83"/>
      <c r="D166" s="83"/>
      <c r="E166" s="247"/>
      <c r="F166" s="248" t="str">
        <f>IF(Consolidado!D854=0," ",Consolidado!D854)</f>
        <v xml:space="preserve"> </v>
      </c>
      <c r="G166" s="248"/>
      <c r="H166" s="249"/>
      <c r="I166" s="249"/>
      <c r="J166" s="250"/>
    </row>
    <row r="167" spans="1:10">
      <c r="A167" s="96"/>
      <c r="B167" s="109"/>
      <c r="C167" s="83"/>
      <c r="D167" s="83"/>
      <c r="E167" s="247"/>
      <c r="F167" s="248" t="str">
        <f>IF(Consolidado!D855=0," ",Consolidado!D855)</f>
        <v xml:space="preserve"> </v>
      </c>
      <c r="G167" s="248"/>
      <c r="H167" s="249"/>
      <c r="I167" s="249"/>
      <c r="J167" s="250"/>
    </row>
    <row r="168" spans="1:10">
      <c r="A168" s="96"/>
      <c r="B168" s="109"/>
      <c r="C168" s="83"/>
      <c r="D168" s="83"/>
      <c r="E168" s="247"/>
      <c r="F168" s="248" t="str">
        <f>IF(Consolidado!D856=0," ",Consolidado!D856)</f>
        <v xml:space="preserve"> </v>
      </c>
      <c r="G168" s="248"/>
      <c r="H168" s="249"/>
      <c r="I168" s="249"/>
      <c r="J168" s="250"/>
    </row>
    <row r="169" spans="1:10">
      <c r="A169" s="96"/>
      <c r="B169" s="109"/>
      <c r="C169" s="83"/>
      <c r="D169" s="83"/>
      <c r="E169" s="247"/>
      <c r="F169" s="248" t="str">
        <f>IF(Consolidado!D857=0," ",Consolidado!D857)</f>
        <v xml:space="preserve"> </v>
      </c>
      <c r="G169" s="248"/>
      <c r="H169" s="249"/>
      <c r="I169" s="249"/>
      <c r="J169" s="250"/>
    </row>
    <row r="170" spans="1:10">
      <c r="A170" s="96"/>
      <c r="B170" s="109"/>
      <c r="C170" s="83"/>
      <c r="D170" s="83"/>
      <c r="E170" s="247"/>
      <c r="F170" s="248" t="str">
        <f>IF(Consolidado!D858=0," ",Consolidado!D858)</f>
        <v xml:space="preserve"> </v>
      </c>
      <c r="G170" s="248"/>
      <c r="H170" s="249"/>
      <c r="I170" s="249"/>
      <c r="J170" s="250"/>
    </row>
    <row r="171" spans="1:10">
      <c r="A171" s="96"/>
      <c r="B171" s="109"/>
      <c r="C171" s="83"/>
      <c r="D171" s="83"/>
      <c r="E171" s="247"/>
      <c r="F171" s="248" t="str">
        <f>IF(Consolidado!D859=0," ",Consolidado!D859)</f>
        <v xml:space="preserve"> </v>
      </c>
      <c r="G171" s="248"/>
      <c r="H171" s="249"/>
      <c r="I171" s="249"/>
      <c r="J171" s="250"/>
    </row>
    <row r="172" spans="1:10">
      <c r="A172" s="96"/>
      <c r="B172" s="109"/>
      <c r="C172" s="83"/>
      <c r="D172" s="83"/>
      <c r="E172" s="247"/>
      <c r="F172" s="248" t="str">
        <f>IF(Consolidado!D860=0," ",Consolidado!D860)</f>
        <v xml:space="preserve"> </v>
      </c>
      <c r="G172" s="248"/>
      <c r="H172" s="249"/>
      <c r="I172" s="249"/>
      <c r="J172" s="250"/>
    </row>
    <row r="173" spans="1:10">
      <c r="A173" s="96"/>
      <c r="B173" s="109"/>
      <c r="C173" s="83"/>
      <c r="D173" s="83"/>
      <c r="E173" s="247"/>
      <c r="F173" s="248" t="str">
        <f>IF(Consolidado!D861=0," ",Consolidado!D861)</f>
        <v xml:space="preserve"> </v>
      </c>
      <c r="G173" s="248"/>
      <c r="H173" s="249"/>
      <c r="I173" s="249"/>
      <c r="J173" s="250"/>
    </row>
    <row r="174" spans="1:10">
      <c r="A174" s="96"/>
      <c r="B174" s="109"/>
      <c r="C174" s="83"/>
      <c r="D174" s="83"/>
      <c r="E174" s="247"/>
      <c r="F174" s="248" t="str">
        <f>IF(Consolidado!D862=0," ",Consolidado!D862)</f>
        <v xml:space="preserve"> </v>
      </c>
      <c r="G174" s="248"/>
      <c r="H174" s="249"/>
      <c r="I174" s="249"/>
      <c r="J174" s="250"/>
    </row>
    <row r="175" spans="1:10">
      <c r="A175" s="96"/>
      <c r="B175" s="109"/>
      <c r="C175" s="83"/>
      <c r="D175" s="83"/>
      <c r="E175" s="247"/>
      <c r="F175" s="248" t="str">
        <f>IF(Consolidado!D863=0," ",Consolidado!D863)</f>
        <v xml:space="preserve"> </v>
      </c>
      <c r="G175" s="248"/>
      <c r="H175" s="249"/>
      <c r="I175" s="249"/>
      <c r="J175" s="250"/>
    </row>
    <row r="176" spans="1:10">
      <c r="A176" s="96"/>
      <c r="B176" s="109"/>
      <c r="C176" s="83"/>
      <c r="D176" s="83"/>
      <c r="E176" s="247"/>
      <c r="F176" s="248" t="str">
        <f>IF(Consolidado!D864=0," ",Consolidado!D864)</f>
        <v xml:space="preserve"> </v>
      </c>
      <c r="G176" s="248"/>
      <c r="H176" s="249"/>
      <c r="I176" s="249"/>
      <c r="J176" s="250"/>
    </row>
    <row r="177" spans="1:10">
      <c r="A177" s="96"/>
      <c r="B177" s="109"/>
      <c r="C177" s="83"/>
      <c r="D177" s="83"/>
      <c r="E177" s="247"/>
      <c r="F177" s="248" t="str">
        <f>IF(Consolidado!D865=0," ",Consolidado!D865)</f>
        <v xml:space="preserve"> </v>
      </c>
      <c r="G177" s="248"/>
      <c r="H177" s="249"/>
      <c r="I177" s="249"/>
      <c r="J177" s="250"/>
    </row>
    <row r="178" spans="1:10">
      <c r="A178" s="96"/>
      <c r="B178" s="109"/>
      <c r="C178" s="83"/>
      <c r="D178" s="83"/>
      <c r="E178" s="247"/>
      <c r="F178" s="248" t="str">
        <f>IF(Consolidado!D866=0," ",Consolidado!D866)</f>
        <v xml:space="preserve"> </v>
      </c>
      <c r="G178" s="248"/>
      <c r="H178" s="249"/>
      <c r="I178" s="249"/>
      <c r="J178" s="250"/>
    </row>
    <row r="179" spans="1:10">
      <c r="A179" s="96"/>
      <c r="B179" s="109"/>
      <c r="C179" s="83"/>
      <c r="D179" s="83"/>
      <c r="E179" s="247"/>
      <c r="F179" s="248" t="str">
        <f>IF(Consolidado!D867=0," ",Consolidado!D867)</f>
        <v xml:space="preserve"> </v>
      </c>
      <c r="G179" s="248"/>
      <c r="H179" s="249"/>
      <c r="I179" s="249"/>
      <c r="J179" s="250"/>
    </row>
    <row r="180" spans="1:10">
      <c r="A180" s="96"/>
      <c r="B180" s="109"/>
      <c r="C180" s="83"/>
      <c r="D180" s="83"/>
      <c r="E180" s="247"/>
      <c r="F180" s="248" t="str">
        <f>IF(Consolidado!D868=0," ",Consolidado!D868)</f>
        <v xml:space="preserve"> </v>
      </c>
      <c r="G180" s="248"/>
      <c r="H180" s="249"/>
      <c r="I180" s="249"/>
      <c r="J180" s="250"/>
    </row>
    <row r="181" spans="1:10">
      <c r="A181" s="96"/>
      <c r="B181" s="109"/>
      <c r="C181" s="83"/>
      <c r="D181" s="83"/>
      <c r="E181" s="247"/>
      <c r="F181" s="248" t="str">
        <f>IF(Consolidado!D869=0," ",Consolidado!D869)</f>
        <v xml:space="preserve"> </v>
      </c>
      <c r="G181" s="248"/>
      <c r="H181" s="249"/>
      <c r="I181" s="249"/>
      <c r="J181" s="250"/>
    </row>
    <row r="182" spans="1:10">
      <c r="A182" s="96"/>
      <c r="B182" s="109"/>
      <c r="C182" s="83"/>
      <c r="D182" s="83"/>
      <c r="E182" s="247"/>
      <c r="F182" s="248" t="str">
        <f>IF(Consolidado!D870=0," ",Consolidado!D870)</f>
        <v xml:space="preserve"> </v>
      </c>
      <c r="G182" s="248"/>
      <c r="H182" s="249"/>
      <c r="I182" s="249"/>
      <c r="J182" s="250"/>
    </row>
    <row r="183" spans="1:10">
      <c r="A183" s="96"/>
      <c r="B183" s="109"/>
      <c r="C183" s="83"/>
      <c r="D183" s="83"/>
      <c r="E183" s="247"/>
      <c r="F183" s="248" t="str">
        <f>IF(Consolidado!D871=0," ",Consolidado!D871)</f>
        <v xml:space="preserve"> </v>
      </c>
      <c r="G183" s="248"/>
      <c r="H183" s="249"/>
      <c r="I183" s="249"/>
      <c r="J183" s="250"/>
    </row>
    <row r="184" spans="1:10">
      <c r="A184" s="96"/>
      <c r="B184" s="109"/>
      <c r="C184" s="83"/>
      <c r="D184" s="83"/>
      <c r="E184" s="247"/>
      <c r="F184" s="248" t="str">
        <f>IF(Consolidado!D872=0," ",Consolidado!D872)</f>
        <v xml:space="preserve"> </v>
      </c>
      <c r="G184" s="248"/>
      <c r="H184" s="249"/>
      <c r="I184" s="249"/>
      <c r="J184" s="250"/>
    </row>
    <row r="185" spans="1:10">
      <c r="A185" s="96"/>
      <c r="B185" s="109"/>
      <c r="C185" s="83"/>
      <c r="D185" s="83"/>
      <c r="E185" s="247"/>
      <c r="F185" s="248" t="str">
        <f>IF(Consolidado!D873=0," ",Consolidado!D873)</f>
        <v xml:space="preserve"> </v>
      </c>
      <c r="G185" s="248"/>
      <c r="H185" s="249"/>
      <c r="I185" s="249"/>
      <c r="J185" s="250"/>
    </row>
    <row r="186" spans="1:10">
      <c r="A186" s="96"/>
      <c r="B186" s="109"/>
      <c r="C186" s="83"/>
      <c r="D186" s="83"/>
      <c r="E186" s="247"/>
      <c r="F186" s="248" t="str">
        <f>IF(Consolidado!D874=0," ",Consolidado!D874)</f>
        <v xml:space="preserve"> </v>
      </c>
      <c r="G186" s="248"/>
      <c r="H186" s="249"/>
      <c r="I186" s="249"/>
      <c r="J186" s="250"/>
    </row>
    <row r="187" spans="1:10">
      <c r="A187" s="96"/>
      <c r="B187" s="109"/>
      <c r="C187" s="83"/>
      <c r="D187" s="83"/>
      <c r="E187" s="247"/>
      <c r="F187" s="248" t="str">
        <f>IF(Consolidado!D875=0," ",Consolidado!D875)</f>
        <v xml:space="preserve"> </v>
      </c>
      <c r="G187" s="248"/>
      <c r="H187" s="249"/>
      <c r="I187" s="249"/>
      <c r="J187" s="250"/>
    </row>
    <row r="188" spans="1:10">
      <c r="A188" s="96"/>
      <c r="B188" s="109"/>
      <c r="C188" s="83"/>
      <c r="D188" s="83"/>
      <c r="E188" s="247"/>
      <c r="F188" s="248" t="str">
        <f>IF(Consolidado!D876=0," ",Consolidado!D876)</f>
        <v xml:space="preserve"> </v>
      </c>
      <c r="G188" s="248"/>
      <c r="H188" s="249"/>
      <c r="I188" s="249"/>
      <c r="J188" s="250"/>
    </row>
    <row r="189" spans="1:10">
      <c r="A189" s="96"/>
      <c r="B189" s="109"/>
      <c r="C189" s="83"/>
      <c r="D189" s="83"/>
      <c r="E189" s="247"/>
      <c r="F189" s="248" t="str">
        <f>IF(Consolidado!D877=0," ",Consolidado!D877)</f>
        <v xml:space="preserve"> </v>
      </c>
      <c r="G189" s="248"/>
      <c r="H189" s="249"/>
      <c r="I189" s="249"/>
      <c r="J189" s="250"/>
    </row>
    <row r="190" spans="1:10">
      <c r="A190" s="96"/>
      <c r="B190" s="109"/>
      <c r="C190" s="83"/>
      <c r="D190" s="83"/>
      <c r="E190" s="247"/>
      <c r="F190" s="248" t="str">
        <f>IF(Consolidado!D878=0," ",Consolidado!D878)</f>
        <v xml:space="preserve"> </v>
      </c>
      <c r="G190" s="248"/>
      <c r="H190" s="249"/>
      <c r="I190" s="249"/>
      <c r="J190" s="250"/>
    </row>
    <row r="191" spans="1:10">
      <c r="A191" s="96"/>
      <c r="B191" s="109"/>
      <c r="C191" s="83"/>
      <c r="D191" s="83"/>
      <c r="E191" s="247"/>
      <c r="F191" s="248" t="str">
        <f>IF(Consolidado!D879=0," ",Consolidado!D879)</f>
        <v xml:space="preserve"> </v>
      </c>
      <c r="G191" s="248"/>
      <c r="H191" s="249"/>
      <c r="I191" s="249"/>
      <c r="J191" s="250"/>
    </row>
    <row r="192" spans="1:10">
      <c r="A192" s="96"/>
      <c r="B192" s="109"/>
      <c r="C192" s="83"/>
      <c r="D192" s="83"/>
      <c r="E192" s="247"/>
      <c r="F192" s="248" t="str">
        <f>IF(Consolidado!D880=0," ",Consolidado!D880)</f>
        <v xml:space="preserve"> </v>
      </c>
      <c r="G192" s="248"/>
      <c r="H192" s="249"/>
      <c r="I192" s="249"/>
      <c r="J192" s="250"/>
    </row>
    <row r="193" spans="1:10">
      <c r="A193" s="96"/>
      <c r="B193" s="109"/>
      <c r="C193" s="83"/>
      <c r="D193" s="83"/>
      <c r="E193" s="247"/>
      <c r="F193" s="248" t="str">
        <f>IF(Consolidado!D881=0," ",Consolidado!D881)</f>
        <v xml:space="preserve"> </v>
      </c>
      <c r="G193" s="248"/>
      <c r="H193" s="249"/>
      <c r="I193" s="249"/>
      <c r="J193" s="250"/>
    </row>
    <row r="194" spans="1:10">
      <c r="A194" s="96"/>
      <c r="B194" s="109"/>
      <c r="C194" s="83"/>
      <c r="D194" s="83"/>
      <c r="E194" s="247"/>
      <c r="F194" s="248" t="str">
        <f>IF(Consolidado!D882=0," ",Consolidado!D882)</f>
        <v xml:space="preserve"> </v>
      </c>
      <c r="G194" s="248"/>
      <c r="H194" s="249"/>
      <c r="I194" s="249"/>
      <c r="J194" s="250"/>
    </row>
    <row r="195" spans="1:10">
      <c r="A195" s="96"/>
      <c r="B195" s="109"/>
      <c r="C195" s="83"/>
      <c r="D195" s="83"/>
      <c r="E195" s="247"/>
      <c r="F195" s="248" t="str">
        <f>IF(Consolidado!D883=0," ",Consolidado!D883)</f>
        <v xml:space="preserve"> </v>
      </c>
      <c r="G195" s="248"/>
      <c r="H195" s="249"/>
      <c r="I195" s="249"/>
      <c r="J195" s="250"/>
    </row>
    <row r="196" spans="1:10">
      <c r="A196" s="96"/>
      <c r="B196" s="109"/>
      <c r="C196" s="83"/>
      <c r="D196" s="83"/>
      <c r="E196" s="247"/>
      <c r="F196" s="248" t="str">
        <f>IF(Consolidado!D884=0," ",Consolidado!D884)</f>
        <v xml:space="preserve"> </v>
      </c>
      <c r="G196" s="248"/>
      <c r="H196" s="249"/>
      <c r="I196" s="249"/>
      <c r="J196" s="250"/>
    </row>
    <row r="197" spans="1:10">
      <c r="A197" s="96"/>
      <c r="B197" s="109"/>
      <c r="C197" s="83"/>
      <c r="D197" s="83"/>
      <c r="E197" s="247"/>
      <c r="F197" s="248" t="str">
        <f>IF(Consolidado!D885=0," ",Consolidado!D885)</f>
        <v xml:space="preserve"> </v>
      </c>
      <c r="G197" s="248"/>
      <c r="H197" s="249"/>
      <c r="I197" s="249"/>
      <c r="J197" s="250"/>
    </row>
    <row r="198" spans="1:10">
      <c r="A198" s="96"/>
      <c r="B198" s="109"/>
      <c r="C198" s="83"/>
      <c r="D198" s="83"/>
      <c r="E198" s="247"/>
      <c r="F198" s="248" t="str">
        <f>IF(Consolidado!D886=0," ",Consolidado!D886)</f>
        <v xml:space="preserve"> </v>
      </c>
      <c r="G198" s="248"/>
      <c r="H198" s="249"/>
      <c r="I198" s="249"/>
      <c r="J198" s="250"/>
    </row>
    <row r="199" spans="1:10">
      <c r="A199" s="96"/>
      <c r="B199" s="109"/>
      <c r="C199" s="83"/>
      <c r="D199" s="83"/>
      <c r="E199" s="247"/>
      <c r="F199" s="248" t="str">
        <f>IF(Consolidado!D887=0," ",Consolidado!D887)</f>
        <v xml:space="preserve"> </v>
      </c>
      <c r="G199" s="248"/>
      <c r="H199" s="249"/>
      <c r="I199" s="249"/>
      <c r="J199" s="250"/>
    </row>
    <row r="200" spans="1:10">
      <c r="A200" s="96"/>
      <c r="B200" s="109"/>
      <c r="C200" s="83"/>
      <c r="D200" s="83"/>
      <c r="E200" s="247"/>
      <c r="F200" s="248" t="str">
        <f>IF(Consolidado!D888=0," ",Consolidado!D888)</f>
        <v xml:space="preserve"> </v>
      </c>
      <c r="G200" s="248"/>
      <c r="H200" s="249"/>
      <c r="I200" s="249"/>
      <c r="J200" s="250"/>
    </row>
    <row r="201" spans="1:10">
      <c r="A201" s="96"/>
      <c r="B201" s="109"/>
      <c r="C201" s="83"/>
      <c r="D201" s="83"/>
      <c r="E201" s="247"/>
      <c r="F201" s="248" t="str">
        <f>IF(Consolidado!D889=0," ",Consolidado!D889)</f>
        <v xml:space="preserve"> </v>
      </c>
      <c r="G201" s="248"/>
      <c r="H201" s="249"/>
      <c r="I201" s="249"/>
      <c r="J201" s="250"/>
    </row>
    <row r="202" spans="1:10">
      <c r="A202" s="96"/>
      <c r="B202" s="109"/>
      <c r="C202" s="83"/>
      <c r="D202" s="83"/>
      <c r="E202" s="247"/>
      <c r="F202" s="248" t="str">
        <f>IF(Consolidado!D890=0," ",Consolidado!D890)</f>
        <v xml:space="preserve"> </v>
      </c>
      <c r="G202" s="248"/>
      <c r="H202" s="249"/>
      <c r="I202" s="249"/>
      <c r="J202" s="250"/>
    </row>
    <row r="203" spans="1:10">
      <c r="A203" s="96"/>
      <c r="B203" s="109"/>
      <c r="C203" s="83"/>
      <c r="D203" s="83"/>
      <c r="E203" s="247"/>
      <c r="F203" s="248" t="str">
        <f>IF(Consolidado!D891=0," ",Consolidado!D891)</f>
        <v xml:space="preserve"> </v>
      </c>
      <c r="G203" s="248"/>
      <c r="H203" s="249"/>
      <c r="I203" s="249"/>
      <c r="J203" s="250"/>
    </row>
    <row r="204" spans="1:10">
      <c r="A204" s="96"/>
      <c r="B204" s="109"/>
      <c r="C204" s="83"/>
      <c r="D204" s="83"/>
      <c r="E204" s="247"/>
      <c r="F204" s="248" t="str">
        <f>IF(Consolidado!D892=0," ",Consolidado!D892)</f>
        <v xml:space="preserve"> </v>
      </c>
      <c r="G204" s="248"/>
      <c r="H204" s="249"/>
      <c r="I204" s="249"/>
      <c r="J204" s="250"/>
    </row>
    <row r="205" spans="1:10">
      <c r="A205" s="96"/>
      <c r="B205" s="109"/>
      <c r="C205" s="83"/>
      <c r="D205" s="83"/>
      <c r="E205" s="247"/>
      <c r="F205" s="248" t="str">
        <f>IF(Consolidado!D893=0," ",Consolidado!D893)</f>
        <v xml:space="preserve"> </v>
      </c>
      <c r="G205" s="248"/>
      <c r="H205" s="249"/>
      <c r="I205" s="249"/>
      <c r="J205" s="250"/>
    </row>
    <row r="206" spans="1:10">
      <c r="A206" s="96"/>
      <c r="B206" s="109"/>
      <c r="C206" s="83"/>
      <c r="D206" s="83"/>
      <c r="E206" s="247"/>
      <c r="F206" s="248" t="str">
        <f>IF(Consolidado!D894=0," ",Consolidado!D894)</f>
        <v xml:space="preserve"> </v>
      </c>
      <c r="G206" s="248"/>
      <c r="H206" s="249"/>
      <c r="I206" s="249"/>
      <c r="J206" s="250"/>
    </row>
    <row r="207" spans="1:10">
      <c r="A207" s="96"/>
      <c r="B207" s="109"/>
      <c r="C207" s="83"/>
      <c r="D207" s="83"/>
      <c r="E207" s="247"/>
      <c r="F207" s="248" t="str">
        <f>IF(Consolidado!D895=0," ",Consolidado!D895)</f>
        <v xml:space="preserve"> </v>
      </c>
      <c r="G207" s="248"/>
      <c r="H207" s="249"/>
      <c r="I207" s="249"/>
      <c r="J207" s="250"/>
    </row>
    <row r="208" spans="1:10">
      <c r="A208" s="96"/>
      <c r="B208" s="109"/>
      <c r="C208" s="83"/>
      <c r="D208" s="83"/>
      <c r="E208" s="247"/>
      <c r="F208" s="248" t="str">
        <f>IF(Consolidado!D896=0," ",Consolidado!D896)</f>
        <v xml:space="preserve"> </v>
      </c>
      <c r="G208" s="248"/>
      <c r="H208" s="249"/>
      <c r="I208" s="249"/>
      <c r="J208" s="250"/>
    </row>
    <row r="209" spans="1:10">
      <c r="A209" s="96"/>
      <c r="B209" s="109"/>
      <c r="C209" s="83"/>
      <c r="D209" s="83"/>
      <c r="E209" s="247"/>
      <c r="F209" s="248" t="str">
        <f>IF(Consolidado!D897=0," ",Consolidado!D897)</f>
        <v xml:space="preserve"> </v>
      </c>
      <c r="G209" s="248"/>
      <c r="H209" s="249"/>
      <c r="I209" s="249"/>
      <c r="J209" s="250"/>
    </row>
    <row r="210" spans="1:10">
      <c r="A210" s="96"/>
      <c r="B210" s="109"/>
      <c r="C210" s="83"/>
      <c r="D210" s="83"/>
      <c r="E210" s="247"/>
      <c r="F210" s="248" t="str">
        <f>IF(Consolidado!D898=0," ",Consolidado!D898)</f>
        <v xml:space="preserve"> </v>
      </c>
      <c r="G210" s="248"/>
      <c r="H210" s="249"/>
      <c r="I210" s="249"/>
      <c r="J210" s="250"/>
    </row>
    <row r="211" spans="1:10">
      <c r="A211" s="96"/>
      <c r="B211" s="109"/>
      <c r="C211" s="83"/>
      <c r="D211" s="83"/>
      <c r="E211" s="247"/>
      <c r="F211" s="248" t="str">
        <f>IF(Consolidado!D899=0," ",Consolidado!D899)</f>
        <v xml:space="preserve"> </v>
      </c>
      <c r="G211" s="248"/>
      <c r="H211" s="249"/>
      <c r="I211" s="249"/>
      <c r="J211" s="250"/>
    </row>
    <row r="212" spans="1:10">
      <c r="A212" s="96"/>
      <c r="B212" s="109"/>
      <c r="C212" s="83"/>
      <c r="D212" s="83"/>
      <c r="E212" s="247"/>
      <c r="F212" s="248" t="str">
        <f>IF(Consolidado!D900=0," ",Consolidado!D900)</f>
        <v xml:space="preserve"> </v>
      </c>
      <c r="G212" s="248"/>
      <c r="H212" s="249"/>
      <c r="I212" s="249"/>
      <c r="J212" s="250"/>
    </row>
    <row r="213" spans="1:10">
      <c r="A213" s="96"/>
      <c r="B213" s="109"/>
      <c r="C213" s="83"/>
      <c r="D213" s="83"/>
      <c r="E213" s="247"/>
      <c r="F213" s="248" t="str">
        <f>IF(Consolidado!D901=0," ",Consolidado!D901)</f>
        <v xml:space="preserve"> </v>
      </c>
      <c r="G213" s="248"/>
      <c r="H213" s="249"/>
      <c r="I213" s="249"/>
      <c r="J213" s="250"/>
    </row>
    <row r="214" spans="1:10">
      <c r="A214" s="96"/>
      <c r="B214" s="109"/>
      <c r="C214" s="83"/>
      <c r="D214" s="83"/>
      <c r="E214" s="247"/>
      <c r="F214" s="248" t="str">
        <f>IF(Consolidado!D902=0," ",Consolidado!D902)</f>
        <v xml:space="preserve"> </v>
      </c>
      <c r="G214" s="248"/>
      <c r="H214" s="249"/>
      <c r="I214" s="249"/>
      <c r="J214" s="250"/>
    </row>
    <row r="215" spans="1:10">
      <c r="A215" s="96"/>
      <c r="B215" s="109"/>
      <c r="C215" s="83"/>
      <c r="D215" s="83"/>
      <c r="E215" s="247"/>
      <c r="F215" s="248" t="str">
        <f>IF(Consolidado!D903=0," ",Consolidado!D903)</f>
        <v xml:space="preserve"> </v>
      </c>
      <c r="G215" s="248"/>
      <c r="H215" s="249"/>
      <c r="I215" s="249"/>
      <c r="J215" s="250"/>
    </row>
    <row r="216" spans="1:10">
      <c r="A216" s="96"/>
      <c r="B216" s="109"/>
      <c r="C216" s="83"/>
      <c r="D216" s="83"/>
      <c r="E216" s="247"/>
      <c r="F216" s="248" t="str">
        <f>IF(Consolidado!D904=0," ",Consolidado!D904)</f>
        <v xml:space="preserve"> </v>
      </c>
      <c r="G216" s="248"/>
      <c r="H216" s="249"/>
      <c r="I216" s="249"/>
      <c r="J216" s="250"/>
    </row>
    <row r="217" spans="1:10">
      <c r="A217" s="96"/>
      <c r="B217" s="109"/>
      <c r="C217" s="83"/>
      <c r="D217" s="83"/>
      <c r="E217" s="247"/>
      <c r="F217" s="248" t="str">
        <f>IF(Consolidado!D905=0," ",Consolidado!D905)</f>
        <v xml:space="preserve"> </v>
      </c>
      <c r="G217" s="248"/>
      <c r="H217" s="249"/>
      <c r="I217" s="249"/>
      <c r="J217" s="250"/>
    </row>
    <row r="218" spans="1:10">
      <c r="A218" s="96"/>
      <c r="B218" s="109"/>
      <c r="C218" s="83"/>
      <c r="D218" s="83"/>
      <c r="E218" s="247"/>
      <c r="F218" s="248" t="str">
        <f>IF(Consolidado!D906=0," ",Consolidado!D906)</f>
        <v xml:space="preserve"> </v>
      </c>
      <c r="G218" s="248"/>
      <c r="H218" s="249"/>
      <c r="I218" s="249"/>
      <c r="J218" s="250"/>
    </row>
    <row r="219" spans="1:10">
      <c r="A219" s="96"/>
      <c r="B219" s="109"/>
      <c r="C219" s="83"/>
      <c r="D219" s="83"/>
      <c r="E219" s="247"/>
      <c r="F219" s="248" t="str">
        <f>IF(Consolidado!D907=0," ",Consolidado!D907)</f>
        <v xml:space="preserve"> </v>
      </c>
      <c r="G219" s="248"/>
      <c r="H219" s="249"/>
      <c r="I219" s="249"/>
      <c r="J219" s="250"/>
    </row>
    <row r="220" spans="1:10">
      <c r="A220" s="96"/>
      <c r="B220" s="109"/>
      <c r="C220" s="83"/>
      <c r="D220" s="83"/>
      <c r="E220" s="247"/>
      <c r="F220" s="248" t="str">
        <f>IF(Consolidado!D908=0," ",Consolidado!D908)</f>
        <v xml:space="preserve"> </v>
      </c>
      <c r="G220" s="248"/>
      <c r="H220" s="249"/>
      <c r="I220" s="249"/>
      <c r="J220" s="250"/>
    </row>
    <row r="221" spans="1:10">
      <c r="A221" s="96"/>
      <c r="B221" s="109"/>
      <c r="C221" s="83"/>
      <c r="D221" s="83"/>
      <c r="E221" s="247"/>
      <c r="F221" s="248" t="str">
        <f>IF(Consolidado!D909=0," ",Consolidado!D909)</f>
        <v xml:space="preserve"> </v>
      </c>
      <c r="G221" s="248"/>
      <c r="H221" s="249"/>
      <c r="I221" s="249"/>
      <c r="J221" s="250"/>
    </row>
    <row r="222" spans="1:10">
      <c r="A222" s="96"/>
      <c r="B222" s="109"/>
      <c r="C222" s="83"/>
      <c r="D222" s="83"/>
      <c r="E222" s="247"/>
      <c r="F222" s="248" t="str">
        <f>IF(Consolidado!D910=0," ",Consolidado!D910)</f>
        <v xml:space="preserve"> </v>
      </c>
      <c r="G222" s="248"/>
      <c r="H222" s="249"/>
      <c r="I222" s="249"/>
      <c r="J222" s="250"/>
    </row>
    <row r="223" spans="1:10">
      <c r="A223" s="96"/>
      <c r="B223" s="109"/>
      <c r="C223" s="83"/>
      <c r="D223" s="83"/>
      <c r="E223" s="247"/>
      <c r="F223" s="248" t="str">
        <f>IF(Consolidado!D911=0," ",Consolidado!D911)</f>
        <v xml:space="preserve"> </v>
      </c>
      <c r="G223" s="248"/>
      <c r="H223" s="249"/>
      <c r="I223" s="249"/>
      <c r="J223" s="250"/>
    </row>
    <row r="224" spans="1:10">
      <c r="A224" s="96"/>
      <c r="B224" s="109"/>
      <c r="C224" s="83"/>
      <c r="D224" s="83"/>
      <c r="E224" s="247"/>
      <c r="F224" s="248" t="str">
        <f>IF(Consolidado!D912=0," ",Consolidado!D912)</f>
        <v xml:space="preserve"> </v>
      </c>
      <c r="G224" s="248"/>
      <c r="H224" s="249"/>
      <c r="I224" s="249"/>
      <c r="J224" s="250"/>
    </row>
    <row r="225" spans="1:10">
      <c r="A225" s="96"/>
      <c r="B225" s="109"/>
      <c r="C225" s="83"/>
      <c r="D225" s="83"/>
      <c r="E225" s="247"/>
      <c r="F225" s="248" t="str">
        <f>IF(Consolidado!D913=0," ",Consolidado!D913)</f>
        <v xml:space="preserve"> </v>
      </c>
      <c r="G225" s="248"/>
      <c r="H225" s="249"/>
      <c r="I225" s="249"/>
      <c r="J225" s="250"/>
    </row>
    <row r="226" spans="1:10">
      <c r="A226" s="96"/>
      <c r="B226" s="109"/>
      <c r="C226" s="83"/>
      <c r="D226" s="83"/>
      <c r="E226" s="247"/>
      <c r="F226" s="248" t="str">
        <f>IF(Consolidado!D914=0," ",Consolidado!D914)</f>
        <v xml:space="preserve"> </v>
      </c>
      <c r="G226" s="248"/>
      <c r="H226" s="249"/>
      <c r="I226" s="249"/>
      <c r="J226" s="250"/>
    </row>
    <row r="227" spans="1:10">
      <c r="A227" s="96"/>
      <c r="B227" s="109"/>
      <c r="C227" s="83"/>
      <c r="D227" s="83"/>
      <c r="E227" s="247"/>
      <c r="F227" s="248" t="str">
        <f>IF(Consolidado!D915=0," ",Consolidado!D915)</f>
        <v xml:space="preserve"> </v>
      </c>
      <c r="G227" s="248"/>
      <c r="H227" s="249"/>
      <c r="I227" s="249"/>
      <c r="J227" s="250"/>
    </row>
    <row r="228" spans="1:10">
      <c r="A228" s="96"/>
      <c r="B228" s="109"/>
      <c r="C228" s="83"/>
      <c r="D228" s="83"/>
      <c r="E228" s="247"/>
      <c r="F228" s="248" t="str">
        <f>IF(Consolidado!D916=0," ",Consolidado!D916)</f>
        <v xml:space="preserve"> </v>
      </c>
      <c r="G228" s="248"/>
      <c r="H228" s="249"/>
      <c r="I228" s="249"/>
      <c r="J228" s="250"/>
    </row>
    <row r="229" spans="1:10">
      <c r="A229" s="96"/>
      <c r="B229" s="109"/>
      <c r="C229" s="83"/>
      <c r="D229" s="83"/>
      <c r="E229" s="247"/>
      <c r="F229" s="248" t="str">
        <f>IF(Consolidado!D917=0," ",Consolidado!D917)</f>
        <v xml:space="preserve"> </v>
      </c>
      <c r="G229" s="248"/>
      <c r="H229" s="249"/>
      <c r="I229" s="249"/>
      <c r="J229" s="250"/>
    </row>
    <row r="230" spans="1:10">
      <c r="A230" s="96"/>
      <c r="B230" s="109"/>
      <c r="C230" s="83"/>
      <c r="D230" s="83"/>
      <c r="E230" s="247"/>
      <c r="F230" s="248" t="str">
        <f>IF(Consolidado!D918=0," ",Consolidado!D918)</f>
        <v xml:space="preserve"> </v>
      </c>
      <c r="G230" s="248"/>
      <c r="H230" s="249"/>
      <c r="I230" s="249"/>
      <c r="J230" s="250"/>
    </row>
    <row r="231" spans="1:10">
      <c r="A231" s="96"/>
      <c r="B231" s="109"/>
      <c r="C231" s="83"/>
      <c r="D231" s="83"/>
      <c r="E231" s="247"/>
      <c r="F231" s="248" t="str">
        <f>IF(Consolidado!D919=0," ",Consolidado!D919)</f>
        <v xml:space="preserve"> </v>
      </c>
      <c r="G231" s="248"/>
      <c r="H231" s="249"/>
      <c r="I231" s="249"/>
      <c r="J231" s="250"/>
    </row>
    <row r="232" spans="1:10">
      <c r="A232" s="96"/>
      <c r="B232" s="109"/>
      <c r="C232" s="83"/>
      <c r="D232" s="83"/>
      <c r="E232" s="247"/>
      <c r="F232" s="248" t="str">
        <f>IF(Consolidado!D920=0," ",Consolidado!D920)</f>
        <v xml:space="preserve"> </v>
      </c>
      <c r="G232" s="248"/>
      <c r="H232" s="249"/>
      <c r="I232" s="249"/>
      <c r="J232" s="250"/>
    </row>
    <row r="233" spans="1:10">
      <c r="A233" s="96"/>
      <c r="B233" s="109"/>
      <c r="C233" s="83"/>
      <c r="D233" s="83"/>
      <c r="E233" s="247"/>
      <c r="F233" s="248" t="str">
        <f>IF(Consolidado!D921=0," ",Consolidado!D921)</f>
        <v xml:space="preserve"> </v>
      </c>
      <c r="G233" s="248"/>
      <c r="H233" s="249"/>
      <c r="I233" s="249"/>
      <c r="J233" s="250"/>
    </row>
    <row r="234" spans="1:10">
      <c r="A234" s="96"/>
      <c r="B234" s="109"/>
      <c r="C234" s="83"/>
      <c r="D234" s="83"/>
      <c r="E234" s="247"/>
      <c r="F234" s="248" t="str">
        <f>IF(Consolidado!D922=0," ",Consolidado!D922)</f>
        <v xml:space="preserve"> </v>
      </c>
      <c r="G234" s="248"/>
      <c r="H234" s="249"/>
      <c r="I234" s="249"/>
      <c r="J234" s="250"/>
    </row>
    <row r="235" spans="1:10">
      <c r="A235" s="96"/>
      <c r="B235" s="109"/>
      <c r="C235" s="83"/>
      <c r="D235" s="83"/>
      <c r="E235" s="247"/>
      <c r="F235" s="248" t="str">
        <f>IF(Consolidado!D923=0," ",Consolidado!D923)</f>
        <v xml:space="preserve"> </v>
      </c>
      <c r="G235" s="248"/>
      <c r="H235" s="249"/>
      <c r="I235" s="249"/>
      <c r="J235" s="250"/>
    </row>
    <row r="236" spans="1:10">
      <c r="A236" s="96"/>
      <c r="B236" s="109"/>
      <c r="C236" s="83"/>
      <c r="D236" s="83"/>
      <c r="E236" s="247"/>
      <c r="F236" s="248" t="str">
        <f>IF(Consolidado!D924=0," ",Consolidado!D924)</f>
        <v xml:space="preserve"> </v>
      </c>
      <c r="G236" s="248"/>
      <c r="H236" s="249"/>
      <c r="I236" s="249"/>
      <c r="J236" s="250"/>
    </row>
    <row r="237" spans="1:10">
      <c r="A237" s="96"/>
      <c r="B237" s="109"/>
      <c r="C237" s="83"/>
      <c r="D237" s="83"/>
      <c r="E237" s="247"/>
      <c r="F237" s="248" t="str">
        <f>IF(Consolidado!D925=0," ",Consolidado!D925)</f>
        <v xml:space="preserve"> </v>
      </c>
      <c r="G237" s="248"/>
      <c r="H237" s="249"/>
      <c r="I237" s="249"/>
      <c r="J237" s="250"/>
    </row>
    <row r="238" spans="1:10">
      <c r="A238" s="96"/>
      <c r="B238" s="109"/>
      <c r="C238" s="83"/>
      <c r="D238" s="83"/>
      <c r="E238" s="247"/>
      <c r="F238" s="248" t="str">
        <f>IF(Consolidado!D926=0," ",Consolidado!D926)</f>
        <v xml:space="preserve"> </v>
      </c>
      <c r="G238" s="248"/>
      <c r="H238" s="249"/>
      <c r="I238" s="249"/>
      <c r="J238" s="250"/>
    </row>
    <row r="239" spans="1:10">
      <c r="A239" s="96"/>
      <c r="B239" s="109"/>
      <c r="C239" s="83"/>
      <c r="D239" s="83"/>
      <c r="E239" s="247"/>
      <c r="F239" s="248" t="str">
        <f>IF(Consolidado!D927=0," ",Consolidado!D927)</f>
        <v xml:space="preserve"> </v>
      </c>
      <c r="G239" s="248"/>
      <c r="H239" s="249"/>
      <c r="I239" s="249"/>
      <c r="J239" s="250"/>
    </row>
    <row r="240" spans="1:10">
      <c r="A240" s="96"/>
      <c r="B240" s="109"/>
      <c r="C240" s="83"/>
      <c r="D240" s="83"/>
      <c r="E240" s="247"/>
      <c r="F240" s="248" t="str">
        <f>IF(Consolidado!D928=0," ",Consolidado!D928)</f>
        <v xml:space="preserve"> </v>
      </c>
      <c r="G240" s="248"/>
      <c r="H240" s="249"/>
      <c r="I240" s="249"/>
      <c r="J240" s="250"/>
    </row>
    <row r="241" spans="1:10">
      <c r="A241" s="96"/>
      <c r="B241" s="109"/>
      <c r="C241" s="83"/>
      <c r="D241" s="83"/>
      <c r="E241" s="247"/>
      <c r="F241" s="248" t="str">
        <f>IF(Consolidado!D929=0," ",Consolidado!D929)</f>
        <v xml:space="preserve"> </v>
      </c>
      <c r="G241" s="248"/>
      <c r="H241" s="249"/>
      <c r="I241" s="249"/>
      <c r="J241" s="250"/>
    </row>
    <row r="242" spans="1:10">
      <c r="A242" s="96"/>
      <c r="B242" s="109"/>
      <c r="C242" s="83"/>
      <c r="D242" s="83"/>
      <c r="E242" s="247"/>
      <c r="F242" s="248" t="str">
        <f>IF(Consolidado!D930=0," ",Consolidado!D930)</f>
        <v xml:space="preserve"> </v>
      </c>
      <c r="G242" s="248"/>
      <c r="H242" s="249"/>
      <c r="I242" s="249"/>
      <c r="J242" s="250"/>
    </row>
    <row r="243" spans="1:10">
      <c r="A243" s="96"/>
      <c r="B243" s="109"/>
      <c r="C243" s="83"/>
      <c r="D243" s="83"/>
      <c r="E243" s="247"/>
      <c r="F243" s="248" t="str">
        <f>IF(Consolidado!D931=0," ",Consolidado!D931)</f>
        <v xml:space="preserve"> </v>
      </c>
      <c r="G243" s="248"/>
      <c r="H243" s="249"/>
      <c r="I243" s="249"/>
      <c r="J243" s="250"/>
    </row>
    <row r="244" spans="1:10">
      <c r="A244" s="96"/>
      <c r="B244" s="109"/>
      <c r="C244" s="83"/>
      <c r="D244" s="83"/>
      <c r="E244" s="247"/>
      <c r="F244" s="248" t="str">
        <f>IF(Consolidado!D932=0," ",Consolidado!D932)</f>
        <v xml:space="preserve"> </v>
      </c>
      <c r="G244" s="248"/>
      <c r="H244" s="249"/>
      <c r="I244" s="249"/>
      <c r="J244" s="250"/>
    </row>
    <row r="245" spans="1:10">
      <c r="A245" s="96"/>
      <c r="B245" s="109"/>
      <c r="C245" s="83"/>
      <c r="D245" s="83"/>
      <c r="E245" s="247"/>
      <c r="F245" s="248" t="str">
        <f>IF(Consolidado!D933=0," ",Consolidado!D933)</f>
        <v xml:space="preserve"> </v>
      </c>
      <c r="G245" s="248"/>
      <c r="H245" s="249"/>
      <c r="I245" s="249"/>
      <c r="J245" s="250"/>
    </row>
    <row r="246" spans="1:10">
      <c r="A246" s="96"/>
      <c r="B246" s="109"/>
      <c r="C246" s="83"/>
      <c r="D246" s="83"/>
      <c r="E246" s="247"/>
      <c r="F246" s="248" t="str">
        <f>IF(Consolidado!D934=0," ",Consolidado!D934)</f>
        <v xml:space="preserve"> </v>
      </c>
      <c r="G246" s="248"/>
      <c r="H246" s="249"/>
      <c r="I246" s="249"/>
      <c r="J246" s="250"/>
    </row>
    <row r="247" spans="1:10">
      <c r="A247" s="96"/>
      <c r="B247" s="109"/>
      <c r="C247" s="83"/>
      <c r="D247" s="83"/>
      <c r="E247" s="247"/>
      <c r="F247" s="248" t="str">
        <f>IF(Consolidado!D935=0," ",Consolidado!D935)</f>
        <v xml:space="preserve"> </v>
      </c>
      <c r="G247" s="248"/>
      <c r="H247" s="249"/>
      <c r="I247" s="249"/>
      <c r="J247" s="250"/>
    </row>
    <row r="248" spans="1:10">
      <c r="A248" s="96"/>
      <c r="B248" s="109"/>
      <c r="C248" s="83"/>
      <c r="D248" s="83"/>
      <c r="E248" s="247"/>
      <c r="F248" s="248" t="str">
        <f>IF(Consolidado!D936=0," ",Consolidado!D936)</f>
        <v xml:space="preserve"> </v>
      </c>
      <c r="G248" s="248"/>
      <c r="H248" s="249"/>
      <c r="I248" s="249"/>
      <c r="J248" s="250"/>
    </row>
    <row r="249" spans="1:10">
      <c r="A249" s="96"/>
      <c r="B249" s="109"/>
      <c r="C249" s="83"/>
      <c r="D249" s="83"/>
      <c r="E249" s="247"/>
      <c r="F249" s="248" t="str">
        <f>IF(Consolidado!D937=0," ",Consolidado!D937)</f>
        <v xml:space="preserve"> </v>
      </c>
      <c r="G249" s="248"/>
      <c r="H249" s="249"/>
      <c r="I249" s="249"/>
      <c r="J249" s="250"/>
    </row>
    <row r="250" spans="1:10">
      <c r="A250" s="96"/>
      <c r="B250" s="109"/>
      <c r="C250" s="83"/>
      <c r="D250" s="83"/>
      <c r="E250" s="247"/>
      <c r="F250" s="248" t="str">
        <f>IF(Consolidado!D938=0," ",Consolidado!D938)</f>
        <v xml:space="preserve"> </v>
      </c>
      <c r="G250" s="248"/>
      <c r="H250" s="249"/>
      <c r="I250" s="249"/>
      <c r="J250" s="250"/>
    </row>
    <row r="251" spans="1:10">
      <c r="A251" s="96"/>
      <c r="B251" s="109"/>
      <c r="C251" s="83"/>
      <c r="D251" s="83"/>
      <c r="E251" s="247"/>
      <c r="F251" s="248" t="str">
        <f>IF(Consolidado!D939=0," ",Consolidado!D939)</f>
        <v xml:space="preserve"> </v>
      </c>
      <c r="G251" s="248"/>
      <c r="H251" s="249"/>
      <c r="I251" s="249"/>
      <c r="J251" s="250"/>
    </row>
    <row r="252" spans="1:10">
      <c r="A252" s="96"/>
      <c r="B252" s="109"/>
      <c r="C252" s="83"/>
      <c r="D252" s="83"/>
      <c r="E252" s="247"/>
      <c r="F252" s="248" t="str">
        <f>IF(Consolidado!D940=0," ",Consolidado!D940)</f>
        <v xml:space="preserve"> </v>
      </c>
      <c r="G252" s="248"/>
      <c r="H252" s="249"/>
      <c r="I252" s="249"/>
      <c r="J252" s="250"/>
    </row>
    <row r="253" spans="1:10">
      <c r="A253" s="96"/>
      <c r="B253" s="109"/>
      <c r="C253" s="83"/>
      <c r="D253" s="83"/>
      <c r="E253" s="247"/>
      <c r="F253" s="248" t="str">
        <f>IF(Consolidado!D941=0," ",Consolidado!D941)</f>
        <v xml:space="preserve"> </v>
      </c>
      <c r="G253" s="248"/>
      <c r="H253" s="249"/>
      <c r="I253" s="249"/>
      <c r="J253" s="250"/>
    </row>
    <row r="254" spans="1:10">
      <c r="A254" s="96"/>
      <c r="B254" s="109"/>
      <c r="C254" s="83"/>
      <c r="D254" s="83"/>
      <c r="E254" s="247"/>
      <c r="F254" s="248" t="str">
        <f>IF(Consolidado!D942=0," ",Consolidado!D942)</f>
        <v xml:space="preserve"> </v>
      </c>
      <c r="G254" s="248"/>
      <c r="H254" s="249"/>
      <c r="I254" s="249"/>
      <c r="J254" s="250"/>
    </row>
    <row r="255" spans="1:10">
      <c r="A255" s="96"/>
      <c r="B255" s="109"/>
      <c r="C255" s="83"/>
      <c r="D255" s="83"/>
      <c r="E255" s="247"/>
      <c r="F255" s="248" t="str">
        <f>IF(Consolidado!D943=0," ",Consolidado!D943)</f>
        <v xml:space="preserve"> </v>
      </c>
      <c r="G255" s="248"/>
      <c r="H255" s="249"/>
      <c r="I255" s="249"/>
      <c r="J255" s="250"/>
    </row>
    <row r="256" spans="1:10">
      <c r="A256" s="96"/>
      <c r="B256" s="109"/>
      <c r="C256" s="83"/>
      <c r="D256" s="83"/>
      <c r="E256" s="247"/>
      <c r="F256" s="248" t="str">
        <f>IF(Consolidado!D944=0," ",Consolidado!D944)</f>
        <v xml:space="preserve"> </v>
      </c>
      <c r="G256" s="248"/>
      <c r="H256" s="249"/>
      <c r="I256" s="249"/>
      <c r="J256" s="250"/>
    </row>
    <row r="257" spans="1:10">
      <c r="A257" s="96"/>
      <c r="B257" s="109"/>
      <c r="C257" s="83"/>
      <c r="D257" s="83"/>
      <c r="E257" s="247"/>
      <c r="F257" s="248" t="str">
        <f>IF(Consolidado!D945=0," ",Consolidado!D945)</f>
        <v xml:space="preserve"> </v>
      </c>
      <c r="G257" s="248"/>
      <c r="H257" s="249"/>
      <c r="I257" s="249"/>
      <c r="J257" s="250"/>
    </row>
    <row r="258" spans="1:10">
      <c r="A258" s="96"/>
      <c r="B258" s="109"/>
      <c r="C258" s="83"/>
      <c r="D258" s="83"/>
      <c r="E258" s="247"/>
      <c r="F258" s="248" t="str">
        <f>IF(Consolidado!D946=0," ",Consolidado!D946)</f>
        <v xml:space="preserve"> </v>
      </c>
      <c r="G258" s="248"/>
      <c r="H258" s="249"/>
      <c r="I258" s="249"/>
      <c r="J258" s="250"/>
    </row>
    <row r="259" spans="1:10">
      <c r="A259" s="96"/>
      <c r="B259" s="109"/>
      <c r="C259" s="83"/>
      <c r="D259" s="83"/>
      <c r="E259" s="247"/>
      <c r="F259" s="248" t="str">
        <f>IF(Consolidado!D947=0," ",Consolidado!D947)</f>
        <v xml:space="preserve"> </v>
      </c>
      <c r="G259" s="248"/>
      <c r="H259" s="249"/>
      <c r="I259" s="249"/>
      <c r="J259" s="250"/>
    </row>
    <row r="260" spans="1:10">
      <c r="A260" s="96"/>
      <c r="B260" s="109"/>
      <c r="C260" s="83"/>
      <c r="D260" s="83"/>
      <c r="E260" s="247"/>
      <c r="F260" s="248" t="str">
        <f>IF(Consolidado!D948=0," ",Consolidado!D948)</f>
        <v xml:space="preserve"> </v>
      </c>
      <c r="G260" s="248"/>
      <c r="H260" s="249"/>
      <c r="I260" s="249"/>
      <c r="J260" s="250"/>
    </row>
    <row r="261" spans="1:10">
      <c r="A261" s="96"/>
      <c r="B261" s="109"/>
      <c r="C261" s="83"/>
      <c r="D261" s="83"/>
      <c r="E261" s="247"/>
      <c r="F261" s="248" t="str">
        <f>IF(Consolidado!D949=0," ",Consolidado!D949)</f>
        <v xml:space="preserve"> </v>
      </c>
      <c r="G261" s="248"/>
      <c r="H261" s="249"/>
      <c r="I261" s="249"/>
      <c r="J261" s="250"/>
    </row>
    <row r="262" spans="1:10">
      <c r="A262" s="96"/>
      <c r="B262" s="109"/>
      <c r="C262" s="83"/>
      <c r="D262" s="83"/>
      <c r="E262" s="247"/>
      <c r="F262" s="248" t="str">
        <f>IF(Consolidado!D950=0," ",Consolidado!D950)</f>
        <v xml:space="preserve"> </v>
      </c>
      <c r="G262" s="248"/>
      <c r="H262" s="249"/>
      <c r="I262" s="249"/>
      <c r="J262" s="250"/>
    </row>
    <row r="263" spans="1:10">
      <c r="A263" s="96"/>
      <c r="B263" s="109"/>
      <c r="C263" s="83"/>
      <c r="D263" s="83"/>
      <c r="E263" s="247"/>
      <c r="F263" s="248" t="str">
        <f>IF(Consolidado!D951=0," ",Consolidado!D951)</f>
        <v xml:space="preserve"> </v>
      </c>
      <c r="G263" s="248"/>
      <c r="H263" s="249"/>
      <c r="I263" s="249"/>
      <c r="J263" s="250"/>
    </row>
    <row r="264" spans="1:10">
      <c r="A264" s="96"/>
      <c r="B264" s="109"/>
      <c r="C264" s="83"/>
      <c r="D264" s="83"/>
      <c r="E264" s="247"/>
      <c r="F264" s="248" t="str">
        <f>IF(Consolidado!D952=0," ",Consolidado!D952)</f>
        <v xml:space="preserve"> </v>
      </c>
      <c r="G264" s="248"/>
      <c r="H264" s="249"/>
      <c r="I264" s="249"/>
      <c r="J264" s="250"/>
    </row>
    <row r="265" spans="1:10">
      <c r="A265" s="96"/>
      <c r="B265" s="109"/>
      <c r="C265" s="83"/>
      <c r="D265" s="83"/>
      <c r="E265" s="247"/>
      <c r="F265" s="248" t="str">
        <f>IF(Consolidado!D953=0," ",Consolidado!D953)</f>
        <v xml:space="preserve"> </v>
      </c>
      <c r="G265" s="248"/>
      <c r="H265" s="249"/>
      <c r="I265" s="249"/>
      <c r="J265" s="250"/>
    </row>
    <row r="266" spans="1:10">
      <c r="A266" s="96"/>
      <c r="B266" s="109"/>
      <c r="C266" s="83"/>
      <c r="D266" s="83"/>
      <c r="E266" s="247"/>
      <c r="F266" s="248" t="str">
        <f>IF(Consolidado!D954=0," ",Consolidado!D954)</f>
        <v xml:space="preserve"> </v>
      </c>
      <c r="G266" s="248"/>
      <c r="H266" s="249"/>
      <c r="I266" s="249"/>
      <c r="J266" s="250"/>
    </row>
    <row r="267" spans="1:10">
      <c r="A267" s="96"/>
      <c r="B267" s="109"/>
      <c r="C267" s="83"/>
      <c r="D267" s="83"/>
      <c r="E267" s="247"/>
      <c r="F267" s="248" t="str">
        <f>IF(Consolidado!D955=0," ",Consolidado!D955)</f>
        <v xml:space="preserve"> </v>
      </c>
      <c r="G267" s="248"/>
      <c r="H267" s="249"/>
      <c r="I267" s="249"/>
      <c r="J267" s="250"/>
    </row>
    <row r="268" spans="1:10">
      <c r="A268" s="96"/>
      <c r="B268" s="109"/>
      <c r="C268" s="83"/>
      <c r="D268" s="83"/>
      <c r="E268" s="247"/>
      <c r="F268" s="248" t="str">
        <f>IF(Consolidado!D956=0," ",Consolidado!D956)</f>
        <v xml:space="preserve"> </v>
      </c>
      <c r="G268" s="248"/>
      <c r="H268" s="249"/>
      <c r="I268" s="249"/>
      <c r="J268" s="250"/>
    </row>
    <row r="269" spans="1:10">
      <c r="A269" s="96"/>
      <c r="B269" s="109"/>
      <c r="C269" s="83"/>
      <c r="D269" s="83"/>
      <c r="E269" s="247"/>
      <c r="F269" s="248" t="str">
        <f>IF(Consolidado!D957=0," ",Consolidado!D957)</f>
        <v xml:space="preserve"> </v>
      </c>
      <c r="G269" s="248"/>
      <c r="H269" s="249"/>
      <c r="I269" s="249"/>
      <c r="J269" s="250"/>
    </row>
    <row r="270" spans="1:10">
      <c r="A270" s="96"/>
      <c r="B270" s="109"/>
      <c r="C270" s="83"/>
      <c r="D270" s="83"/>
      <c r="E270" s="247"/>
      <c r="F270" s="248" t="str">
        <f>IF(Consolidado!D958=0," ",Consolidado!D958)</f>
        <v xml:space="preserve"> </v>
      </c>
      <c r="G270" s="248"/>
      <c r="H270" s="249"/>
      <c r="I270" s="249"/>
      <c r="J270" s="250"/>
    </row>
    <row r="271" spans="1:10">
      <c r="A271" s="96"/>
      <c r="B271" s="109"/>
      <c r="C271" s="83"/>
      <c r="D271" s="83"/>
      <c r="E271" s="247"/>
      <c r="F271" s="248" t="str">
        <f>IF(Consolidado!D959=0," ",Consolidado!D959)</f>
        <v xml:space="preserve"> </v>
      </c>
      <c r="G271" s="248"/>
      <c r="H271" s="249"/>
      <c r="I271" s="249"/>
      <c r="J271" s="250"/>
    </row>
    <row r="272" spans="1:10">
      <c r="A272" s="96"/>
      <c r="B272" s="109"/>
      <c r="C272" s="83"/>
      <c r="D272" s="83"/>
      <c r="E272" s="247"/>
      <c r="F272" s="248" t="str">
        <f>IF(Consolidado!D960=0," ",Consolidado!D960)</f>
        <v xml:space="preserve"> </v>
      </c>
      <c r="G272" s="248"/>
      <c r="H272" s="249"/>
      <c r="I272" s="249"/>
      <c r="J272" s="250"/>
    </row>
    <row r="273" spans="1:10">
      <c r="A273" s="96"/>
      <c r="B273" s="109"/>
      <c r="C273" s="83"/>
      <c r="D273" s="83"/>
      <c r="E273" s="247"/>
      <c r="F273" s="248" t="str">
        <f>IF(Consolidado!D961=0," ",Consolidado!D961)</f>
        <v xml:space="preserve"> </v>
      </c>
      <c r="G273" s="248"/>
      <c r="H273" s="249"/>
      <c r="I273" s="249"/>
      <c r="J273" s="250"/>
    </row>
    <row r="274" spans="1:10">
      <c r="A274" s="96"/>
      <c r="B274" s="109"/>
      <c r="C274" s="83"/>
      <c r="D274" s="83"/>
      <c r="E274" s="247"/>
      <c r="F274" s="248" t="str">
        <f>IF(Consolidado!D962=0," ",Consolidado!D962)</f>
        <v xml:space="preserve"> </v>
      </c>
      <c r="G274" s="248"/>
      <c r="H274" s="249"/>
      <c r="I274" s="249"/>
      <c r="J274" s="250"/>
    </row>
    <row r="275" spans="1:10">
      <c r="A275" s="96"/>
      <c r="B275" s="109"/>
      <c r="C275" s="83"/>
      <c r="D275" s="83"/>
      <c r="E275" s="247"/>
      <c r="F275" s="248" t="str">
        <f>IF(Consolidado!D963=0," ",Consolidado!D963)</f>
        <v xml:space="preserve"> </v>
      </c>
      <c r="G275" s="248"/>
      <c r="H275" s="249"/>
      <c r="I275" s="249"/>
      <c r="J275" s="250"/>
    </row>
    <row r="276" spans="1:10">
      <c r="A276" s="96"/>
      <c r="B276" s="109"/>
      <c r="C276" s="83"/>
      <c r="D276" s="83"/>
      <c r="E276" s="247"/>
      <c r="F276" s="248" t="str">
        <f>IF(Consolidado!D964=0," ",Consolidado!D964)</f>
        <v xml:space="preserve"> </v>
      </c>
      <c r="G276" s="248"/>
      <c r="H276" s="249"/>
      <c r="I276" s="249"/>
      <c r="J276" s="250"/>
    </row>
    <row r="277" spans="1:10">
      <c r="A277" s="96"/>
      <c r="B277" s="109"/>
      <c r="C277" s="83"/>
      <c r="D277" s="83"/>
      <c r="E277" s="247"/>
      <c r="F277" s="248" t="str">
        <f>IF(Consolidado!D965=0," ",Consolidado!D965)</f>
        <v xml:space="preserve"> </v>
      </c>
      <c r="G277" s="248"/>
      <c r="H277" s="249"/>
      <c r="I277" s="249"/>
      <c r="J277" s="250"/>
    </row>
    <row r="278" spans="1:10">
      <c r="A278" s="96"/>
      <c r="B278" s="109"/>
      <c r="C278" s="83"/>
      <c r="D278" s="83"/>
      <c r="E278" s="247"/>
      <c r="F278" s="248" t="str">
        <f>IF(Consolidado!D966=0," ",Consolidado!D966)</f>
        <v xml:space="preserve"> </v>
      </c>
      <c r="G278" s="248"/>
      <c r="H278" s="249"/>
      <c r="I278" s="249"/>
      <c r="J278" s="250"/>
    </row>
    <row r="279" spans="1:10">
      <c r="A279" s="96"/>
      <c r="B279" s="109"/>
      <c r="C279" s="83"/>
      <c r="D279" s="83"/>
      <c r="E279" s="247"/>
      <c r="F279" s="248" t="str">
        <f>IF(Consolidado!D967=0," ",Consolidado!D967)</f>
        <v xml:space="preserve"> </v>
      </c>
      <c r="G279" s="248"/>
      <c r="H279" s="249"/>
      <c r="I279" s="249"/>
      <c r="J279" s="250"/>
    </row>
    <row r="280" spans="1:10">
      <c r="A280" s="96"/>
      <c r="B280" s="109"/>
      <c r="C280" s="83"/>
      <c r="D280" s="83"/>
      <c r="E280" s="247"/>
      <c r="F280" s="248" t="str">
        <f>IF(Consolidado!D968=0," ",Consolidado!D968)</f>
        <v xml:space="preserve"> </v>
      </c>
      <c r="G280" s="248"/>
      <c r="H280" s="249"/>
      <c r="I280" s="249"/>
      <c r="J280" s="250"/>
    </row>
    <row r="281" spans="1:10">
      <c r="A281" s="96"/>
      <c r="B281" s="109"/>
      <c r="C281" s="83"/>
      <c r="D281" s="83"/>
      <c r="E281" s="247"/>
      <c r="F281" s="248" t="str">
        <f>IF(Consolidado!D969=0," ",Consolidado!D969)</f>
        <v xml:space="preserve"> </v>
      </c>
      <c r="G281" s="248"/>
      <c r="H281" s="249"/>
      <c r="I281" s="249"/>
      <c r="J281" s="250"/>
    </row>
    <row r="282" spans="1:10">
      <c r="A282" s="96"/>
      <c r="B282" s="109"/>
      <c r="C282" s="83"/>
      <c r="D282" s="83"/>
      <c r="E282" s="247"/>
      <c r="F282" s="248" t="str">
        <f>IF(Consolidado!D970=0," ",Consolidado!D970)</f>
        <v xml:space="preserve"> </v>
      </c>
      <c r="G282" s="248"/>
      <c r="H282" s="249"/>
      <c r="I282" s="249"/>
      <c r="J282" s="250"/>
    </row>
    <row r="283" spans="1:10">
      <c r="A283" s="96"/>
      <c r="B283" s="109"/>
      <c r="C283" s="83"/>
      <c r="D283" s="83"/>
      <c r="E283" s="247"/>
      <c r="F283" s="248" t="str">
        <f>IF(Consolidado!D971=0," ",Consolidado!D971)</f>
        <v xml:space="preserve"> </v>
      </c>
      <c r="G283" s="248"/>
      <c r="H283" s="249"/>
      <c r="I283" s="249"/>
      <c r="J283" s="250"/>
    </row>
    <row r="284" spans="1:10">
      <c r="A284" s="96"/>
      <c r="B284" s="109"/>
      <c r="C284" s="83"/>
      <c r="D284" s="83"/>
      <c r="E284" s="247"/>
      <c r="F284" s="248" t="str">
        <f>IF(Consolidado!D972=0," ",Consolidado!D972)</f>
        <v xml:space="preserve"> </v>
      </c>
      <c r="G284" s="248"/>
      <c r="H284" s="249"/>
      <c r="I284" s="249"/>
      <c r="J284" s="250"/>
    </row>
    <row r="285" spans="1:10">
      <c r="A285" s="96"/>
      <c r="B285" s="109"/>
      <c r="C285" s="83"/>
      <c r="D285" s="83"/>
      <c r="E285" s="247"/>
      <c r="F285" s="248" t="str">
        <f>IF(Consolidado!D973=0," ",Consolidado!D973)</f>
        <v xml:space="preserve"> </v>
      </c>
      <c r="G285" s="248"/>
      <c r="H285" s="249"/>
      <c r="I285" s="249"/>
      <c r="J285" s="250"/>
    </row>
    <row r="286" spans="1:10">
      <c r="A286" s="96"/>
      <c r="B286" s="109"/>
      <c r="C286" s="83"/>
      <c r="D286" s="83"/>
      <c r="E286" s="247"/>
      <c r="F286" s="248" t="str">
        <f>IF(Consolidado!D974=0," ",Consolidado!D974)</f>
        <v xml:space="preserve"> </v>
      </c>
      <c r="G286" s="248"/>
      <c r="H286" s="249"/>
      <c r="I286" s="249"/>
      <c r="J286" s="250"/>
    </row>
    <row r="287" spans="1:10">
      <c r="A287" s="96"/>
      <c r="B287" s="109"/>
      <c r="C287" s="83"/>
      <c r="D287" s="83"/>
      <c r="E287" s="247"/>
      <c r="F287" s="248" t="str">
        <f>IF(Consolidado!D975=0," ",Consolidado!D975)</f>
        <v xml:space="preserve"> </v>
      </c>
      <c r="G287" s="248"/>
      <c r="H287" s="249"/>
      <c r="I287" s="249"/>
      <c r="J287" s="250"/>
    </row>
    <row r="288" spans="1:10">
      <c r="A288" s="96"/>
      <c r="B288" s="109"/>
      <c r="C288" s="83"/>
      <c r="D288" s="83"/>
      <c r="E288" s="247"/>
      <c r="F288" s="248" t="str">
        <f>IF(Consolidado!D976=0," ",Consolidado!D976)</f>
        <v xml:space="preserve"> </v>
      </c>
      <c r="G288" s="248"/>
      <c r="H288" s="249"/>
      <c r="I288" s="249"/>
      <c r="J288" s="250"/>
    </row>
    <row r="289" spans="1:10">
      <c r="A289" s="96"/>
      <c r="B289" s="109"/>
      <c r="C289" s="83"/>
      <c r="D289" s="83"/>
      <c r="E289" s="247"/>
      <c r="F289" s="248" t="str">
        <f>IF(Consolidado!D977=0," ",Consolidado!D977)</f>
        <v xml:space="preserve"> </v>
      </c>
      <c r="G289" s="248"/>
      <c r="H289" s="249"/>
      <c r="I289" s="249"/>
      <c r="J289" s="250"/>
    </row>
    <row r="290" spans="1:10">
      <c r="A290" s="96"/>
      <c r="B290" s="109"/>
      <c r="C290" s="83"/>
      <c r="D290" s="83"/>
      <c r="E290" s="247"/>
      <c r="F290" s="248" t="str">
        <f>IF(Consolidado!D978=0," ",Consolidado!D978)</f>
        <v xml:space="preserve"> </v>
      </c>
      <c r="G290" s="248"/>
      <c r="H290" s="249"/>
      <c r="I290" s="249"/>
      <c r="J290" s="250"/>
    </row>
    <row r="291" spans="1:10">
      <c r="A291" s="96"/>
      <c r="B291" s="109"/>
      <c r="C291" s="83"/>
      <c r="D291" s="83"/>
      <c r="E291" s="247"/>
      <c r="F291" s="248" t="str">
        <f>IF(Consolidado!D979=0," ",Consolidado!D979)</f>
        <v xml:space="preserve"> </v>
      </c>
      <c r="G291" s="248"/>
      <c r="H291" s="249"/>
      <c r="I291" s="249"/>
      <c r="J291" s="250"/>
    </row>
    <row r="292" spans="1:10">
      <c r="A292" s="96"/>
      <c r="B292" s="109"/>
      <c r="C292" s="83"/>
      <c r="D292" s="83"/>
      <c r="E292" s="247"/>
      <c r="F292" s="248" t="str">
        <f>IF(Consolidado!D980=0," ",Consolidado!D980)</f>
        <v xml:space="preserve"> </v>
      </c>
      <c r="G292" s="248"/>
      <c r="H292" s="249"/>
      <c r="I292" s="249"/>
      <c r="J292" s="250"/>
    </row>
    <row r="293" spans="1:10">
      <c r="A293" s="96"/>
      <c r="B293" s="109"/>
      <c r="C293" s="83"/>
      <c r="D293" s="83"/>
      <c r="E293" s="247"/>
      <c r="F293" s="248" t="str">
        <f>IF(Consolidado!D981=0," ",Consolidado!D981)</f>
        <v xml:space="preserve"> </v>
      </c>
      <c r="G293" s="248"/>
      <c r="H293" s="249"/>
      <c r="I293" s="249"/>
      <c r="J293" s="250"/>
    </row>
    <row r="294" spans="1:10">
      <c r="A294" s="96"/>
      <c r="B294" s="109"/>
      <c r="C294" s="83"/>
      <c r="D294" s="83"/>
      <c r="E294" s="247"/>
      <c r="F294" s="248" t="str">
        <f>IF(Consolidado!D982=0," ",Consolidado!D982)</f>
        <v xml:space="preserve"> </v>
      </c>
      <c r="G294" s="248"/>
      <c r="H294" s="249"/>
      <c r="I294" s="249"/>
      <c r="J294" s="250"/>
    </row>
    <row r="295" spans="1:10">
      <c r="A295" s="96"/>
      <c r="B295" s="109"/>
      <c r="C295" s="83"/>
      <c r="D295" s="83"/>
      <c r="E295" s="247"/>
      <c r="F295" s="248" t="str">
        <f>IF(Consolidado!D983=0," ",Consolidado!D983)</f>
        <v xml:space="preserve"> </v>
      </c>
      <c r="G295" s="248"/>
      <c r="H295" s="249"/>
      <c r="I295" s="249"/>
      <c r="J295" s="250"/>
    </row>
    <row r="296" spans="1:10">
      <c r="A296" s="96"/>
      <c r="B296" s="109"/>
      <c r="C296" s="83"/>
      <c r="D296" s="83"/>
      <c r="E296" s="247"/>
      <c r="F296" s="248" t="str">
        <f>IF(Consolidado!D984=0," ",Consolidado!D984)</f>
        <v xml:space="preserve"> </v>
      </c>
      <c r="G296" s="248"/>
      <c r="H296" s="249"/>
      <c r="I296" s="249"/>
      <c r="J296" s="250"/>
    </row>
    <row r="297" spans="1:10">
      <c r="A297" s="96"/>
      <c r="B297" s="109"/>
      <c r="C297" s="83"/>
      <c r="D297" s="83"/>
      <c r="E297" s="247"/>
      <c r="F297" s="248" t="str">
        <f>IF(Consolidado!D985=0," ",Consolidado!D985)</f>
        <v xml:space="preserve"> </v>
      </c>
      <c r="G297" s="248"/>
      <c r="H297" s="249"/>
      <c r="I297" s="249"/>
      <c r="J297" s="250"/>
    </row>
    <row r="298" spans="1:10">
      <c r="A298" s="96"/>
      <c r="B298" s="109"/>
      <c r="C298" s="83"/>
      <c r="D298" s="83"/>
      <c r="E298" s="247"/>
      <c r="F298" s="248" t="str">
        <f>IF(Consolidado!D986=0," ",Consolidado!D986)</f>
        <v xml:space="preserve"> </v>
      </c>
      <c r="G298" s="248"/>
      <c r="H298" s="249"/>
      <c r="I298" s="249"/>
      <c r="J298" s="250"/>
    </row>
    <row r="299" spans="1:10">
      <c r="A299" s="96"/>
      <c r="B299" s="109"/>
      <c r="C299" s="83"/>
      <c r="D299" s="83"/>
      <c r="E299" s="247"/>
      <c r="F299" s="248" t="str">
        <f>IF(Consolidado!D987=0," ",Consolidado!D987)</f>
        <v xml:space="preserve"> </v>
      </c>
      <c r="G299" s="248"/>
      <c r="H299" s="249"/>
      <c r="I299" s="249"/>
      <c r="J299" s="250"/>
    </row>
    <row r="300" spans="1:10">
      <c r="A300" s="96"/>
      <c r="B300" s="109"/>
      <c r="C300" s="83"/>
      <c r="D300" s="83"/>
      <c r="E300" s="247"/>
      <c r="F300" s="248" t="str">
        <f>IF(Consolidado!D988=0," ",Consolidado!D988)</f>
        <v xml:space="preserve"> </v>
      </c>
      <c r="G300" s="248"/>
      <c r="H300" s="249"/>
      <c r="I300" s="249"/>
      <c r="J300" s="250"/>
    </row>
    <row r="301" spans="1:10">
      <c r="A301" s="96"/>
      <c r="B301" s="109"/>
      <c r="C301" s="83"/>
      <c r="D301" s="83"/>
      <c r="E301" s="247"/>
      <c r="F301" s="248" t="str">
        <f>IF(Consolidado!D989=0," ",Consolidado!D989)</f>
        <v xml:space="preserve"> </v>
      </c>
      <c r="G301" s="248"/>
      <c r="H301" s="249"/>
      <c r="I301" s="249"/>
      <c r="J301" s="250"/>
    </row>
    <row r="302" spans="1:10">
      <c r="A302" s="96"/>
      <c r="B302" s="109"/>
      <c r="C302" s="83"/>
      <c r="D302" s="83"/>
      <c r="E302" s="247"/>
      <c r="F302" s="248" t="str">
        <f>IF(Consolidado!D990=0," ",Consolidado!D990)</f>
        <v xml:space="preserve"> </v>
      </c>
      <c r="G302" s="248"/>
      <c r="H302" s="249"/>
      <c r="I302" s="249"/>
      <c r="J302" s="250"/>
    </row>
    <row r="303" spans="1:10">
      <c r="A303" s="96"/>
      <c r="B303" s="109"/>
      <c r="C303" s="83"/>
      <c r="D303" s="83"/>
      <c r="E303" s="247"/>
      <c r="F303" s="248" t="str">
        <f>IF(Consolidado!D991=0," ",Consolidado!D991)</f>
        <v xml:space="preserve"> </v>
      </c>
      <c r="G303" s="248"/>
      <c r="H303" s="249"/>
      <c r="I303" s="249"/>
      <c r="J303" s="250"/>
    </row>
    <row r="304" spans="1:10">
      <c r="A304" s="96"/>
      <c r="B304" s="109"/>
      <c r="C304" s="83"/>
      <c r="D304" s="83"/>
      <c r="E304" s="247"/>
      <c r="F304" s="248" t="str">
        <f>IF(Consolidado!D992=0," ",Consolidado!D992)</f>
        <v xml:space="preserve"> </v>
      </c>
      <c r="G304" s="248"/>
      <c r="H304" s="249"/>
      <c r="I304" s="249"/>
      <c r="J304" s="250"/>
    </row>
    <row r="305" spans="1:10">
      <c r="A305" s="96"/>
      <c r="B305" s="109"/>
      <c r="C305" s="83"/>
      <c r="D305" s="83"/>
      <c r="E305" s="247"/>
      <c r="F305" s="248" t="str">
        <f>IF(Consolidado!D993=0," ",Consolidado!D993)</f>
        <v xml:space="preserve"> </v>
      </c>
      <c r="G305" s="248"/>
      <c r="H305" s="249"/>
      <c r="I305" s="249"/>
      <c r="J305" s="250"/>
    </row>
    <row r="306" spans="1:10">
      <c r="A306" s="96"/>
      <c r="B306" s="109"/>
      <c r="C306" s="83"/>
      <c r="D306" s="83"/>
      <c r="E306" s="247"/>
      <c r="F306" s="248" t="str">
        <f>IF(Consolidado!D994=0," ",Consolidado!D994)</f>
        <v xml:space="preserve"> </v>
      </c>
      <c r="G306" s="248"/>
      <c r="H306" s="249"/>
      <c r="I306" s="249"/>
      <c r="J306" s="250"/>
    </row>
    <row r="307" spans="1:10">
      <c r="A307" s="96"/>
      <c r="B307" s="109"/>
      <c r="C307" s="83"/>
      <c r="D307" s="83"/>
      <c r="E307" s="247"/>
      <c r="F307" s="248" t="str">
        <f>IF(Consolidado!D995=0," ",Consolidado!D995)</f>
        <v xml:space="preserve"> </v>
      </c>
      <c r="G307" s="248"/>
      <c r="H307" s="249"/>
      <c r="I307" s="249"/>
      <c r="J307" s="250"/>
    </row>
    <row r="308" spans="1:10">
      <c r="A308" s="96"/>
      <c r="B308" s="109"/>
      <c r="C308" s="83"/>
      <c r="D308" s="83"/>
      <c r="E308" s="247"/>
      <c r="F308" s="248" t="str">
        <f>IF(Consolidado!D996=0," ",Consolidado!D996)</f>
        <v xml:space="preserve"> </v>
      </c>
      <c r="G308" s="248"/>
      <c r="H308" s="249"/>
      <c r="I308" s="249"/>
      <c r="J308" s="250"/>
    </row>
    <row r="309" spans="1:10">
      <c r="A309" s="96"/>
      <c r="B309" s="109"/>
      <c r="C309" s="83"/>
      <c r="D309" s="83"/>
      <c r="E309" s="247"/>
      <c r="F309" s="248" t="str">
        <f>IF(Consolidado!D997=0," ",Consolidado!D997)</f>
        <v xml:space="preserve"> </v>
      </c>
      <c r="G309" s="248"/>
      <c r="H309" s="249"/>
      <c r="I309" s="249"/>
      <c r="J309" s="250"/>
    </row>
    <row r="310" spans="1:10">
      <c r="A310" s="96"/>
      <c r="B310" s="109"/>
      <c r="C310" s="83"/>
      <c r="D310" s="83"/>
      <c r="E310" s="247"/>
      <c r="F310" s="248" t="str">
        <f>IF(Consolidado!D998=0," ",Consolidado!D998)</f>
        <v xml:space="preserve"> </v>
      </c>
      <c r="G310" s="248"/>
      <c r="H310" s="249"/>
      <c r="I310" s="249"/>
      <c r="J310" s="250"/>
    </row>
    <row r="311" spans="1:10">
      <c r="A311" s="96"/>
      <c r="B311" s="109"/>
      <c r="C311" s="83"/>
      <c r="D311" s="83"/>
      <c r="E311" s="247"/>
      <c r="F311" s="248" t="str">
        <f>IF(Consolidado!D999=0," ",Consolidado!D999)</f>
        <v xml:space="preserve"> </v>
      </c>
      <c r="G311" s="248"/>
      <c r="H311" s="249"/>
      <c r="I311" s="249"/>
      <c r="J311" s="250"/>
    </row>
    <row r="312" spans="1:10">
      <c r="A312" s="96"/>
      <c r="B312" s="109"/>
      <c r="C312" s="83"/>
      <c r="D312" s="83"/>
      <c r="E312" s="247"/>
      <c r="F312" s="248" t="str">
        <f>IF(Consolidado!D1000=0," ",Consolidado!D1000)</f>
        <v xml:space="preserve"> </v>
      </c>
      <c r="G312" s="248"/>
      <c r="H312" s="249"/>
      <c r="I312" s="249"/>
      <c r="J312" s="250"/>
    </row>
    <row r="313" spans="1:10">
      <c r="A313" s="96"/>
      <c r="B313" s="109"/>
      <c r="C313" s="83"/>
      <c r="D313" s="83"/>
      <c r="E313" s="247"/>
      <c r="F313" s="248" t="str">
        <f>IF(Consolidado!D1001=0," ",Consolidado!D1001)</f>
        <v xml:space="preserve"> </v>
      </c>
      <c r="G313" s="248"/>
      <c r="H313" s="249"/>
      <c r="I313" s="249"/>
      <c r="J313" s="250"/>
    </row>
    <row r="314" spans="1:10">
      <c r="A314" s="96"/>
      <c r="B314" s="109"/>
      <c r="C314" s="83"/>
      <c r="D314" s="83"/>
      <c r="E314" s="247"/>
      <c r="F314" s="248" t="str">
        <f>IF(Consolidado!D1002=0," ",Consolidado!D1002)</f>
        <v xml:space="preserve"> </v>
      </c>
      <c r="G314" s="248"/>
      <c r="H314" s="249"/>
      <c r="I314" s="249"/>
      <c r="J314" s="250"/>
    </row>
    <row r="315" spans="1:10">
      <c r="A315" s="96"/>
      <c r="F315" s="248" t="str">
        <f>IF(Consolidado!D1003=0," ",Consolidado!D1003)</f>
        <v xml:space="preserve"> </v>
      </c>
    </row>
    <row r="316" spans="1:10">
      <c r="A316" s="92"/>
      <c r="B316" s="93" t="s">
        <v>63</v>
      </c>
      <c r="C316" s="94"/>
      <c r="D316" s="94"/>
      <c r="E316" s="94"/>
      <c r="F316" s="94"/>
      <c r="G316" s="95"/>
      <c r="H316" s="113"/>
    </row>
    <row r="317" spans="1:10">
      <c r="A317" s="763"/>
      <c r="B317" s="764"/>
      <c r="C317" s="764"/>
      <c r="D317" s="764"/>
      <c r="E317" s="764"/>
      <c r="F317" s="764"/>
      <c r="G317" s="764"/>
      <c r="H317" s="765"/>
    </row>
  </sheetData>
  <sheetProtection selectLockedCells="1"/>
  <dataConsolidate/>
  <mergeCells count="5">
    <mergeCell ref="A317:H317"/>
    <mergeCell ref="A4:J4"/>
    <mergeCell ref="B2:C2"/>
    <mergeCell ref="D2:G2"/>
    <mergeCell ref="H2:J2"/>
  </mergeCells>
  <phoneticPr fontId="8" type="noConversion"/>
  <dataValidations disablePrompts="1" count="2">
    <dataValidation type="list" allowBlank="1" showInputMessage="1" showErrorMessage="1" sqref="I14:I314">
      <formula1>Opcion</formula1>
    </dataValidation>
    <dataValidation type="list" allowBlank="1" showInputMessage="1" showErrorMessage="1" sqref="E14:E314">
      <formula1>"Baja, Media, Alta, Bloqueante"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9" r:id="rId4" name="Button 7">
              <controlPr defaultSize="0" print="0" autoFill="0" autoPict="0" macro="[0]!ActualizaTd">
                <anchor moveWithCells="1" sizeWithCells="1">
                  <from>
                    <xdr:col>6</xdr:col>
                    <xdr:colOff>685800</xdr:colOff>
                    <xdr:row>5</xdr:row>
                    <xdr:rowOff>76200</xdr:rowOff>
                  </from>
                  <to>
                    <xdr:col>7</xdr:col>
                    <xdr:colOff>200025</xdr:colOff>
                    <xdr:row>9</xdr:row>
                    <xdr:rowOff>133350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31"/>
  </sheetPr>
  <dimension ref="B1:IV62"/>
  <sheetViews>
    <sheetView showGridLines="0" topLeftCell="A13" zoomScale="85" zoomScaleNormal="85" workbookViewId="0">
      <selection activeCell="I78" sqref="I78"/>
    </sheetView>
  </sheetViews>
  <sheetFormatPr baseColWidth="10" defaultColWidth="11.42578125" defaultRowHeight="12"/>
  <cols>
    <col min="1" max="1" width="2.7109375" style="61" customWidth="1"/>
    <col min="2" max="2" width="23.140625" style="61" customWidth="1"/>
    <col min="3" max="3" width="18.5703125" style="61" customWidth="1"/>
    <col min="4" max="4" width="14.28515625" style="61" customWidth="1"/>
    <col min="5" max="5" width="12" style="61" customWidth="1"/>
    <col min="6" max="6" width="14.85546875" style="61" customWidth="1"/>
    <col min="7" max="9" width="13.140625" style="61" customWidth="1"/>
    <col min="10" max="10" width="11.140625" style="61" customWidth="1"/>
    <col min="11" max="11" width="11.28515625" style="61" customWidth="1"/>
    <col min="12" max="12" width="7.28515625" style="61" customWidth="1"/>
    <col min="13" max="13" width="11.28515625" style="61" customWidth="1"/>
    <col min="14" max="14" width="11.5703125" style="61" customWidth="1"/>
    <col min="15" max="16384" width="11.42578125" style="61"/>
  </cols>
  <sheetData>
    <row r="1" spans="2:256" ht="15.75">
      <c r="B1" s="769" t="s">
        <v>0</v>
      </c>
      <c r="C1" s="770"/>
      <c r="D1" s="770"/>
      <c r="E1" s="770"/>
      <c r="F1" s="770"/>
      <c r="G1" s="770"/>
      <c r="H1" s="770"/>
      <c r="I1" s="771"/>
    </row>
    <row r="2" spans="2:256">
      <c r="B2" s="62"/>
    </row>
    <row r="3" spans="2:256" s="63" customFormat="1" ht="15">
      <c r="B3" s="797" t="s">
        <v>276</v>
      </c>
      <c r="C3" s="798"/>
      <c r="D3" s="798"/>
      <c r="E3" s="64"/>
      <c r="F3" s="794"/>
      <c r="G3" s="794"/>
      <c r="H3" s="794"/>
      <c r="I3" s="794"/>
      <c r="J3" s="794"/>
      <c r="K3" s="794"/>
      <c r="L3" s="794"/>
      <c r="M3" s="794"/>
      <c r="N3" s="794"/>
      <c r="O3" s="794"/>
      <c r="P3" s="794"/>
      <c r="Q3" s="794"/>
      <c r="R3" s="794"/>
      <c r="S3" s="794"/>
      <c r="T3" s="794"/>
      <c r="U3" s="794"/>
      <c r="V3" s="794"/>
      <c r="W3" s="794"/>
      <c r="X3" s="794"/>
      <c r="Y3" s="794"/>
      <c r="Z3" s="794"/>
      <c r="AA3" s="794"/>
      <c r="AB3" s="794"/>
      <c r="AC3" s="794"/>
      <c r="AD3" s="794"/>
      <c r="AE3" s="794"/>
      <c r="AF3" s="794"/>
      <c r="AG3" s="794"/>
      <c r="AH3" s="794"/>
      <c r="AI3" s="794"/>
      <c r="AJ3" s="794"/>
      <c r="AK3" s="794"/>
      <c r="AL3" s="794"/>
      <c r="AM3" s="794"/>
      <c r="AN3" s="794"/>
      <c r="AO3" s="794"/>
      <c r="AP3" s="794"/>
      <c r="AQ3" s="794"/>
      <c r="AR3" s="794"/>
      <c r="AS3" s="794"/>
      <c r="AT3" s="794"/>
      <c r="AU3" s="794"/>
      <c r="AV3" s="794"/>
      <c r="AW3" s="794"/>
      <c r="AX3" s="794"/>
      <c r="AY3" s="794"/>
      <c r="AZ3" s="794"/>
      <c r="BA3" s="794"/>
      <c r="BB3" s="794"/>
      <c r="BC3" s="794"/>
      <c r="BD3" s="794"/>
      <c r="BE3" s="794"/>
      <c r="BF3" s="794"/>
      <c r="BG3" s="794"/>
      <c r="BH3" s="794"/>
      <c r="BI3" s="794"/>
      <c r="BJ3" s="794"/>
      <c r="BK3" s="794"/>
      <c r="BL3" s="794"/>
      <c r="BM3" s="794"/>
      <c r="BN3" s="794"/>
      <c r="BO3" s="794"/>
      <c r="BP3" s="794"/>
      <c r="BQ3" s="794"/>
      <c r="BR3" s="794"/>
      <c r="BS3" s="794"/>
      <c r="BT3" s="794"/>
      <c r="BU3" s="794"/>
      <c r="BV3" s="794"/>
      <c r="BW3" s="794"/>
      <c r="BX3" s="794"/>
      <c r="BY3" s="794"/>
      <c r="BZ3" s="794"/>
      <c r="CA3" s="794"/>
      <c r="CB3" s="794"/>
      <c r="CC3" s="794"/>
      <c r="CD3" s="794"/>
      <c r="CE3" s="794"/>
      <c r="CF3" s="794"/>
      <c r="CG3" s="794"/>
      <c r="CH3" s="794"/>
      <c r="CI3" s="794"/>
      <c r="CJ3" s="794"/>
      <c r="CK3" s="794"/>
      <c r="CL3" s="794"/>
      <c r="CM3" s="794"/>
      <c r="CN3" s="794"/>
      <c r="CO3" s="794"/>
      <c r="CP3" s="794"/>
      <c r="CQ3" s="794"/>
      <c r="CR3" s="794"/>
      <c r="CS3" s="794"/>
      <c r="CT3" s="794"/>
      <c r="CU3" s="794"/>
      <c r="CV3" s="794"/>
      <c r="CW3" s="794"/>
      <c r="CX3" s="794"/>
      <c r="CY3" s="794"/>
      <c r="CZ3" s="794"/>
      <c r="DA3" s="794"/>
      <c r="DB3" s="794"/>
      <c r="DC3" s="794"/>
      <c r="DD3" s="794"/>
      <c r="DE3" s="794"/>
      <c r="DF3" s="794"/>
      <c r="DG3" s="794"/>
      <c r="DH3" s="794"/>
      <c r="DI3" s="794"/>
      <c r="DJ3" s="794"/>
      <c r="DK3" s="794"/>
      <c r="DL3" s="794"/>
      <c r="DM3" s="794"/>
      <c r="DN3" s="794"/>
      <c r="DO3" s="794"/>
      <c r="DP3" s="794"/>
      <c r="DQ3" s="794"/>
      <c r="DR3" s="794"/>
      <c r="DS3" s="794"/>
      <c r="DT3" s="794"/>
      <c r="DU3" s="794"/>
      <c r="DV3" s="794"/>
      <c r="DW3" s="794"/>
      <c r="DX3" s="794"/>
      <c r="DY3" s="794"/>
      <c r="DZ3" s="794"/>
      <c r="EA3" s="794"/>
      <c r="EB3" s="794"/>
      <c r="EC3" s="794"/>
      <c r="ED3" s="794"/>
      <c r="EE3" s="794"/>
      <c r="EF3" s="794"/>
      <c r="EG3" s="794"/>
      <c r="EH3" s="794"/>
      <c r="EI3" s="794"/>
      <c r="EJ3" s="794"/>
      <c r="EK3" s="794"/>
      <c r="EL3" s="794"/>
      <c r="EM3" s="794"/>
      <c r="EN3" s="794"/>
      <c r="EO3" s="794"/>
      <c r="EP3" s="794"/>
      <c r="EQ3" s="794"/>
      <c r="ER3" s="794"/>
      <c r="ES3" s="794"/>
      <c r="ET3" s="794"/>
      <c r="EU3" s="794"/>
      <c r="EV3" s="794"/>
      <c r="EW3" s="794"/>
      <c r="EX3" s="794"/>
      <c r="EY3" s="794"/>
      <c r="EZ3" s="794"/>
      <c r="FA3" s="794"/>
      <c r="FB3" s="794"/>
      <c r="FC3" s="794"/>
      <c r="FD3" s="794"/>
      <c r="FE3" s="794"/>
      <c r="FF3" s="794"/>
      <c r="FG3" s="794"/>
      <c r="FH3" s="794"/>
      <c r="FI3" s="794"/>
      <c r="FJ3" s="794"/>
      <c r="FK3" s="794"/>
      <c r="FL3" s="794"/>
      <c r="FM3" s="794"/>
      <c r="FN3" s="794"/>
      <c r="FO3" s="794"/>
      <c r="FP3" s="794"/>
      <c r="FQ3" s="794"/>
      <c r="FR3" s="794"/>
      <c r="FS3" s="794"/>
      <c r="FT3" s="794"/>
      <c r="FU3" s="794"/>
      <c r="FV3" s="794"/>
      <c r="FW3" s="794"/>
      <c r="FX3" s="794"/>
      <c r="FY3" s="794"/>
      <c r="FZ3" s="794"/>
      <c r="GA3" s="794"/>
      <c r="GB3" s="794"/>
      <c r="GC3" s="794"/>
      <c r="GD3" s="794"/>
      <c r="GE3" s="794"/>
      <c r="GF3" s="794"/>
      <c r="GG3" s="794"/>
      <c r="GH3" s="794"/>
      <c r="GI3" s="794"/>
      <c r="GJ3" s="794"/>
      <c r="GK3" s="794"/>
      <c r="GL3" s="794"/>
      <c r="GM3" s="794"/>
      <c r="GN3" s="794"/>
      <c r="GO3" s="794"/>
      <c r="GP3" s="794"/>
      <c r="GQ3" s="794"/>
      <c r="GR3" s="794"/>
      <c r="GS3" s="794"/>
      <c r="GT3" s="794"/>
      <c r="GU3" s="794"/>
      <c r="GV3" s="794"/>
      <c r="GW3" s="794"/>
      <c r="GX3" s="794"/>
      <c r="GY3" s="794"/>
      <c r="GZ3" s="794"/>
      <c r="HA3" s="794"/>
      <c r="HB3" s="794"/>
      <c r="HC3" s="794"/>
      <c r="HD3" s="794"/>
      <c r="HE3" s="794"/>
      <c r="HF3" s="794"/>
      <c r="HG3" s="794"/>
      <c r="HH3" s="794"/>
      <c r="HI3" s="794"/>
      <c r="HJ3" s="794"/>
      <c r="HK3" s="794"/>
      <c r="HL3" s="794"/>
      <c r="HM3" s="794"/>
      <c r="HN3" s="794"/>
      <c r="HO3" s="794"/>
      <c r="HP3" s="794"/>
      <c r="HQ3" s="794"/>
      <c r="HR3" s="794"/>
      <c r="HS3" s="794"/>
      <c r="HT3" s="794"/>
      <c r="HU3" s="794"/>
      <c r="HV3" s="794"/>
      <c r="HW3" s="794"/>
      <c r="HX3" s="794"/>
      <c r="HY3" s="794"/>
      <c r="HZ3" s="794"/>
      <c r="IA3" s="794"/>
      <c r="IB3" s="794"/>
      <c r="IC3" s="794"/>
      <c r="ID3" s="794"/>
      <c r="IE3" s="794"/>
      <c r="IF3" s="794"/>
      <c r="IG3" s="794"/>
      <c r="IH3" s="794"/>
      <c r="II3" s="794"/>
      <c r="IJ3" s="794"/>
      <c r="IK3" s="794"/>
      <c r="IL3" s="794"/>
      <c r="IM3" s="794"/>
      <c r="IN3" s="794"/>
      <c r="IO3" s="794"/>
      <c r="IP3" s="794"/>
      <c r="IQ3" s="794"/>
      <c r="IR3" s="794"/>
      <c r="IS3" s="794"/>
      <c r="IT3" s="794"/>
      <c r="IU3" s="794"/>
    </row>
    <row r="4" spans="2:256" s="63" customFormat="1">
      <c r="B4" s="795" t="s">
        <v>285</v>
      </c>
      <c r="C4" s="795" t="s">
        <v>278</v>
      </c>
      <c r="D4" s="792" t="s">
        <v>1</v>
      </c>
      <c r="E4" s="64"/>
      <c r="F4" s="64"/>
      <c r="G4" s="65"/>
      <c r="H4" s="64"/>
      <c r="I4" s="65"/>
      <c r="J4" s="64"/>
      <c r="K4" s="65"/>
      <c r="L4" s="64"/>
      <c r="M4" s="65"/>
      <c r="N4" s="64"/>
      <c r="O4" s="65"/>
      <c r="P4" s="64"/>
      <c r="Q4" s="65"/>
      <c r="R4" s="64"/>
      <c r="S4" s="65"/>
      <c r="T4" s="64"/>
      <c r="U4" s="65"/>
      <c r="V4" s="64"/>
      <c r="W4" s="65"/>
      <c r="X4" s="64"/>
      <c r="Y4" s="65"/>
      <c r="Z4" s="64"/>
      <c r="AA4" s="65"/>
      <c r="AB4" s="64"/>
      <c r="AC4" s="65"/>
      <c r="AD4" s="64"/>
      <c r="AE4" s="65"/>
      <c r="AF4" s="64"/>
      <c r="AG4" s="65"/>
      <c r="AH4" s="64"/>
      <c r="AI4" s="65"/>
      <c r="AJ4" s="64"/>
      <c r="AK4" s="65"/>
      <c r="AL4" s="64"/>
      <c r="AM4" s="65"/>
      <c r="AN4" s="64"/>
      <c r="AO4" s="65"/>
      <c r="AP4" s="64"/>
      <c r="AQ4" s="65"/>
      <c r="AR4" s="64"/>
      <c r="AS4" s="65"/>
      <c r="AT4" s="64"/>
      <c r="AU4" s="65"/>
      <c r="AV4" s="64"/>
      <c r="AW4" s="65"/>
      <c r="AX4" s="64"/>
      <c r="AY4" s="65"/>
      <c r="AZ4" s="64"/>
      <c r="BA4" s="65"/>
      <c r="BB4" s="64"/>
      <c r="BC4" s="65"/>
      <c r="BD4" s="64"/>
      <c r="BE4" s="65"/>
      <c r="BF4" s="64"/>
      <c r="BG4" s="65"/>
      <c r="BH4" s="64"/>
      <c r="BI4" s="65"/>
      <c r="BJ4" s="64"/>
      <c r="BK4" s="65"/>
      <c r="BL4" s="64"/>
      <c r="BM4" s="65"/>
      <c r="BN4" s="64"/>
      <c r="BO4" s="65"/>
      <c r="BP4" s="64"/>
      <c r="BQ4" s="65"/>
      <c r="BR4" s="64"/>
      <c r="BS4" s="65"/>
      <c r="BT4" s="64"/>
      <c r="BU4" s="65"/>
      <c r="BV4" s="64"/>
      <c r="BW4" s="65"/>
      <c r="BX4" s="64"/>
      <c r="BY4" s="65"/>
      <c r="BZ4" s="64"/>
      <c r="CA4" s="65"/>
      <c r="CB4" s="64"/>
      <c r="CC4" s="65"/>
      <c r="CD4" s="64"/>
      <c r="CE4" s="65"/>
      <c r="CF4" s="64"/>
      <c r="CG4" s="65"/>
      <c r="CH4" s="64"/>
      <c r="CI4" s="65"/>
      <c r="CJ4" s="64"/>
      <c r="CK4" s="65"/>
      <c r="CL4" s="64"/>
      <c r="CM4" s="65"/>
      <c r="CN4" s="64"/>
      <c r="CO4" s="65"/>
      <c r="CP4" s="64"/>
      <c r="CQ4" s="65"/>
      <c r="CR4" s="64"/>
      <c r="CS4" s="65"/>
      <c r="CT4" s="64"/>
      <c r="CU4" s="65"/>
      <c r="CV4" s="64"/>
      <c r="CW4" s="65"/>
      <c r="CX4" s="64"/>
      <c r="CY4" s="65"/>
      <c r="CZ4" s="64"/>
      <c r="DA4" s="65"/>
      <c r="DB4" s="64"/>
      <c r="DC4" s="65"/>
      <c r="DD4" s="64"/>
      <c r="DE4" s="65"/>
      <c r="DF4" s="64"/>
      <c r="DG4" s="65"/>
      <c r="DH4" s="64"/>
      <c r="DI4" s="65"/>
      <c r="DJ4" s="64"/>
      <c r="DK4" s="65"/>
      <c r="DL4" s="64"/>
      <c r="DM4" s="65"/>
      <c r="DN4" s="64"/>
      <c r="DO4" s="65"/>
      <c r="DP4" s="64"/>
      <c r="DQ4" s="65"/>
      <c r="DR4" s="64"/>
      <c r="DS4" s="65"/>
      <c r="DT4" s="64"/>
      <c r="DU4" s="65"/>
      <c r="DV4" s="64"/>
      <c r="DW4" s="65"/>
      <c r="DX4" s="64"/>
      <c r="DY4" s="65"/>
      <c r="DZ4" s="64"/>
      <c r="EA4" s="65"/>
      <c r="EB4" s="64"/>
      <c r="EC4" s="65"/>
      <c r="ED4" s="64"/>
      <c r="EE4" s="65"/>
      <c r="EF4" s="64"/>
      <c r="EG4" s="65"/>
      <c r="EH4" s="64"/>
      <c r="EI4" s="65"/>
      <c r="EJ4" s="64"/>
      <c r="EK4" s="65"/>
      <c r="EL4" s="64"/>
      <c r="EM4" s="65"/>
      <c r="EN4" s="64"/>
      <c r="EO4" s="65"/>
      <c r="EP4" s="64"/>
      <c r="EQ4" s="65"/>
      <c r="ER4" s="64"/>
      <c r="ES4" s="65"/>
      <c r="ET4" s="64"/>
      <c r="EU4" s="65"/>
      <c r="EV4" s="64"/>
      <c r="EW4" s="65"/>
      <c r="EX4" s="64"/>
      <c r="EY4" s="65"/>
      <c r="EZ4" s="64"/>
      <c r="FA4" s="65"/>
      <c r="FB4" s="64"/>
      <c r="FC4" s="65"/>
      <c r="FD4" s="64"/>
      <c r="FE4" s="65"/>
      <c r="FF4" s="64"/>
      <c r="FG4" s="65"/>
      <c r="FH4" s="64"/>
      <c r="FI4" s="65"/>
      <c r="FJ4" s="64"/>
      <c r="FK4" s="65"/>
      <c r="FL4" s="64"/>
      <c r="FM4" s="65"/>
      <c r="FN4" s="64"/>
      <c r="FO4" s="65"/>
      <c r="FP4" s="64"/>
      <c r="FQ4" s="65"/>
      <c r="FR4" s="64"/>
      <c r="FS4" s="65"/>
      <c r="FT4" s="64"/>
      <c r="FU4" s="65"/>
      <c r="FV4" s="64"/>
      <c r="FW4" s="65"/>
      <c r="FX4" s="64"/>
      <c r="FY4" s="65"/>
      <c r="FZ4" s="64"/>
      <c r="GA4" s="65"/>
      <c r="GB4" s="64"/>
      <c r="GC4" s="65"/>
      <c r="GD4" s="64"/>
      <c r="GE4" s="65"/>
      <c r="GF4" s="64"/>
      <c r="GG4" s="65"/>
      <c r="GH4" s="64"/>
      <c r="GI4" s="65"/>
      <c r="GJ4" s="64"/>
      <c r="GK4" s="65"/>
      <c r="GL4" s="64"/>
      <c r="GM4" s="65"/>
      <c r="GN4" s="64"/>
      <c r="GO4" s="65"/>
      <c r="GP4" s="64"/>
      <c r="GQ4" s="65"/>
      <c r="GR4" s="64"/>
      <c r="GS4" s="65"/>
      <c r="GT4" s="64"/>
      <c r="GU4" s="65"/>
      <c r="GV4" s="64"/>
      <c r="GW4" s="65"/>
      <c r="GX4" s="64"/>
      <c r="GY4" s="65"/>
      <c r="GZ4" s="64"/>
      <c r="HA4" s="65"/>
      <c r="HB4" s="64"/>
      <c r="HC4" s="65"/>
      <c r="HD4" s="64"/>
      <c r="HE4" s="65"/>
      <c r="HF4" s="64"/>
      <c r="HG4" s="65"/>
      <c r="HH4" s="64"/>
      <c r="HI4" s="65"/>
      <c r="HJ4" s="64"/>
      <c r="HK4" s="65"/>
      <c r="HL4" s="64"/>
      <c r="HM4" s="65"/>
      <c r="HN4" s="64"/>
      <c r="HO4" s="65"/>
      <c r="HP4" s="64"/>
      <c r="HQ4" s="65"/>
      <c r="HR4" s="64"/>
      <c r="HS4" s="65"/>
      <c r="HT4" s="64"/>
      <c r="HU4" s="65"/>
      <c r="HV4" s="64"/>
      <c r="HW4" s="65"/>
      <c r="HX4" s="64"/>
      <c r="HY4" s="65"/>
      <c r="HZ4" s="64"/>
      <c r="IA4" s="65"/>
      <c r="IB4" s="64"/>
      <c r="IC4" s="65"/>
      <c r="ID4" s="64"/>
      <c r="IE4" s="65"/>
      <c r="IF4" s="64"/>
      <c r="IG4" s="65"/>
      <c r="IH4" s="64"/>
      <c r="II4" s="65"/>
      <c r="IJ4" s="64"/>
      <c r="IK4" s="65"/>
      <c r="IL4" s="64"/>
      <c r="IM4" s="65"/>
      <c r="IN4" s="64"/>
      <c r="IO4" s="65"/>
      <c r="IP4" s="64"/>
      <c r="IQ4" s="65"/>
      <c r="IR4" s="64"/>
      <c r="IS4" s="65"/>
      <c r="IT4" s="64"/>
      <c r="IU4" s="65"/>
      <c r="IV4" s="64"/>
    </row>
    <row r="5" spans="2:256" s="63" customFormat="1">
      <c r="B5" s="796"/>
      <c r="C5" s="796"/>
      <c r="D5" s="793"/>
      <c r="E5" s="64"/>
      <c r="F5" s="65"/>
      <c r="G5" s="64"/>
      <c r="H5" s="65"/>
      <c r="I5" s="64"/>
      <c r="J5" s="65"/>
      <c r="K5" s="64"/>
      <c r="L5" s="65"/>
      <c r="M5" s="64"/>
      <c r="N5" s="65"/>
      <c r="O5" s="64"/>
      <c r="P5" s="65"/>
      <c r="Q5" s="64"/>
      <c r="R5" s="65"/>
      <c r="S5" s="64"/>
      <c r="T5" s="65"/>
      <c r="U5" s="64"/>
      <c r="V5" s="65"/>
      <c r="W5" s="64"/>
      <c r="X5" s="65"/>
      <c r="Y5" s="64"/>
      <c r="Z5" s="65"/>
      <c r="AA5" s="64"/>
      <c r="AB5" s="65"/>
      <c r="AC5" s="64"/>
      <c r="AD5" s="65"/>
      <c r="AE5" s="64"/>
      <c r="AF5" s="65"/>
      <c r="AG5" s="64"/>
      <c r="AH5" s="65"/>
      <c r="AI5" s="64"/>
      <c r="AJ5" s="65"/>
      <c r="AK5" s="64"/>
      <c r="AL5" s="65"/>
      <c r="AM5" s="64"/>
      <c r="AN5" s="65"/>
      <c r="AO5" s="64"/>
      <c r="AP5" s="65"/>
      <c r="AQ5" s="64"/>
      <c r="AR5" s="65"/>
      <c r="AS5" s="64"/>
      <c r="AT5" s="65"/>
      <c r="AU5" s="64"/>
      <c r="AV5" s="65"/>
      <c r="AW5" s="64"/>
      <c r="AX5" s="65"/>
      <c r="AY5" s="64"/>
      <c r="AZ5" s="65"/>
      <c r="BA5" s="64"/>
      <c r="BB5" s="65"/>
      <c r="BC5" s="64"/>
      <c r="BD5" s="65"/>
      <c r="BE5" s="64"/>
      <c r="BF5" s="65"/>
      <c r="BG5" s="64"/>
      <c r="BH5" s="65"/>
      <c r="BI5" s="64"/>
      <c r="BJ5" s="65"/>
      <c r="BK5" s="64"/>
      <c r="BL5" s="65"/>
      <c r="BM5" s="64"/>
      <c r="BN5" s="65"/>
      <c r="BO5" s="64"/>
      <c r="BP5" s="65"/>
      <c r="BQ5" s="64"/>
      <c r="BR5" s="65"/>
      <c r="BS5" s="64"/>
      <c r="BT5" s="65"/>
      <c r="BU5" s="64"/>
      <c r="BV5" s="65"/>
      <c r="BW5" s="64"/>
      <c r="BX5" s="65"/>
      <c r="BY5" s="64"/>
      <c r="BZ5" s="65"/>
      <c r="CA5" s="64"/>
      <c r="CB5" s="65"/>
      <c r="CC5" s="64"/>
      <c r="CD5" s="65"/>
      <c r="CE5" s="64"/>
      <c r="CF5" s="65"/>
      <c r="CG5" s="64"/>
      <c r="CH5" s="65"/>
      <c r="CI5" s="64"/>
      <c r="CJ5" s="65"/>
      <c r="CK5" s="64"/>
      <c r="CL5" s="65"/>
      <c r="CM5" s="64"/>
      <c r="CN5" s="65"/>
      <c r="CO5" s="64"/>
      <c r="CP5" s="65"/>
      <c r="CQ5" s="64"/>
      <c r="CR5" s="65"/>
      <c r="CS5" s="64"/>
      <c r="CT5" s="65"/>
      <c r="CU5" s="64"/>
      <c r="CV5" s="65"/>
      <c r="CW5" s="64"/>
      <c r="CX5" s="65"/>
      <c r="CY5" s="64"/>
      <c r="CZ5" s="65"/>
      <c r="DA5" s="64"/>
      <c r="DB5" s="65"/>
      <c r="DC5" s="64"/>
      <c r="DD5" s="65"/>
      <c r="DE5" s="64"/>
      <c r="DF5" s="65"/>
      <c r="DG5" s="64"/>
      <c r="DH5" s="65"/>
      <c r="DI5" s="64"/>
      <c r="DJ5" s="65"/>
      <c r="DK5" s="64"/>
      <c r="DL5" s="65"/>
      <c r="DM5" s="64"/>
      <c r="DN5" s="65"/>
      <c r="DO5" s="64"/>
      <c r="DP5" s="65"/>
      <c r="DQ5" s="64"/>
      <c r="DR5" s="65"/>
      <c r="DS5" s="64"/>
      <c r="DT5" s="65"/>
      <c r="DU5" s="64"/>
      <c r="DV5" s="65"/>
      <c r="DW5" s="64"/>
      <c r="DX5" s="65"/>
      <c r="DY5" s="64"/>
      <c r="DZ5" s="65"/>
      <c r="EA5" s="64"/>
      <c r="EB5" s="65"/>
      <c r="EC5" s="64"/>
      <c r="ED5" s="65"/>
      <c r="EE5" s="64"/>
      <c r="EF5" s="65"/>
      <c r="EG5" s="64"/>
      <c r="EH5" s="65"/>
      <c r="EI5" s="64"/>
      <c r="EJ5" s="65"/>
      <c r="EK5" s="64"/>
      <c r="EL5" s="65"/>
      <c r="EM5" s="64"/>
      <c r="EN5" s="65"/>
      <c r="EO5" s="64"/>
      <c r="EP5" s="65"/>
      <c r="EQ5" s="64"/>
      <c r="ER5" s="65"/>
      <c r="ES5" s="64"/>
      <c r="ET5" s="65"/>
      <c r="EU5" s="64"/>
      <c r="EV5" s="65"/>
      <c r="EW5" s="64"/>
      <c r="EX5" s="65"/>
      <c r="EY5" s="64"/>
      <c r="EZ5" s="65"/>
      <c r="FA5" s="64"/>
      <c r="FB5" s="65"/>
      <c r="FC5" s="64"/>
      <c r="FD5" s="65"/>
      <c r="FE5" s="64"/>
      <c r="FF5" s="65"/>
      <c r="FG5" s="64"/>
      <c r="FH5" s="65"/>
      <c r="FI5" s="64"/>
      <c r="FJ5" s="65"/>
      <c r="FK5" s="64"/>
      <c r="FL5" s="65"/>
      <c r="FM5" s="64"/>
      <c r="FN5" s="65"/>
      <c r="FO5" s="64"/>
      <c r="FP5" s="65"/>
      <c r="FQ5" s="64"/>
      <c r="FR5" s="65"/>
      <c r="FS5" s="64"/>
      <c r="FT5" s="65"/>
      <c r="FU5" s="64"/>
      <c r="FV5" s="65"/>
      <c r="FW5" s="64"/>
      <c r="FX5" s="65"/>
      <c r="FY5" s="64"/>
      <c r="FZ5" s="65"/>
      <c r="GA5" s="64"/>
      <c r="GB5" s="65"/>
      <c r="GC5" s="64"/>
      <c r="GD5" s="65"/>
      <c r="GE5" s="64"/>
      <c r="GF5" s="65"/>
      <c r="GG5" s="64"/>
      <c r="GH5" s="65"/>
      <c r="GI5" s="64"/>
      <c r="GJ5" s="65"/>
      <c r="GK5" s="64"/>
      <c r="GL5" s="65"/>
      <c r="GM5" s="64"/>
      <c r="GN5" s="65"/>
      <c r="GO5" s="64"/>
      <c r="GP5" s="65"/>
      <c r="GQ5" s="64"/>
      <c r="GR5" s="65"/>
      <c r="GS5" s="64"/>
      <c r="GT5" s="65"/>
      <c r="GU5" s="64"/>
      <c r="GV5" s="65"/>
      <c r="GW5" s="64"/>
      <c r="GX5" s="65"/>
      <c r="GY5" s="64"/>
      <c r="GZ5" s="65"/>
      <c r="HA5" s="64"/>
      <c r="HB5" s="65"/>
      <c r="HC5" s="64"/>
      <c r="HD5" s="65"/>
      <c r="HE5" s="64"/>
      <c r="HF5" s="65"/>
      <c r="HG5" s="64"/>
      <c r="HH5" s="65"/>
      <c r="HI5" s="64"/>
      <c r="HJ5" s="65"/>
      <c r="HK5" s="64"/>
      <c r="HL5" s="65"/>
      <c r="HM5" s="64"/>
      <c r="HN5" s="65"/>
      <c r="HO5" s="64"/>
      <c r="HP5" s="65"/>
      <c r="HQ5" s="64"/>
      <c r="HR5" s="65"/>
      <c r="HS5" s="64"/>
      <c r="HT5" s="65"/>
      <c r="HU5" s="64"/>
      <c r="HV5" s="65"/>
      <c r="HW5" s="64"/>
      <c r="HX5" s="65"/>
      <c r="HY5" s="64"/>
      <c r="HZ5" s="65"/>
      <c r="IA5" s="64"/>
      <c r="IB5" s="65"/>
      <c r="IC5" s="64"/>
      <c r="ID5" s="65"/>
      <c r="IE5" s="64"/>
      <c r="IF5" s="65"/>
      <c r="IG5" s="64"/>
      <c r="IH5" s="65"/>
      <c r="II5" s="64"/>
      <c r="IJ5" s="65"/>
      <c r="IK5" s="64"/>
      <c r="IL5" s="65"/>
      <c r="IM5" s="64"/>
      <c r="IN5" s="65"/>
      <c r="IO5" s="64"/>
      <c r="IP5" s="65"/>
      <c r="IQ5" s="64"/>
      <c r="IR5" s="65"/>
      <c r="IS5" s="64"/>
      <c r="IT5" s="65"/>
      <c r="IU5" s="64"/>
    </row>
    <row r="6" spans="2:256" s="63" customFormat="1">
      <c r="B6" s="115" t="s">
        <v>361</v>
      </c>
      <c r="C6" s="116">
        <f>COUNTIF('Seguimiento de Incidencias'!$D$14:$D$314,B6)</f>
        <v>0</v>
      </c>
      <c r="D6" s="117" t="e">
        <f t="shared" ref="D6:D11" si="0">C6/$C$12</f>
        <v>#DIV/0!</v>
      </c>
      <c r="E6" s="82"/>
      <c r="F6" s="65"/>
      <c r="G6" s="64"/>
      <c r="H6" s="65"/>
      <c r="I6" s="64"/>
      <c r="J6" s="65"/>
      <c r="K6" s="64"/>
      <c r="L6" s="65"/>
      <c r="M6" s="64"/>
      <c r="N6" s="65"/>
      <c r="O6" s="64"/>
      <c r="P6" s="65"/>
      <c r="Q6" s="64"/>
      <c r="R6" s="65"/>
      <c r="S6" s="64"/>
      <c r="T6" s="65"/>
      <c r="U6" s="64"/>
      <c r="V6" s="65"/>
      <c r="W6" s="64"/>
      <c r="X6" s="65"/>
      <c r="Y6" s="64"/>
      <c r="Z6" s="65"/>
      <c r="AA6" s="64"/>
      <c r="AB6" s="65"/>
      <c r="AC6" s="64"/>
      <c r="AD6" s="65"/>
      <c r="AE6" s="64"/>
      <c r="AF6" s="65"/>
      <c r="AG6" s="64"/>
      <c r="AH6" s="65"/>
      <c r="AI6" s="64"/>
      <c r="AJ6" s="65"/>
      <c r="AK6" s="64"/>
      <c r="AL6" s="65"/>
      <c r="AM6" s="64"/>
      <c r="AN6" s="65"/>
      <c r="AO6" s="64"/>
      <c r="AP6" s="65"/>
      <c r="AQ6" s="64"/>
      <c r="AR6" s="65"/>
      <c r="AS6" s="64"/>
      <c r="AT6" s="65"/>
      <c r="AU6" s="64"/>
      <c r="AV6" s="65"/>
      <c r="AW6" s="64"/>
      <c r="AX6" s="65"/>
      <c r="AY6" s="64"/>
      <c r="AZ6" s="65"/>
      <c r="BA6" s="64"/>
      <c r="BB6" s="65"/>
      <c r="BC6" s="64"/>
      <c r="BD6" s="65"/>
      <c r="BE6" s="64"/>
      <c r="BF6" s="65"/>
      <c r="BG6" s="64"/>
      <c r="BH6" s="65"/>
      <c r="BI6" s="64"/>
      <c r="BJ6" s="65"/>
      <c r="BK6" s="64"/>
      <c r="BL6" s="65"/>
      <c r="BM6" s="64"/>
      <c r="BN6" s="65"/>
      <c r="BO6" s="64"/>
      <c r="BP6" s="65"/>
      <c r="BQ6" s="64"/>
      <c r="BR6" s="65"/>
      <c r="BS6" s="64"/>
      <c r="BT6" s="65"/>
      <c r="BU6" s="64"/>
      <c r="BV6" s="65"/>
      <c r="BW6" s="64"/>
      <c r="BX6" s="65"/>
      <c r="BY6" s="64"/>
      <c r="BZ6" s="65"/>
      <c r="CA6" s="64"/>
      <c r="CB6" s="65"/>
      <c r="CC6" s="64"/>
      <c r="CD6" s="65"/>
      <c r="CE6" s="64"/>
      <c r="CF6" s="65"/>
      <c r="CG6" s="64"/>
      <c r="CH6" s="65"/>
      <c r="CI6" s="64"/>
      <c r="CJ6" s="65"/>
      <c r="CK6" s="64"/>
      <c r="CL6" s="65"/>
      <c r="CM6" s="64"/>
      <c r="CN6" s="65"/>
      <c r="CO6" s="64"/>
      <c r="CP6" s="65"/>
      <c r="CQ6" s="64"/>
      <c r="CR6" s="65"/>
      <c r="CS6" s="64"/>
      <c r="CT6" s="65"/>
      <c r="CU6" s="64"/>
      <c r="CV6" s="65"/>
      <c r="CW6" s="64"/>
      <c r="CX6" s="65"/>
      <c r="CY6" s="64"/>
      <c r="CZ6" s="65"/>
      <c r="DA6" s="64"/>
      <c r="DB6" s="65"/>
      <c r="DC6" s="64"/>
      <c r="DD6" s="65"/>
      <c r="DE6" s="64"/>
      <c r="DF6" s="65"/>
      <c r="DG6" s="64"/>
      <c r="DH6" s="65"/>
      <c r="DI6" s="64"/>
      <c r="DJ6" s="65"/>
      <c r="DK6" s="64"/>
      <c r="DL6" s="65"/>
      <c r="DM6" s="64"/>
      <c r="DN6" s="65"/>
      <c r="DO6" s="64"/>
      <c r="DP6" s="65"/>
      <c r="DQ6" s="64"/>
      <c r="DR6" s="65"/>
      <c r="DS6" s="64"/>
      <c r="DT6" s="65"/>
      <c r="DU6" s="64"/>
      <c r="DV6" s="65"/>
      <c r="DW6" s="64"/>
      <c r="DX6" s="65"/>
      <c r="DY6" s="64"/>
      <c r="DZ6" s="65"/>
      <c r="EA6" s="64"/>
      <c r="EB6" s="65"/>
      <c r="EC6" s="64"/>
      <c r="ED6" s="65"/>
      <c r="EE6" s="64"/>
      <c r="EF6" s="65"/>
      <c r="EG6" s="64"/>
      <c r="EH6" s="65"/>
      <c r="EI6" s="64"/>
      <c r="EJ6" s="65"/>
      <c r="EK6" s="64"/>
      <c r="EL6" s="65"/>
      <c r="EM6" s="64"/>
      <c r="EN6" s="65"/>
      <c r="EO6" s="64"/>
      <c r="EP6" s="65"/>
      <c r="EQ6" s="64"/>
      <c r="ER6" s="65"/>
      <c r="ES6" s="64"/>
      <c r="ET6" s="65"/>
      <c r="EU6" s="64"/>
      <c r="EV6" s="65"/>
      <c r="EW6" s="64"/>
      <c r="EX6" s="65"/>
      <c r="EY6" s="64"/>
      <c r="EZ6" s="65"/>
      <c r="FA6" s="64"/>
      <c r="FB6" s="65"/>
      <c r="FC6" s="64"/>
      <c r="FD6" s="65"/>
      <c r="FE6" s="64"/>
      <c r="FF6" s="65"/>
      <c r="FG6" s="64"/>
      <c r="FH6" s="65"/>
      <c r="FI6" s="64"/>
      <c r="FJ6" s="65"/>
      <c r="FK6" s="64"/>
      <c r="FL6" s="65"/>
      <c r="FM6" s="64"/>
      <c r="FN6" s="65"/>
      <c r="FO6" s="64"/>
      <c r="FP6" s="65"/>
      <c r="FQ6" s="64"/>
      <c r="FR6" s="65"/>
      <c r="FS6" s="64"/>
      <c r="FT6" s="65"/>
      <c r="FU6" s="64"/>
      <c r="FV6" s="65"/>
      <c r="FW6" s="64"/>
      <c r="FX6" s="65"/>
      <c r="FY6" s="64"/>
      <c r="FZ6" s="65"/>
      <c r="GA6" s="64"/>
      <c r="GB6" s="65"/>
      <c r="GC6" s="64"/>
      <c r="GD6" s="65"/>
      <c r="GE6" s="64"/>
      <c r="GF6" s="65"/>
      <c r="GG6" s="64"/>
      <c r="GH6" s="65"/>
      <c r="GI6" s="64"/>
      <c r="GJ6" s="65"/>
      <c r="GK6" s="64"/>
      <c r="GL6" s="65"/>
      <c r="GM6" s="64"/>
      <c r="GN6" s="65"/>
      <c r="GO6" s="64"/>
      <c r="GP6" s="65"/>
      <c r="GQ6" s="64"/>
      <c r="GR6" s="65"/>
      <c r="GS6" s="64"/>
      <c r="GT6" s="65"/>
      <c r="GU6" s="64"/>
      <c r="GV6" s="65"/>
      <c r="GW6" s="64"/>
      <c r="GX6" s="65"/>
      <c r="GY6" s="64"/>
      <c r="GZ6" s="65"/>
      <c r="HA6" s="64"/>
      <c r="HB6" s="65"/>
      <c r="HC6" s="64"/>
      <c r="HD6" s="65"/>
      <c r="HE6" s="64"/>
      <c r="HF6" s="65"/>
      <c r="HG6" s="64"/>
      <c r="HH6" s="65"/>
      <c r="HI6" s="64"/>
      <c r="HJ6" s="65"/>
      <c r="HK6" s="64"/>
      <c r="HL6" s="65"/>
      <c r="HM6" s="64"/>
      <c r="HN6" s="65"/>
      <c r="HO6" s="64"/>
      <c r="HP6" s="65"/>
      <c r="HQ6" s="64"/>
      <c r="HR6" s="65"/>
      <c r="HS6" s="64"/>
      <c r="HT6" s="65"/>
      <c r="HU6" s="64"/>
      <c r="HV6" s="65"/>
      <c r="HW6" s="64"/>
      <c r="HX6" s="65"/>
      <c r="HY6" s="64"/>
      <c r="HZ6" s="65"/>
      <c r="IA6" s="64"/>
      <c r="IB6" s="65"/>
      <c r="IC6" s="64"/>
      <c r="ID6" s="65"/>
      <c r="IE6" s="64"/>
      <c r="IF6" s="65"/>
      <c r="IG6" s="64"/>
      <c r="IH6" s="65"/>
      <c r="II6" s="64"/>
      <c r="IJ6" s="65"/>
      <c r="IK6" s="64"/>
      <c r="IL6" s="65"/>
      <c r="IM6" s="64"/>
      <c r="IN6" s="65"/>
      <c r="IO6" s="64"/>
      <c r="IP6" s="65"/>
      <c r="IQ6" s="64"/>
      <c r="IR6" s="65"/>
      <c r="IS6" s="64"/>
      <c r="IT6" s="65"/>
      <c r="IU6" s="64"/>
    </row>
    <row r="7" spans="2:256" s="63" customFormat="1">
      <c r="B7" s="115" t="s">
        <v>365</v>
      </c>
      <c r="C7" s="116">
        <f>COUNTIF('Seguimiento de Incidencias'!$D$14:$D$314,B7)</f>
        <v>0</v>
      </c>
      <c r="D7" s="117" t="e">
        <f t="shared" si="0"/>
        <v>#DIV/0!</v>
      </c>
      <c r="E7" s="82"/>
      <c r="F7" s="65"/>
      <c r="G7" s="64"/>
      <c r="H7" s="65"/>
      <c r="I7" s="64"/>
      <c r="J7" s="65"/>
      <c r="K7" s="64"/>
      <c r="L7" s="65"/>
      <c r="M7" s="64"/>
      <c r="N7" s="65"/>
      <c r="O7" s="64"/>
      <c r="P7" s="65"/>
      <c r="Q7" s="64"/>
      <c r="R7" s="65"/>
      <c r="S7" s="64"/>
      <c r="T7" s="65"/>
      <c r="U7" s="64"/>
      <c r="V7" s="65"/>
      <c r="W7" s="64"/>
      <c r="X7" s="65"/>
      <c r="Y7" s="64"/>
      <c r="Z7" s="65"/>
      <c r="AA7" s="64"/>
      <c r="AB7" s="65"/>
      <c r="AC7" s="64"/>
      <c r="AD7" s="65"/>
      <c r="AE7" s="64"/>
      <c r="AF7" s="65"/>
      <c r="AG7" s="64"/>
      <c r="AH7" s="65"/>
      <c r="AI7" s="64"/>
      <c r="AJ7" s="65"/>
      <c r="AK7" s="64"/>
      <c r="AL7" s="65"/>
      <c r="AM7" s="64"/>
      <c r="AN7" s="65"/>
      <c r="AO7" s="64"/>
      <c r="AP7" s="65"/>
      <c r="AQ7" s="64"/>
      <c r="AR7" s="65"/>
      <c r="AS7" s="64"/>
      <c r="AT7" s="65"/>
      <c r="AU7" s="64"/>
      <c r="AV7" s="65"/>
      <c r="AW7" s="64"/>
      <c r="AX7" s="65"/>
      <c r="AY7" s="64"/>
      <c r="AZ7" s="65"/>
      <c r="BA7" s="64"/>
      <c r="BB7" s="65"/>
      <c r="BC7" s="64"/>
      <c r="BD7" s="65"/>
      <c r="BE7" s="64"/>
      <c r="BF7" s="65"/>
      <c r="BG7" s="64"/>
      <c r="BH7" s="65"/>
      <c r="BI7" s="64"/>
      <c r="BJ7" s="65"/>
      <c r="BK7" s="64"/>
      <c r="BL7" s="65"/>
      <c r="BM7" s="64"/>
      <c r="BN7" s="65"/>
      <c r="BO7" s="64"/>
      <c r="BP7" s="65"/>
      <c r="BQ7" s="64"/>
      <c r="BR7" s="65"/>
      <c r="BS7" s="64"/>
      <c r="BT7" s="65"/>
      <c r="BU7" s="64"/>
      <c r="BV7" s="65"/>
      <c r="BW7" s="64"/>
      <c r="BX7" s="65"/>
      <c r="BY7" s="64"/>
      <c r="BZ7" s="65"/>
      <c r="CA7" s="64"/>
      <c r="CB7" s="65"/>
      <c r="CC7" s="64"/>
      <c r="CD7" s="65"/>
      <c r="CE7" s="64"/>
      <c r="CF7" s="65"/>
      <c r="CG7" s="64"/>
      <c r="CH7" s="65"/>
      <c r="CI7" s="64"/>
      <c r="CJ7" s="65"/>
      <c r="CK7" s="64"/>
      <c r="CL7" s="65"/>
      <c r="CM7" s="64"/>
      <c r="CN7" s="65"/>
      <c r="CO7" s="64"/>
      <c r="CP7" s="65"/>
      <c r="CQ7" s="64"/>
      <c r="CR7" s="65"/>
      <c r="CS7" s="64"/>
      <c r="CT7" s="65"/>
      <c r="CU7" s="64"/>
      <c r="CV7" s="65"/>
      <c r="CW7" s="64"/>
      <c r="CX7" s="65"/>
      <c r="CY7" s="64"/>
      <c r="CZ7" s="65"/>
      <c r="DA7" s="64"/>
      <c r="DB7" s="65"/>
      <c r="DC7" s="64"/>
      <c r="DD7" s="65"/>
      <c r="DE7" s="64"/>
      <c r="DF7" s="65"/>
      <c r="DG7" s="64"/>
      <c r="DH7" s="65"/>
      <c r="DI7" s="64"/>
      <c r="DJ7" s="65"/>
      <c r="DK7" s="64"/>
      <c r="DL7" s="65"/>
      <c r="DM7" s="64"/>
      <c r="DN7" s="65"/>
      <c r="DO7" s="64"/>
      <c r="DP7" s="65"/>
      <c r="DQ7" s="64"/>
      <c r="DR7" s="65"/>
      <c r="DS7" s="64"/>
      <c r="DT7" s="65"/>
      <c r="DU7" s="64"/>
      <c r="DV7" s="65"/>
      <c r="DW7" s="64"/>
      <c r="DX7" s="65"/>
      <c r="DY7" s="64"/>
      <c r="DZ7" s="65"/>
      <c r="EA7" s="64"/>
      <c r="EB7" s="65"/>
      <c r="EC7" s="64"/>
      <c r="ED7" s="65"/>
      <c r="EE7" s="64"/>
      <c r="EF7" s="65"/>
      <c r="EG7" s="64"/>
      <c r="EH7" s="65"/>
      <c r="EI7" s="64"/>
      <c r="EJ7" s="65"/>
      <c r="EK7" s="64"/>
      <c r="EL7" s="65"/>
      <c r="EM7" s="64"/>
      <c r="EN7" s="65"/>
      <c r="EO7" s="64"/>
      <c r="EP7" s="65"/>
      <c r="EQ7" s="64"/>
      <c r="ER7" s="65"/>
      <c r="ES7" s="64"/>
      <c r="ET7" s="65"/>
      <c r="EU7" s="64"/>
      <c r="EV7" s="65"/>
      <c r="EW7" s="64"/>
      <c r="EX7" s="65"/>
      <c r="EY7" s="64"/>
      <c r="EZ7" s="65"/>
      <c r="FA7" s="64"/>
      <c r="FB7" s="65"/>
      <c r="FC7" s="64"/>
      <c r="FD7" s="65"/>
      <c r="FE7" s="64"/>
      <c r="FF7" s="65"/>
      <c r="FG7" s="64"/>
      <c r="FH7" s="65"/>
      <c r="FI7" s="64"/>
      <c r="FJ7" s="65"/>
      <c r="FK7" s="64"/>
      <c r="FL7" s="65"/>
      <c r="FM7" s="64"/>
      <c r="FN7" s="65"/>
      <c r="FO7" s="64"/>
      <c r="FP7" s="65"/>
      <c r="FQ7" s="64"/>
      <c r="FR7" s="65"/>
      <c r="FS7" s="64"/>
      <c r="FT7" s="65"/>
      <c r="FU7" s="64"/>
      <c r="FV7" s="65"/>
      <c r="FW7" s="64"/>
      <c r="FX7" s="65"/>
      <c r="FY7" s="64"/>
      <c r="FZ7" s="65"/>
      <c r="GA7" s="64"/>
      <c r="GB7" s="65"/>
      <c r="GC7" s="64"/>
      <c r="GD7" s="65"/>
      <c r="GE7" s="64"/>
      <c r="GF7" s="65"/>
      <c r="GG7" s="64"/>
      <c r="GH7" s="65"/>
      <c r="GI7" s="64"/>
      <c r="GJ7" s="65"/>
      <c r="GK7" s="64"/>
      <c r="GL7" s="65"/>
      <c r="GM7" s="64"/>
      <c r="GN7" s="65"/>
      <c r="GO7" s="64"/>
      <c r="GP7" s="65"/>
      <c r="GQ7" s="64"/>
      <c r="GR7" s="65"/>
      <c r="GS7" s="64"/>
      <c r="GT7" s="65"/>
      <c r="GU7" s="64"/>
      <c r="GV7" s="65"/>
      <c r="GW7" s="64"/>
      <c r="GX7" s="65"/>
      <c r="GY7" s="64"/>
      <c r="GZ7" s="65"/>
      <c r="HA7" s="64"/>
      <c r="HB7" s="65"/>
      <c r="HC7" s="64"/>
      <c r="HD7" s="65"/>
      <c r="HE7" s="64"/>
      <c r="HF7" s="65"/>
      <c r="HG7" s="64"/>
      <c r="HH7" s="65"/>
      <c r="HI7" s="64"/>
      <c r="HJ7" s="65"/>
      <c r="HK7" s="64"/>
      <c r="HL7" s="65"/>
      <c r="HM7" s="64"/>
      <c r="HN7" s="65"/>
      <c r="HO7" s="64"/>
      <c r="HP7" s="65"/>
      <c r="HQ7" s="64"/>
      <c r="HR7" s="65"/>
      <c r="HS7" s="64"/>
      <c r="HT7" s="65"/>
      <c r="HU7" s="64"/>
      <c r="HV7" s="65"/>
      <c r="HW7" s="64"/>
      <c r="HX7" s="65"/>
      <c r="HY7" s="64"/>
      <c r="HZ7" s="65"/>
      <c r="IA7" s="64"/>
      <c r="IB7" s="65"/>
      <c r="IC7" s="64"/>
      <c r="ID7" s="65"/>
      <c r="IE7" s="64"/>
      <c r="IF7" s="65"/>
      <c r="IG7" s="64"/>
      <c r="IH7" s="65"/>
      <c r="II7" s="64"/>
      <c r="IJ7" s="65"/>
      <c r="IK7" s="64"/>
      <c r="IL7" s="65"/>
      <c r="IM7" s="64"/>
      <c r="IN7" s="65"/>
      <c r="IO7" s="64"/>
      <c r="IP7" s="65"/>
      <c r="IQ7" s="64"/>
      <c r="IR7" s="65"/>
      <c r="IS7" s="64"/>
      <c r="IT7" s="65"/>
      <c r="IU7" s="64"/>
    </row>
    <row r="8" spans="2:256" s="63" customFormat="1">
      <c r="B8" s="115" t="s">
        <v>370</v>
      </c>
      <c r="C8" s="116">
        <f>COUNTIF('Seguimiento de Incidencias'!$D$14:$D$314,B8)</f>
        <v>0</v>
      </c>
      <c r="D8" s="117" t="e">
        <f t="shared" si="0"/>
        <v>#DIV/0!</v>
      </c>
      <c r="E8" s="82"/>
      <c r="F8" s="65"/>
      <c r="G8" s="64"/>
      <c r="H8" s="65"/>
      <c r="I8" s="64"/>
      <c r="J8" s="65"/>
      <c r="K8" s="64"/>
      <c r="L8" s="65"/>
      <c r="M8" s="64"/>
      <c r="N8" s="65"/>
      <c r="O8" s="64"/>
      <c r="P8" s="65"/>
      <c r="Q8" s="64"/>
      <c r="R8" s="65"/>
      <c r="S8" s="64"/>
      <c r="T8" s="65"/>
      <c r="U8" s="64"/>
      <c r="V8" s="65"/>
      <c r="W8" s="64"/>
      <c r="X8" s="65"/>
      <c r="Y8" s="64"/>
      <c r="Z8" s="65"/>
      <c r="AA8" s="64"/>
      <c r="AB8" s="65"/>
      <c r="AC8" s="64"/>
      <c r="AD8" s="65"/>
      <c r="AE8" s="64"/>
      <c r="AF8" s="65"/>
      <c r="AG8" s="64"/>
      <c r="AH8" s="65"/>
      <c r="AI8" s="64"/>
      <c r="AJ8" s="65"/>
      <c r="AK8" s="64"/>
      <c r="AL8" s="65"/>
      <c r="AM8" s="64"/>
      <c r="AN8" s="65"/>
      <c r="AO8" s="64"/>
      <c r="AP8" s="65"/>
      <c r="AQ8" s="64"/>
      <c r="AR8" s="65"/>
      <c r="AS8" s="64"/>
      <c r="AT8" s="65"/>
      <c r="AU8" s="64"/>
      <c r="AV8" s="65"/>
      <c r="AW8" s="64"/>
      <c r="AX8" s="65"/>
      <c r="AY8" s="64"/>
      <c r="AZ8" s="65"/>
      <c r="BA8" s="64"/>
      <c r="BB8" s="65"/>
      <c r="BC8" s="64"/>
      <c r="BD8" s="65"/>
      <c r="BE8" s="64"/>
      <c r="BF8" s="65"/>
      <c r="BG8" s="64"/>
      <c r="BH8" s="65"/>
      <c r="BI8" s="64"/>
      <c r="BJ8" s="65"/>
      <c r="BK8" s="64"/>
      <c r="BL8" s="65"/>
      <c r="BM8" s="64"/>
      <c r="BN8" s="65"/>
      <c r="BO8" s="64"/>
      <c r="BP8" s="65"/>
      <c r="BQ8" s="64"/>
      <c r="BR8" s="65"/>
      <c r="BS8" s="64"/>
      <c r="BT8" s="65"/>
      <c r="BU8" s="64"/>
      <c r="BV8" s="65"/>
      <c r="BW8" s="64"/>
      <c r="BX8" s="65"/>
      <c r="BY8" s="64"/>
      <c r="BZ8" s="65"/>
      <c r="CA8" s="64"/>
      <c r="CB8" s="65"/>
      <c r="CC8" s="64"/>
      <c r="CD8" s="65"/>
      <c r="CE8" s="64"/>
      <c r="CF8" s="65"/>
      <c r="CG8" s="64"/>
      <c r="CH8" s="65"/>
      <c r="CI8" s="64"/>
      <c r="CJ8" s="65"/>
      <c r="CK8" s="64"/>
      <c r="CL8" s="65"/>
      <c r="CM8" s="64"/>
      <c r="CN8" s="65"/>
      <c r="CO8" s="64"/>
      <c r="CP8" s="65"/>
      <c r="CQ8" s="64"/>
      <c r="CR8" s="65"/>
      <c r="CS8" s="64"/>
      <c r="CT8" s="65"/>
      <c r="CU8" s="64"/>
      <c r="CV8" s="65"/>
      <c r="CW8" s="64"/>
      <c r="CX8" s="65"/>
      <c r="CY8" s="64"/>
      <c r="CZ8" s="65"/>
      <c r="DA8" s="64"/>
      <c r="DB8" s="65"/>
      <c r="DC8" s="64"/>
      <c r="DD8" s="65"/>
      <c r="DE8" s="64"/>
      <c r="DF8" s="65"/>
      <c r="DG8" s="64"/>
      <c r="DH8" s="65"/>
      <c r="DI8" s="64"/>
      <c r="DJ8" s="65"/>
      <c r="DK8" s="64"/>
      <c r="DL8" s="65"/>
      <c r="DM8" s="64"/>
      <c r="DN8" s="65"/>
      <c r="DO8" s="64"/>
      <c r="DP8" s="65"/>
      <c r="DQ8" s="64"/>
      <c r="DR8" s="65"/>
      <c r="DS8" s="64"/>
      <c r="DT8" s="65"/>
      <c r="DU8" s="64"/>
      <c r="DV8" s="65"/>
      <c r="DW8" s="64"/>
      <c r="DX8" s="65"/>
      <c r="DY8" s="64"/>
      <c r="DZ8" s="65"/>
      <c r="EA8" s="64"/>
      <c r="EB8" s="65"/>
      <c r="EC8" s="64"/>
      <c r="ED8" s="65"/>
      <c r="EE8" s="64"/>
      <c r="EF8" s="65"/>
      <c r="EG8" s="64"/>
      <c r="EH8" s="65"/>
      <c r="EI8" s="64"/>
      <c r="EJ8" s="65"/>
      <c r="EK8" s="64"/>
      <c r="EL8" s="65"/>
      <c r="EM8" s="64"/>
      <c r="EN8" s="65"/>
      <c r="EO8" s="64"/>
      <c r="EP8" s="65"/>
      <c r="EQ8" s="64"/>
      <c r="ER8" s="65"/>
      <c r="ES8" s="64"/>
      <c r="ET8" s="65"/>
      <c r="EU8" s="64"/>
      <c r="EV8" s="65"/>
      <c r="EW8" s="64"/>
      <c r="EX8" s="65"/>
      <c r="EY8" s="64"/>
      <c r="EZ8" s="65"/>
      <c r="FA8" s="64"/>
      <c r="FB8" s="65"/>
      <c r="FC8" s="64"/>
      <c r="FD8" s="65"/>
      <c r="FE8" s="64"/>
      <c r="FF8" s="65"/>
      <c r="FG8" s="64"/>
      <c r="FH8" s="65"/>
      <c r="FI8" s="64"/>
      <c r="FJ8" s="65"/>
      <c r="FK8" s="64"/>
      <c r="FL8" s="65"/>
      <c r="FM8" s="64"/>
      <c r="FN8" s="65"/>
      <c r="FO8" s="64"/>
      <c r="FP8" s="65"/>
      <c r="FQ8" s="64"/>
      <c r="FR8" s="65"/>
      <c r="FS8" s="64"/>
      <c r="FT8" s="65"/>
      <c r="FU8" s="64"/>
      <c r="FV8" s="65"/>
      <c r="FW8" s="64"/>
      <c r="FX8" s="65"/>
      <c r="FY8" s="64"/>
      <c r="FZ8" s="65"/>
      <c r="GA8" s="64"/>
      <c r="GB8" s="65"/>
      <c r="GC8" s="64"/>
      <c r="GD8" s="65"/>
      <c r="GE8" s="64"/>
      <c r="GF8" s="65"/>
      <c r="GG8" s="64"/>
      <c r="GH8" s="65"/>
      <c r="GI8" s="64"/>
      <c r="GJ8" s="65"/>
      <c r="GK8" s="64"/>
      <c r="GL8" s="65"/>
      <c r="GM8" s="64"/>
      <c r="GN8" s="65"/>
      <c r="GO8" s="64"/>
      <c r="GP8" s="65"/>
      <c r="GQ8" s="64"/>
      <c r="GR8" s="65"/>
      <c r="GS8" s="64"/>
      <c r="GT8" s="65"/>
      <c r="GU8" s="64"/>
      <c r="GV8" s="65"/>
      <c r="GW8" s="64"/>
      <c r="GX8" s="65"/>
      <c r="GY8" s="64"/>
      <c r="GZ8" s="65"/>
      <c r="HA8" s="64"/>
      <c r="HB8" s="65"/>
      <c r="HC8" s="64"/>
      <c r="HD8" s="65"/>
      <c r="HE8" s="64"/>
      <c r="HF8" s="65"/>
      <c r="HG8" s="64"/>
      <c r="HH8" s="65"/>
      <c r="HI8" s="64"/>
      <c r="HJ8" s="65"/>
      <c r="HK8" s="64"/>
      <c r="HL8" s="65"/>
      <c r="HM8" s="64"/>
      <c r="HN8" s="65"/>
      <c r="HO8" s="64"/>
      <c r="HP8" s="65"/>
      <c r="HQ8" s="64"/>
      <c r="HR8" s="65"/>
      <c r="HS8" s="64"/>
      <c r="HT8" s="65"/>
      <c r="HU8" s="64"/>
      <c r="HV8" s="65"/>
      <c r="HW8" s="64"/>
      <c r="HX8" s="65"/>
      <c r="HY8" s="64"/>
      <c r="HZ8" s="65"/>
      <c r="IA8" s="64"/>
      <c r="IB8" s="65"/>
      <c r="IC8" s="64"/>
      <c r="ID8" s="65"/>
      <c r="IE8" s="64"/>
      <c r="IF8" s="65"/>
      <c r="IG8" s="64"/>
      <c r="IH8" s="65"/>
      <c r="II8" s="64"/>
      <c r="IJ8" s="65"/>
      <c r="IK8" s="64"/>
      <c r="IL8" s="65"/>
      <c r="IM8" s="64"/>
      <c r="IN8" s="65"/>
      <c r="IO8" s="64"/>
      <c r="IP8" s="65"/>
      <c r="IQ8" s="64"/>
      <c r="IR8" s="65"/>
      <c r="IS8" s="64"/>
      <c r="IT8" s="65"/>
      <c r="IU8" s="64"/>
    </row>
    <row r="9" spans="2:256" s="63" customFormat="1" ht="13.5" customHeight="1">
      <c r="B9" s="115" t="s">
        <v>367</v>
      </c>
      <c r="C9" s="116">
        <f>COUNTIF('Seguimiento de Incidencias'!$D$14:$D$314,B9)</f>
        <v>0</v>
      </c>
      <c r="D9" s="117" t="e">
        <f t="shared" si="0"/>
        <v>#DIV/0!</v>
      </c>
      <c r="E9" s="82"/>
      <c r="F9" s="65"/>
      <c r="G9" s="64"/>
      <c r="H9" s="65"/>
      <c r="I9" s="64"/>
      <c r="J9" s="65"/>
      <c r="K9" s="64"/>
      <c r="L9" s="65"/>
      <c r="M9" s="64"/>
      <c r="N9" s="65"/>
      <c r="O9" s="64"/>
      <c r="P9" s="65"/>
      <c r="Q9" s="64"/>
      <c r="R9" s="65"/>
      <c r="S9" s="64"/>
      <c r="T9" s="65"/>
      <c r="U9" s="64"/>
      <c r="V9" s="65"/>
      <c r="W9" s="64"/>
      <c r="X9" s="65"/>
      <c r="Y9" s="64"/>
      <c r="Z9" s="65"/>
      <c r="AA9" s="64"/>
      <c r="AB9" s="65"/>
      <c r="AC9" s="64"/>
      <c r="AD9" s="65"/>
      <c r="AE9" s="64"/>
      <c r="AF9" s="65"/>
      <c r="AG9" s="64"/>
      <c r="AH9" s="65"/>
      <c r="AI9" s="64"/>
      <c r="AJ9" s="65"/>
      <c r="AK9" s="64"/>
      <c r="AL9" s="65"/>
      <c r="AM9" s="64"/>
      <c r="AN9" s="65"/>
      <c r="AO9" s="64"/>
      <c r="AP9" s="65"/>
      <c r="AQ9" s="64"/>
      <c r="AR9" s="65"/>
      <c r="AS9" s="64"/>
      <c r="AT9" s="65"/>
      <c r="AU9" s="64"/>
      <c r="AV9" s="65"/>
      <c r="AW9" s="64"/>
      <c r="AX9" s="65"/>
      <c r="AY9" s="64"/>
      <c r="AZ9" s="65"/>
      <c r="BA9" s="64"/>
      <c r="BB9" s="65"/>
      <c r="BC9" s="64"/>
      <c r="BD9" s="65"/>
      <c r="BE9" s="64"/>
      <c r="BF9" s="65"/>
      <c r="BG9" s="64"/>
      <c r="BH9" s="65"/>
      <c r="BI9" s="64"/>
      <c r="BJ9" s="65"/>
      <c r="BK9" s="64"/>
      <c r="BL9" s="65"/>
      <c r="BM9" s="64"/>
      <c r="BN9" s="65"/>
      <c r="BO9" s="64"/>
      <c r="BP9" s="65"/>
      <c r="BQ9" s="64"/>
      <c r="BR9" s="65"/>
      <c r="BS9" s="64"/>
      <c r="BT9" s="65"/>
      <c r="BU9" s="64"/>
      <c r="BV9" s="65"/>
      <c r="BW9" s="64"/>
      <c r="BX9" s="65"/>
      <c r="BY9" s="64"/>
      <c r="BZ9" s="65"/>
      <c r="CA9" s="64"/>
      <c r="CB9" s="65"/>
      <c r="CC9" s="64"/>
      <c r="CD9" s="65"/>
      <c r="CE9" s="64"/>
      <c r="CF9" s="65"/>
      <c r="CG9" s="64"/>
      <c r="CH9" s="65"/>
      <c r="CI9" s="64"/>
      <c r="CJ9" s="65"/>
      <c r="CK9" s="64"/>
      <c r="CL9" s="65"/>
      <c r="CM9" s="64"/>
      <c r="CN9" s="65"/>
      <c r="CO9" s="64"/>
      <c r="CP9" s="65"/>
      <c r="CQ9" s="64"/>
      <c r="CR9" s="65"/>
      <c r="CS9" s="64"/>
      <c r="CT9" s="65"/>
      <c r="CU9" s="64"/>
      <c r="CV9" s="65"/>
      <c r="CW9" s="64"/>
      <c r="CX9" s="65"/>
      <c r="CY9" s="64"/>
      <c r="CZ9" s="65"/>
      <c r="DA9" s="64"/>
      <c r="DB9" s="65"/>
      <c r="DC9" s="64"/>
      <c r="DD9" s="65"/>
      <c r="DE9" s="64"/>
      <c r="DF9" s="65"/>
      <c r="DG9" s="64"/>
      <c r="DH9" s="65"/>
      <c r="DI9" s="64"/>
      <c r="DJ9" s="65"/>
      <c r="DK9" s="64"/>
      <c r="DL9" s="65"/>
      <c r="DM9" s="64"/>
      <c r="DN9" s="65"/>
      <c r="DO9" s="64"/>
      <c r="DP9" s="65"/>
      <c r="DQ9" s="64"/>
      <c r="DR9" s="65"/>
      <c r="DS9" s="64"/>
      <c r="DT9" s="65"/>
      <c r="DU9" s="64"/>
      <c r="DV9" s="65"/>
      <c r="DW9" s="64"/>
      <c r="DX9" s="65"/>
      <c r="DY9" s="64"/>
      <c r="DZ9" s="65"/>
      <c r="EA9" s="64"/>
      <c r="EB9" s="65"/>
      <c r="EC9" s="64"/>
      <c r="ED9" s="65"/>
      <c r="EE9" s="64"/>
      <c r="EF9" s="65"/>
      <c r="EG9" s="64"/>
      <c r="EH9" s="65"/>
      <c r="EI9" s="64"/>
      <c r="EJ9" s="65"/>
      <c r="EK9" s="64"/>
      <c r="EL9" s="65"/>
      <c r="EM9" s="64"/>
      <c r="EN9" s="65"/>
      <c r="EO9" s="64"/>
      <c r="EP9" s="65"/>
      <c r="EQ9" s="64"/>
      <c r="ER9" s="65"/>
      <c r="ES9" s="64"/>
      <c r="ET9" s="65"/>
      <c r="EU9" s="64"/>
      <c r="EV9" s="65"/>
      <c r="EW9" s="64"/>
      <c r="EX9" s="65"/>
      <c r="EY9" s="64"/>
      <c r="EZ9" s="65"/>
      <c r="FA9" s="64"/>
      <c r="FB9" s="65"/>
      <c r="FC9" s="64"/>
      <c r="FD9" s="65"/>
      <c r="FE9" s="64"/>
      <c r="FF9" s="65"/>
      <c r="FG9" s="64"/>
      <c r="FH9" s="65"/>
      <c r="FI9" s="64"/>
      <c r="FJ9" s="65"/>
      <c r="FK9" s="64"/>
      <c r="FL9" s="65"/>
      <c r="FM9" s="64"/>
      <c r="FN9" s="65"/>
      <c r="FO9" s="64"/>
      <c r="FP9" s="65"/>
      <c r="FQ9" s="64"/>
      <c r="FR9" s="65"/>
      <c r="FS9" s="64"/>
      <c r="FT9" s="65"/>
      <c r="FU9" s="64"/>
      <c r="FV9" s="65"/>
      <c r="FW9" s="64"/>
      <c r="FX9" s="65"/>
      <c r="FY9" s="64"/>
      <c r="FZ9" s="65"/>
      <c r="GA9" s="64"/>
      <c r="GB9" s="65"/>
      <c r="GC9" s="64"/>
      <c r="GD9" s="65"/>
      <c r="GE9" s="64"/>
      <c r="GF9" s="65"/>
      <c r="GG9" s="64"/>
      <c r="GH9" s="65"/>
      <c r="GI9" s="64"/>
      <c r="GJ9" s="65"/>
      <c r="GK9" s="64"/>
      <c r="GL9" s="65"/>
      <c r="GM9" s="64"/>
      <c r="GN9" s="65"/>
      <c r="GO9" s="64"/>
      <c r="GP9" s="65"/>
      <c r="GQ9" s="64"/>
      <c r="GR9" s="65"/>
      <c r="GS9" s="64"/>
      <c r="GT9" s="65"/>
      <c r="GU9" s="64"/>
      <c r="GV9" s="65"/>
      <c r="GW9" s="64"/>
      <c r="GX9" s="65"/>
      <c r="GY9" s="64"/>
      <c r="GZ9" s="65"/>
      <c r="HA9" s="64"/>
      <c r="HB9" s="65"/>
      <c r="HC9" s="64"/>
      <c r="HD9" s="65"/>
      <c r="HE9" s="64"/>
      <c r="HF9" s="65"/>
      <c r="HG9" s="64"/>
      <c r="HH9" s="65"/>
      <c r="HI9" s="64"/>
      <c r="HJ9" s="65"/>
      <c r="HK9" s="64"/>
      <c r="HL9" s="65"/>
      <c r="HM9" s="64"/>
      <c r="HN9" s="65"/>
      <c r="HO9" s="64"/>
      <c r="HP9" s="65"/>
      <c r="HQ9" s="64"/>
      <c r="HR9" s="65"/>
      <c r="HS9" s="64"/>
      <c r="HT9" s="65"/>
      <c r="HU9" s="64"/>
      <c r="HV9" s="65"/>
      <c r="HW9" s="64"/>
      <c r="HX9" s="65"/>
      <c r="HY9" s="64"/>
      <c r="HZ9" s="65"/>
      <c r="IA9" s="64"/>
      <c r="IB9" s="65"/>
      <c r="IC9" s="64"/>
      <c r="ID9" s="65"/>
      <c r="IE9" s="64"/>
      <c r="IF9" s="65"/>
      <c r="IG9" s="64"/>
      <c r="IH9" s="65"/>
      <c r="II9" s="64"/>
      <c r="IJ9" s="65"/>
      <c r="IK9" s="64"/>
      <c r="IL9" s="65"/>
      <c r="IM9" s="64"/>
      <c r="IN9" s="65"/>
      <c r="IO9" s="64"/>
      <c r="IP9" s="65"/>
      <c r="IQ9" s="64"/>
      <c r="IR9" s="65"/>
      <c r="IS9" s="64"/>
      <c r="IT9" s="65"/>
      <c r="IU9" s="64"/>
    </row>
    <row r="10" spans="2:256" s="63" customFormat="1">
      <c r="B10" s="115" t="s">
        <v>371</v>
      </c>
      <c r="C10" s="116">
        <f>COUNTIF('Seguimiento de Incidencias'!$D$14:$D$314,B10)</f>
        <v>0</v>
      </c>
      <c r="D10" s="117" t="e">
        <f t="shared" si="0"/>
        <v>#DIV/0!</v>
      </c>
      <c r="E10" s="82"/>
      <c r="F10" s="65"/>
      <c r="G10" s="64"/>
      <c r="H10" s="65"/>
      <c r="I10" s="64"/>
      <c r="J10" s="65"/>
      <c r="K10" s="64"/>
      <c r="L10" s="65"/>
      <c r="M10" s="64"/>
      <c r="N10" s="65"/>
      <c r="O10" s="64"/>
      <c r="P10" s="65"/>
      <c r="Q10" s="64"/>
      <c r="R10" s="65"/>
      <c r="S10" s="64"/>
      <c r="T10" s="65"/>
      <c r="U10" s="64"/>
      <c r="V10" s="65"/>
      <c r="W10" s="64"/>
      <c r="X10" s="65"/>
      <c r="Y10" s="64"/>
      <c r="Z10" s="65"/>
      <c r="AA10" s="64"/>
      <c r="AB10" s="65"/>
      <c r="AC10" s="64"/>
      <c r="AD10" s="65"/>
      <c r="AE10" s="64"/>
      <c r="AF10" s="65"/>
      <c r="AG10" s="64"/>
      <c r="AH10" s="65"/>
      <c r="AI10" s="64"/>
      <c r="AJ10" s="65"/>
      <c r="AK10" s="64"/>
      <c r="AL10" s="65"/>
      <c r="AM10" s="64"/>
      <c r="AN10" s="65"/>
      <c r="AO10" s="64"/>
      <c r="AP10" s="65"/>
      <c r="AQ10" s="64"/>
      <c r="AR10" s="65"/>
      <c r="AS10" s="64"/>
      <c r="AT10" s="65"/>
      <c r="AU10" s="64"/>
      <c r="AV10" s="65"/>
      <c r="AW10" s="64"/>
      <c r="AX10" s="65"/>
      <c r="AY10" s="64"/>
      <c r="AZ10" s="65"/>
      <c r="BA10" s="64"/>
      <c r="BB10" s="65"/>
      <c r="BC10" s="64"/>
      <c r="BD10" s="65"/>
      <c r="BE10" s="64"/>
      <c r="BF10" s="65"/>
      <c r="BG10" s="64"/>
      <c r="BH10" s="65"/>
      <c r="BI10" s="64"/>
      <c r="BJ10" s="65"/>
      <c r="BK10" s="64"/>
      <c r="BL10" s="65"/>
      <c r="BM10" s="64"/>
      <c r="BN10" s="65"/>
      <c r="BO10" s="64"/>
      <c r="BP10" s="65"/>
      <c r="BQ10" s="64"/>
      <c r="BR10" s="65"/>
      <c r="BS10" s="64"/>
      <c r="BT10" s="65"/>
      <c r="BU10" s="64"/>
      <c r="BV10" s="65"/>
      <c r="BW10" s="64"/>
      <c r="BX10" s="65"/>
      <c r="BY10" s="64"/>
      <c r="BZ10" s="65"/>
      <c r="CA10" s="64"/>
      <c r="CB10" s="65"/>
      <c r="CC10" s="64"/>
      <c r="CD10" s="65"/>
      <c r="CE10" s="64"/>
      <c r="CF10" s="65"/>
      <c r="CG10" s="64"/>
      <c r="CH10" s="65"/>
      <c r="CI10" s="64"/>
      <c r="CJ10" s="65"/>
      <c r="CK10" s="64"/>
      <c r="CL10" s="65"/>
      <c r="CM10" s="64"/>
      <c r="CN10" s="65"/>
      <c r="CO10" s="64"/>
      <c r="CP10" s="65"/>
      <c r="CQ10" s="64"/>
      <c r="CR10" s="65"/>
      <c r="CS10" s="64"/>
      <c r="CT10" s="65"/>
      <c r="CU10" s="64"/>
      <c r="CV10" s="65"/>
      <c r="CW10" s="64"/>
      <c r="CX10" s="65"/>
      <c r="CY10" s="64"/>
      <c r="CZ10" s="65"/>
      <c r="DA10" s="64"/>
      <c r="DB10" s="65"/>
      <c r="DC10" s="64"/>
      <c r="DD10" s="65"/>
      <c r="DE10" s="64"/>
      <c r="DF10" s="65"/>
      <c r="DG10" s="64"/>
      <c r="DH10" s="65"/>
      <c r="DI10" s="64"/>
      <c r="DJ10" s="65"/>
      <c r="DK10" s="64"/>
      <c r="DL10" s="65"/>
      <c r="DM10" s="64"/>
      <c r="DN10" s="65"/>
      <c r="DO10" s="64"/>
      <c r="DP10" s="65"/>
      <c r="DQ10" s="64"/>
      <c r="DR10" s="65"/>
      <c r="DS10" s="64"/>
      <c r="DT10" s="65"/>
      <c r="DU10" s="64"/>
      <c r="DV10" s="65"/>
      <c r="DW10" s="64"/>
      <c r="DX10" s="65"/>
      <c r="DY10" s="64"/>
      <c r="DZ10" s="65"/>
      <c r="EA10" s="64"/>
      <c r="EB10" s="65"/>
      <c r="EC10" s="64"/>
      <c r="ED10" s="65"/>
      <c r="EE10" s="64"/>
      <c r="EF10" s="65"/>
      <c r="EG10" s="64"/>
      <c r="EH10" s="65"/>
      <c r="EI10" s="64"/>
      <c r="EJ10" s="65"/>
      <c r="EK10" s="64"/>
      <c r="EL10" s="65"/>
      <c r="EM10" s="64"/>
      <c r="EN10" s="65"/>
      <c r="EO10" s="64"/>
      <c r="EP10" s="65"/>
      <c r="EQ10" s="64"/>
      <c r="ER10" s="65"/>
      <c r="ES10" s="64"/>
      <c r="ET10" s="65"/>
      <c r="EU10" s="64"/>
      <c r="EV10" s="65"/>
      <c r="EW10" s="64"/>
      <c r="EX10" s="65"/>
      <c r="EY10" s="64"/>
      <c r="EZ10" s="65"/>
      <c r="FA10" s="64"/>
      <c r="FB10" s="65"/>
      <c r="FC10" s="64"/>
      <c r="FD10" s="65"/>
      <c r="FE10" s="64"/>
      <c r="FF10" s="65"/>
      <c r="FG10" s="64"/>
      <c r="FH10" s="65"/>
      <c r="FI10" s="64"/>
      <c r="FJ10" s="65"/>
      <c r="FK10" s="64"/>
      <c r="FL10" s="65"/>
      <c r="FM10" s="64"/>
      <c r="FN10" s="65"/>
      <c r="FO10" s="64"/>
      <c r="FP10" s="65"/>
      <c r="FQ10" s="64"/>
      <c r="FR10" s="65"/>
      <c r="FS10" s="64"/>
      <c r="FT10" s="65"/>
      <c r="FU10" s="64"/>
      <c r="FV10" s="65"/>
      <c r="FW10" s="64"/>
      <c r="FX10" s="65"/>
      <c r="FY10" s="64"/>
      <c r="FZ10" s="65"/>
      <c r="GA10" s="64"/>
      <c r="GB10" s="65"/>
      <c r="GC10" s="64"/>
      <c r="GD10" s="65"/>
      <c r="GE10" s="64"/>
      <c r="GF10" s="65"/>
      <c r="GG10" s="64"/>
      <c r="GH10" s="65"/>
      <c r="GI10" s="64"/>
      <c r="GJ10" s="65"/>
      <c r="GK10" s="64"/>
      <c r="GL10" s="65"/>
      <c r="GM10" s="64"/>
      <c r="GN10" s="65"/>
      <c r="GO10" s="64"/>
      <c r="GP10" s="65"/>
      <c r="GQ10" s="64"/>
      <c r="GR10" s="65"/>
      <c r="GS10" s="64"/>
      <c r="GT10" s="65"/>
      <c r="GU10" s="64"/>
      <c r="GV10" s="65"/>
      <c r="GW10" s="64"/>
      <c r="GX10" s="65"/>
      <c r="GY10" s="64"/>
      <c r="GZ10" s="65"/>
      <c r="HA10" s="64"/>
      <c r="HB10" s="65"/>
      <c r="HC10" s="64"/>
      <c r="HD10" s="65"/>
      <c r="HE10" s="64"/>
      <c r="HF10" s="65"/>
      <c r="HG10" s="64"/>
      <c r="HH10" s="65"/>
      <c r="HI10" s="64"/>
      <c r="HJ10" s="65"/>
      <c r="HK10" s="64"/>
      <c r="HL10" s="65"/>
      <c r="HM10" s="64"/>
      <c r="HN10" s="65"/>
      <c r="HO10" s="64"/>
      <c r="HP10" s="65"/>
      <c r="HQ10" s="64"/>
      <c r="HR10" s="65"/>
      <c r="HS10" s="64"/>
      <c r="HT10" s="65"/>
      <c r="HU10" s="64"/>
      <c r="HV10" s="65"/>
      <c r="HW10" s="64"/>
      <c r="HX10" s="65"/>
      <c r="HY10" s="64"/>
      <c r="HZ10" s="65"/>
      <c r="IA10" s="64"/>
      <c r="IB10" s="65"/>
      <c r="IC10" s="64"/>
      <c r="ID10" s="65"/>
      <c r="IE10" s="64"/>
      <c r="IF10" s="65"/>
      <c r="IG10" s="64"/>
      <c r="IH10" s="65"/>
      <c r="II10" s="64"/>
      <c r="IJ10" s="65"/>
      <c r="IK10" s="64"/>
      <c r="IL10" s="65"/>
      <c r="IM10" s="64"/>
      <c r="IN10" s="65"/>
      <c r="IO10" s="64"/>
      <c r="IP10" s="65"/>
      <c r="IQ10" s="64"/>
      <c r="IR10" s="65"/>
      <c r="IS10" s="64"/>
      <c r="IT10" s="65"/>
      <c r="IU10" s="64"/>
    </row>
    <row r="11" spans="2:256" s="63" customFormat="1" ht="15" customHeight="1">
      <c r="B11" s="115" t="s">
        <v>66</v>
      </c>
      <c r="C11" s="116">
        <f>COUNTIF('Seguimiento de Incidencias'!$D$14:$D$314,B11)</f>
        <v>0</v>
      </c>
      <c r="D11" s="117" t="e">
        <f t="shared" si="0"/>
        <v>#DIV/0!</v>
      </c>
      <c r="E11" s="82"/>
      <c r="F11" s="65"/>
      <c r="G11" s="64"/>
      <c r="H11" s="65"/>
      <c r="I11" s="64"/>
      <c r="J11" s="65"/>
      <c r="K11" s="64"/>
      <c r="L11" s="65"/>
      <c r="M11" s="64"/>
      <c r="N11" s="65"/>
      <c r="O11" s="64"/>
      <c r="P11" s="65"/>
      <c r="Q11" s="64"/>
      <c r="R11" s="65"/>
      <c r="S11" s="64"/>
      <c r="T11" s="65"/>
      <c r="U11" s="64"/>
      <c r="V11" s="65"/>
      <c r="W11" s="64"/>
      <c r="X11" s="65"/>
      <c r="Y11" s="64"/>
      <c r="Z11" s="65"/>
      <c r="AA11" s="64"/>
      <c r="AB11" s="65"/>
      <c r="AC11" s="64"/>
      <c r="AD11" s="65"/>
      <c r="AE11" s="64"/>
      <c r="AF11" s="65"/>
      <c r="AG11" s="64"/>
      <c r="AH11" s="65"/>
      <c r="AI11" s="64"/>
      <c r="AJ11" s="65"/>
      <c r="AK11" s="64"/>
      <c r="AL11" s="65"/>
      <c r="AM11" s="64"/>
      <c r="AN11" s="65"/>
      <c r="AO11" s="64"/>
      <c r="AP11" s="65"/>
      <c r="AQ11" s="64"/>
      <c r="AR11" s="65"/>
      <c r="AS11" s="64"/>
      <c r="AT11" s="65"/>
      <c r="AU11" s="64"/>
      <c r="AV11" s="65"/>
      <c r="AW11" s="64"/>
      <c r="AX11" s="65"/>
      <c r="AY11" s="64"/>
      <c r="AZ11" s="65"/>
      <c r="BA11" s="64"/>
      <c r="BB11" s="65"/>
      <c r="BC11" s="64"/>
      <c r="BD11" s="65"/>
      <c r="BE11" s="64"/>
      <c r="BF11" s="65"/>
      <c r="BG11" s="64"/>
      <c r="BH11" s="65"/>
      <c r="BI11" s="64"/>
      <c r="BJ11" s="65"/>
      <c r="BK11" s="64"/>
      <c r="BL11" s="65"/>
      <c r="BM11" s="64"/>
      <c r="BN11" s="65"/>
      <c r="BO11" s="64"/>
      <c r="BP11" s="65"/>
      <c r="BQ11" s="64"/>
      <c r="BR11" s="65"/>
      <c r="BS11" s="64"/>
      <c r="BT11" s="65"/>
      <c r="BU11" s="64"/>
      <c r="BV11" s="65"/>
      <c r="BW11" s="64"/>
      <c r="BX11" s="65"/>
      <c r="BY11" s="64"/>
      <c r="BZ11" s="65"/>
      <c r="CA11" s="64"/>
      <c r="CB11" s="65"/>
      <c r="CC11" s="64"/>
      <c r="CD11" s="65"/>
      <c r="CE11" s="64"/>
      <c r="CF11" s="65"/>
      <c r="CG11" s="64"/>
      <c r="CH11" s="65"/>
      <c r="CI11" s="64"/>
      <c r="CJ11" s="65"/>
      <c r="CK11" s="64"/>
      <c r="CL11" s="65"/>
      <c r="CM11" s="64"/>
      <c r="CN11" s="65"/>
      <c r="CO11" s="64"/>
      <c r="CP11" s="65"/>
      <c r="CQ11" s="64"/>
      <c r="CR11" s="65"/>
      <c r="CS11" s="64"/>
      <c r="CT11" s="65"/>
      <c r="CU11" s="64"/>
      <c r="CV11" s="65"/>
      <c r="CW11" s="64"/>
      <c r="CX11" s="65"/>
      <c r="CY11" s="64"/>
      <c r="CZ11" s="65"/>
      <c r="DA11" s="64"/>
      <c r="DB11" s="65"/>
      <c r="DC11" s="64"/>
      <c r="DD11" s="65"/>
      <c r="DE11" s="64"/>
      <c r="DF11" s="65"/>
      <c r="DG11" s="64"/>
      <c r="DH11" s="65"/>
      <c r="DI11" s="64"/>
      <c r="DJ11" s="65"/>
      <c r="DK11" s="64"/>
      <c r="DL11" s="65"/>
      <c r="DM11" s="64"/>
      <c r="DN11" s="65"/>
      <c r="DO11" s="64"/>
      <c r="DP11" s="65"/>
      <c r="DQ11" s="64"/>
      <c r="DR11" s="65"/>
      <c r="DS11" s="64"/>
      <c r="DT11" s="65"/>
      <c r="DU11" s="64"/>
      <c r="DV11" s="65"/>
      <c r="DW11" s="64"/>
      <c r="DX11" s="65"/>
      <c r="DY11" s="64"/>
      <c r="DZ11" s="65"/>
      <c r="EA11" s="64"/>
      <c r="EB11" s="65"/>
      <c r="EC11" s="64"/>
      <c r="ED11" s="65"/>
      <c r="EE11" s="64"/>
      <c r="EF11" s="65"/>
      <c r="EG11" s="64"/>
      <c r="EH11" s="65"/>
      <c r="EI11" s="64"/>
      <c r="EJ11" s="65"/>
      <c r="EK11" s="64"/>
      <c r="EL11" s="65"/>
      <c r="EM11" s="64"/>
      <c r="EN11" s="65"/>
      <c r="EO11" s="64"/>
      <c r="EP11" s="65"/>
      <c r="EQ11" s="64"/>
      <c r="ER11" s="65"/>
      <c r="ES11" s="64"/>
      <c r="ET11" s="65"/>
      <c r="EU11" s="64"/>
      <c r="EV11" s="65"/>
      <c r="EW11" s="64"/>
      <c r="EX11" s="65"/>
      <c r="EY11" s="64"/>
      <c r="EZ11" s="65"/>
      <c r="FA11" s="64"/>
      <c r="FB11" s="65"/>
      <c r="FC11" s="64"/>
      <c r="FD11" s="65"/>
      <c r="FE11" s="64"/>
      <c r="FF11" s="65"/>
      <c r="FG11" s="64"/>
      <c r="FH11" s="65"/>
      <c r="FI11" s="64"/>
      <c r="FJ11" s="65"/>
      <c r="FK11" s="64"/>
      <c r="FL11" s="65"/>
      <c r="FM11" s="64"/>
      <c r="FN11" s="65"/>
      <c r="FO11" s="64"/>
      <c r="FP11" s="65"/>
      <c r="FQ11" s="64"/>
      <c r="FR11" s="65"/>
      <c r="FS11" s="64"/>
      <c r="FT11" s="65"/>
      <c r="FU11" s="64"/>
      <c r="FV11" s="65"/>
      <c r="FW11" s="64"/>
      <c r="FX11" s="65"/>
      <c r="FY11" s="64"/>
      <c r="FZ11" s="65"/>
      <c r="GA11" s="64"/>
      <c r="GB11" s="65"/>
      <c r="GC11" s="64"/>
      <c r="GD11" s="65"/>
      <c r="GE11" s="64"/>
      <c r="GF11" s="65"/>
      <c r="GG11" s="64"/>
      <c r="GH11" s="65"/>
      <c r="GI11" s="64"/>
      <c r="GJ11" s="65"/>
      <c r="GK11" s="64"/>
      <c r="GL11" s="65"/>
      <c r="GM11" s="64"/>
      <c r="GN11" s="65"/>
      <c r="GO11" s="64"/>
      <c r="GP11" s="65"/>
      <c r="GQ11" s="64"/>
      <c r="GR11" s="65"/>
      <c r="GS11" s="64"/>
      <c r="GT11" s="65"/>
      <c r="GU11" s="64"/>
      <c r="GV11" s="65"/>
      <c r="GW11" s="64"/>
      <c r="GX11" s="65"/>
      <c r="GY11" s="64"/>
      <c r="GZ11" s="65"/>
      <c r="HA11" s="64"/>
      <c r="HB11" s="65"/>
      <c r="HC11" s="64"/>
      <c r="HD11" s="65"/>
      <c r="HE11" s="64"/>
      <c r="HF11" s="65"/>
      <c r="HG11" s="64"/>
      <c r="HH11" s="65"/>
      <c r="HI11" s="64"/>
      <c r="HJ11" s="65"/>
      <c r="HK11" s="64"/>
      <c r="HL11" s="65"/>
      <c r="HM11" s="64"/>
      <c r="HN11" s="65"/>
      <c r="HO11" s="64"/>
      <c r="HP11" s="65"/>
      <c r="HQ11" s="64"/>
      <c r="HR11" s="65"/>
      <c r="HS11" s="64"/>
      <c r="HT11" s="65"/>
      <c r="HU11" s="64"/>
      <c r="HV11" s="65"/>
      <c r="HW11" s="64"/>
      <c r="HX11" s="65"/>
      <c r="HY11" s="64"/>
      <c r="HZ11" s="65"/>
      <c r="IA11" s="64"/>
      <c r="IB11" s="65"/>
      <c r="IC11" s="64"/>
      <c r="ID11" s="65"/>
      <c r="IE11" s="64"/>
      <c r="IF11" s="65"/>
      <c r="IG11" s="64"/>
      <c r="IH11" s="65"/>
      <c r="II11" s="64"/>
      <c r="IJ11" s="65"/>
      <c r="IK11" s="64"/>
      <c r="IL11" s="65"/>
      <c r="IM11" s="64"/>
      <c r="IN11" s="65"/>
      <c r="IO11" s="64"/>
      <c r="IP11" s="65"/>
      <c r="IQ11" s="64"/>
      <c r="IR11" s="65"/>
      <c r="IS11" s="64"/>
      <c r="IT11" s="65"/>
      <c r="IU11" s="64"/>
    </row>
    <row r="12" spans="2:256" s="63" customFormat="1" ht="14.25" customHeight="1">
      <c r="B12" s="145" t="s">
        <v>286</v>
      </c>
      <c r="C12" s="146">
        <f>SUM(C6:C11)</f>
        <v>0</v>
      </c>
      <c r="D12" s="147" t="e">
        <f>SUM(D6:D11)</f>
        <v>#DIV/0!</v>
      </c>
      <c r="E12" s="82"/>
      <c r="F12" s="65"/>
      <c r="G12" s="64"/>
      <c r="H12" s="65"/>
      <c r="I12" s="64"/>
      <c r="J12" s="65"/>
      <c r="K12" s="64"/>
      <c r="L12" s="65"/>
      <c r="M12" s="64"/>
      <c r="N12" s="65"/>
      <c r="O12" s="64"/>
      <c r="P12" s="65"/>
      <c r="Q12" s="64"/>
      <c r="R12" s="65"/>
      <c r="S12" s="64"/>
      <c r="T12" s="65"/>
      <c r="U12" s="64"/>
      <c r="V12" s="65"/>
      <c r="W12" s="64"/>
      <c r="X12" s="65"/>
      <c r="Y12" s="64"/>
      <c r="Z12" s="65"/>
      <c r="AA12" s="64"/>
      <c r="AB12" s="65"/>
      <c r="AC12" s="64"/>
      <c r="AD12" s="65"/>
      <c r="AE12" s="64"/>
      <c r="AF12" s="65"/>
      <c r="AG12" s="64"/>
      <c r="AH12" s="65"/>
      <c r="AI12" s="64"/>
      <c r="AJ12" s="65"/>
      <c r="AK12" s="64"/>
      <c r="AL12" s="65"/>
      <c r="AM12" s="64"/>
      <c r="AN12" s="65"/>
      <c r="AO12" s="64"/>
      <c r="AP12" s="65"/>
      <c r="AQ12" s="64"/>
      <c r="AR12" s="65"/>
      <c r="AS12" s="64"/>
      <c r="AT12" s="65"/>
      <c r="AU12" s="64"/>
      <c r="AV12" s="65"/>
      <c r="AW12" s="64"/>
      <c r="AX12" s="65"/>
      <c r="AY12" s="64"/>
      <c r="AZ12" s="65"/>
      <c r="BA12" s="64"/>
      <c r="BB12" s="65"/>
      <c r="BC12" s="64"/>
      <c r="BD12" s="65"/>
      <c r="BE12" s="64"/>
      <c r="BF12" s="65"/>
      <c r="BG12" s="64"/>
      <c r="BH12" s="65"/>
      <c r="BI12" s="64"/>
      <c r="BJ12" s="65"/>
      <c r="BK12" s="64"/>
      <c r="BL12" s="65"/>
      <c r="BM12" s="64"/>
      <c r="BN12" s="65"/>
      <c r="BO12" s="64"/>
      <c r="BP12" s="65"/>
      <c r="BQ12" s="64"/>
      <c r="BR12" s="65"/>
      <c r="BS12" s="64"/>
      <c r="BT12" s="65"/>
      <c r="BU12" s="64"/>
      <c r="BV12" s="65"/>
      <c r="BW12" s="64"/>
      <c r="BX12" s="65"/>
      <c r="BY12" s="64"/>
      <c r="BZ12" s="65"/>
      <c r="CA12" s="64"/>
      <c r="CB12" s="65"/>
      <c r="CC12" s="64"/>
      <c r="CD12" s="65"/>
      <c r="CE12" s="64"/>
      <c r="CF12" s="65"/>
      <c r="CG12" s="64"/>
      <c r="CH12" s="65"/>
      <c r="CI12" s="64"/>
      <c r="CJ12" s="65"/>
      <c r="CK12" s="64"/>
      <c r="CL12" s="65"/>
      <c r="CM12" s="64"/>
      <c r="CN12" s="65"/>
      <c r="CO12" s="64"/>
      <c r="CP12" s="65"/>
      <c r="CQ12" s="64"/>
      <c r="CR12" s="65"/>
      <c r="CS12" s="64"/>
      <c r="CT12" s="65"/>
      <c r="CU12" s="64"/>
      <c r="CV12" s="65"/>
      <c r="CW12" s="64"/>
      <c r="CX12" s="65"/>
      <c r="CY12" s="64"/>
      <c r="CZ12" s="65"/>
      <c r="DA12" s="64"/>
      <c r="DB12" s="65"/>
      <c r="DC12" s="64"/>
      <c r="DD12" s="65"/>
      <c r="DE12" s="64"/>
      <c r="DF12" s="65"/>
      <c r="DG12" s="64"/>
      <c r="DH12" s="65"/>
      <c r="DI12" s="64"/>
      <c r="DJ12" s="65"/>
      <c r="DK12" s="64"/>
      <c r="DL12" s="65"/>
      <c r="DM12" s="64"/>
      <c r="DN12" s="65"/>
      <c r="DO12" s="64"/>
      <c r="DP12" s="65"/>
      <c r="DQ12" s="64"/>
      <c r="DR12" s="65"/>
      <c r="DS12" s="64"/>
      <c r="DT12" s="65"/>
      <c r="DU12" s="64"/>
      <c r="DV12" s="65"/>
      <c r="DW12" s="64"/>
      <c r="DX12" s="65"/>
      <c r="DY12" s="64"/>
      <c r="DZ12" s="65"/>
      <c r="EA12" s="64"/>
      <c r="EB12" s="65"/>
      <c r="EC12" s="64"/>
      <c r="ED12" s="65"/>
      <c r="EE12" s="64"/>
      <c r="EF12" s="65"/>
      <c r="EG12" s="64"/>
      <c r="EH12" s="65"/>
      <c r="EI12" s="64"/>
      <c r="EJ12" s="65"/>
      <c r="EK12" s="64"/>
      <c r="EL12" s="65"/>
      <c r="EM12" s="64"/>
      <c r="EN12" s="65"/>
      <c r="EO12" s="64"/>
      <c r="EP12" s="65"/>
      <c r="EQ12" s="64"/>
      <c r="ER12" s="65"/>
      <c r="ES12" s="64"/>
      <c r="ET12" s="65"/>
      <c r="EU12" s="64"/>
      <c r="EV12" s="65"/>
      <c r="EW12" s="64"/>
      <c r="EX12" s="65"/>
      <c r="EY12" s="64"/>
      <c r="EZ12" s="65"/>
      <c r="FA12" s="64"/>
      <c r="FB12" s="65"/>
      <c r="FC12" s="64"/>
      <c r="FD12" s="65"/>
      <c r="FE12" s="64"/>
      <c r="FF12" s="65"/>
      <c r="FG12" s="64"/>
      <c r="FH12" s="65"/>
      <c r="FI12" s="64"/>
      <c r="FJ12" s="65"/>
      <c r="FK12" s="64"/>
      <c r="FL12" s="65"/>
      <c r="FM12" s="64"/>
      <c r="FN12" s="65"/>
      <c r="FO12" s="64"/>
      <c r="FP12" s="65"/>
      <c r="FQ12" s="64"/>
      <c r="FR12" s="65"/>
      <c r="FS12" s="64"/>
      <c r="FT12" s="65"/>
      <c r="FU12" s="64"/>
      <c r="FV12" s="65"/>
      <c r="FW12" s="64"/>
      <c r="FX12" s="65"/>
      <c r="FY12" s="64"/>
      <c r="FZ12" s="65"/>
      <c r="GA12" s="64"/>
      <c r="GB12" s="65"/>
      <c r="GC12" s="64"/>
      <c r="GD12" s="65"/>
      <c r="GE12" s="64"/>
      <c r="GF12" s="65"/>
      <c r="GG12" s="64"/>
      <c r="GH12" s="65"/>
      <c r="GI12" s="64"/>
      <c r="GJ12" s="65"/>
      <c r="GK12" s="64"/>
      <c r="GL12" s="65"/>
      <c r="GM12" s="64"/>
      <c r="GN12" s="65"/>
      <c r="GO12" s="64"/>
      <c r="GP12" s="65"/>
      <c r="GQ12" s="64"/>
      <c r="GR12" s="65"/>
      <c r="GS12" s="64"/>
      <c r="GT12" s="65"/>
      <c r="GU12" s="64"/>
      <c r="GV12" s="65"/>
      <c r="GW12" s="64"/>
      <c r="GX12" s="65"/>
      <c r="GY12" s="64"/>
      <c r="GZ12" s="65"/>
      <c r="HA12" s="64"/>
      <c r="HB12" s="65"/>
      <c r="HC12" s="64"/>
      <c r="HD12" s="65"/>
      <c r="HE12" s="64"/>
      <c r="HF12" s="65"/>
      <c r="HG12" s="64"/>
      <c r="HH12" s="65"/>
      <c r="HI12" s="64"/>
      <c r="HJ12" s="65"/>
      <c r="HK12" s="64"/>
      <c r="HL12" s="65"/>
      <c r="HM12" s="64"/>
      <c r="HN12" s="65"/>
      <c r="HO12" s="64"/>
      <c r="HP12" s="65"/>
      <c r="HQ12" s="64"/>
      <c r="HR12" s="65"/>
      <c r="HS12" s="64"/>
      <c r="HT12" s="65"/>
      <c r="HU12" s="64"/>
      <c r="HV12" s="65"/>
      <c r="HW12" s="64"/>
      <c r="HX12" s="65"/>
      <c r="HY12" s="64"/>
      <c r="HZ12" s="65"/>
      <c r="IA12" s="64"/>
      <c r="IB12" s="65"/>
      <c r="IC12" s="64"/>
      <c r="ID12" s="65"/>
      <c r="IE12" s="64"/>
      <c r="IF12" s="65"/>
      <c r="IG12" s="64"/>
      <c r="IH12" s="65"/>
      <c r="II12" s="64"/>
      <c r="IJ12" s="65"/>
      <c r="IK12" s="64"/>
      <c r="IL12" s="65"/>
      <c r="IM12" s="64"/>
      <c r="IN12" s="65"/>
      <c r="IO12" s="64"/>
      <c r="IP12" s="65"/>
      <c r="IQ12" s="64"/>
      <c r="IR12" s="65"/>
      <c r="IS12" s="64"/>
      <c r="IT12" s="65"/>
      <c r="IU12" s="64"/>
    </row>
    <row r="13" spans="2:256" s="63" customFormat="1">
      <c r="B13" s="142"/>
      <c r="C13" s="143"/>
      <c r="D13" s="144"/>
      <c r="E13" s="82"/>
      <c r="F13" s="65"/>
      <c r="G13" s="64"/>
      <c r="H13" s="65"/>
      <c r="I13" s="64"/>
      <c r="J13" s="65"/>
      <c r="K13" s="64"/>
      <c r="L13" s="65"/>
      <c r="M13" s="64"/>
      <c r="N13" s="65"/>
      <c r="O13" s="64"/>
      <c r="P13" s="65"/>
      <c r="Q13" s="64"/>
      <c r="R13" s="65"/>
      <c r="S13" s="64"/>
      <c r="T13" s="65"/>
      <c r="U13" s="64"/>
      <c r="V13" s="65"/>
      <c r="W13" s="64"/>
      <c r="X13" s="65"/>
      <c r="Y13" s="64"/>
      <c r="Z13" s="65"/>
      <c r="AA13" s="64"/>
      <c r="AB13" s="65"/>
      <c r="AC13" s="64"/>
      <c r="AD13" s="65"/>
      <c r="AE13" s="64"/>
      <c r="AF13" s="65"/>
      <c r="AG13" s="64"/>
      <c r="AH13" s="65"/>
      <c r="AI13" s="64"/>
      <c r="AJ13" s="65"/>
      <c r="AK13" s="64"/>
      <c r="AL13" s="65"/>
      <c r="AM13" s="64"/>
      <c r="AN13" s="65"/>
      <c r="AO13" s="64"/>
      <c r="AP13" s="65"/>
      <c r="AQ13" s="64"/>
      <c r="AR13" s="65"/>
      <c r="AS13" s="64"/>
      <c r="AT13" s="65"/>
      <c r="AU13" s="64"/>
      <c r="AV13" s="65"/>
      <c r="AW13" s="64"/>
      <c r="AX13" s="65"/>
      <c r="AY13" s="64"/>
      <c r="AZ13" s="65"/>
      <c r="BA13" s="64"/>
      <c r="BB13" s="65"/>
      <c r="BC13" s="64"/>
      <c r="BD13" s="65"/>
      <c r="BE13" s="64"/>
      <c r="BF13" s="65"/>
      <c r="BG13" s="64"/>
      <c r="BH13" s="65"/>
      <c r="BI13" s="64"/>
      <c r="BJ13" s="65"/>
      <c r="BK13" s="64"/>
      <c r="BL13" s="65"/>
      <c r="BM13" s="64"/>
      <c r="BN13" s="65"/>
      <c r="BO13" s="64"/>
      <c r="BP13" s="65"/>
      <c r="BQ13" s="64"/>
      <c r="BR13" s="65"/>
      <c r="BS13" s="64"/>
      <c r="BT13" s="65"/>
      <c r="BU13" s="64"/>
      <c r="BV13" s="65"/>
      <c r="BW13" s="64"/>
      <c r="BX13" s="65"/>
      <c r="BY13" s="64"/>
      <c r="BZ13" s="65"/>
      <c r="CA13" s="64"/>
      <c r="CB13" s="65"/>
      <c r="CC13" s="64"/>
      <c r="CD13" s="65"/>
      <c r="CE13" s="64"/>
      <c r="CF13" s="65"/>
      <c r="CG13" s="64"/>
      <c r="CH13" s="65"/>
      <c r="CI13" s="64"/>
      <c r="CJ13" s="65"/>
      <c r="CK13" s="64"/>
      <c r="CL13" s="65"/>
      <c r="CM13" s="64"/>
      <c r="CN13" s="65"/>
      <c r="CO13" s="64"/>
      <c r="CP13" s="65"/>
      <c r="CQ13" s="64"/>
      <c r="CR13" s="65"/>
      <c r="CS13" s="64"/>
      <c r="CT13" s="65"/>
      <c r="CU13" s="64"/>
      <c r="CV13" s="65"/>
      <c r="CW13" s="64"/>
      <c r="CX13" s="65"/>
      <c r="CY13" s="64"/>
      <c r="CZ13" s="65"/>
      <c r="DA13" s="64"/>
      <c r="DB13" s="65"/>
      <c r="DC13" s="64"/>
      <c r="DD13" s="65"/>
      <c r="DE13" s="64"/>
      <c r="DF13" s="65"/>
      <c r="DG13" s="64"/>
      <c r="DH13" s="65"/>
      <c r="DI13" s="64"/>
      <c r="DJ13" s="65"/>
      <c r="DK13" s="64"/>
      <c r="DL13" s="65"/>
      <c r="DM13" s="64"/>
      <c r="DN13" s="65"/>
      <c r="DO13" s="64"/>
      <c r="DP13" s="65"/>
      <c r="DQ13" s="64"/>
      <c r="DR13" s="65"/>
      <c r="DS13" s="64"/>
      <c r="DT13" s="65"/>
      <c r="DU13" s="64"/>
      <c r="DV13" s="65"/>
      <c r="DW13" s="64"/>
      <c r="DX13" s="65"/>
      <c r="DY13" s="64"/>
      <c r="DZ13" s="65"/>
      <c r="EA13" s="64"/>
      <c r="EB13" s="65"/>
      <c r="EC13" s="64"/>
      <c r="ED13" s="65"/>
      <c r="EE13" s="64"/>
      <c r="EF13" s="65"/>
      <c r="EG13" s="64"/>
      <c r="EH13" s="65"/>
      <c r="EI13" s="64"/>
      <c r="EJ13" s="65"/>
      <c r="EK13" s="64"/>
      <c r="EL13" s="65"/>
      <c r="EM13" s="64"/>
      <c r="EN13" s="65"/>
      <c r="EO13" s="64"/>
      <c r="EP13" s="65"/>
      <c r="EQ13" s="64"/>
      <c r="ER13" s="65"/>
      <c r="ES13" s="64"/>
      <c r="ET13" s="65"/>
      <c r="EU13" s="64"/>
      <c r="EV13" s="65"/>
      <c r="EW13" s="64"/>
      <c r="EX13" s="65"/>
      <c r="EY13" s="64"/>
      <c r="EZ13" s="65"/>
      <c r="FA13" s="64"/>
      <c r="FB13" s="65"/>
      <c r="FC13" s="64"/>
      <c r="FD13" s="65"/>
      <c r="FE13" s="64"/>
      <c r="FF13" s="65"/>
      <c r="FG13" s="64"/>
      <c r="FH13" s="65"/>
      <c r="FI13" s="64"/>
      <c r="FJ13" s="65"/>
      <c r="FK13" s="64"/>
      <c r="FL13" s="65"/>
      <c r="FM13" s="64"/>
      <c r="FN13" s="65"/>
      <c r="FO13" s="64"/>
      <c r="FP13" s="65"/>
      <c r="FQ13" s="64"/>
      <c r="FR13" s="65"/>
      <c r="FS13" s="64"/>
      <c r="FT13" s="65"/>
      <c r="FU13" s="64"/>
      <c r="FV13" s="65"/>
      <c r="FW13" s="64"/>
      <c r="FX13" s="65"/>
      <c r="FY13" s="64"/>
      <c r="FZ13" s="65"/>
      <c r="GA13" s="64"/>
      <c r="GB13" s="65"/>
      <c r="GC13" s="64"/>
      <c r="GD13" s="65"/>
      <c r="GE13" s="64"/>
      <c r="GF13" s="65"/>
      <c r="GG13" s="64"/>
      <c r="GH13" s="65"/>
      <c r="GI13" s="64"/>
      <c r="GJ13" s="65"/>
      <c r="GK13" s="64"/>
      <c r="GL13" s="65"/>
      <c r="GM13" s="64"/>
      <c r="GN13" s="65"/>
      <c r="GO13" s="64"/>
      <c r="GP13" s="65"/>
      <c r="GQ13" s="64"/>
      <c r="GR13" s="65"/>
      <c r="GS13" s="64"/>
      <c r="GT13" s="65"/>
      <c r="GU13" s="64"/>
      <c r="GV13" s="65"/>
      <c r="GW13" s="64"/>
      <c r="GX13" s="65"/>
      <c r="GY13" s="64"/>
      <c r="GZ13" s="65"/>
      <c r="HA13" s="64"/>
      <c r="HB13" s="65"/>
      <c r="HC13" s="64"/>
      <c r="HD13" s="65"/>
      <c r="HE13" s="64"/>
      <c r="HF13" s="65"/>
      <c r="HG13" s="64"/>
      <c r="HH13" s="65"/>
      <c r="HI13" s="64"/>
      <c r="HJ13" s="65"/>
      <c r="HK13" s="64"/>
      <c r="HL13" s="65"/>
      <c r="HM13" s="64"/>
      <c r="HN13" s="65"/>
      <c r="HO13" s="64"/>
      <c r="HP13" s="65"/>
      <c r="HQ13" s="64"/>
      <c r="HR13" s="65"/>
      <c r="HS13" s="64"/>
      <c r="HT13" s="65"/>
      <c r="HU13" s="64"/>
      <c r="HV13" s="65"/>
      <c r="HW13" s="64"/>
      <c r="HX13" s="65"/>
      <c r="HY13" s="64"/>
      <c r="HZ13" s="65"/>
      <c r="IA13" s="64"/>
      <c r="IB13" s="65"/>
      <c r="IC13" s="64"/>
      <c r="ID13" s="65"/>
      <c r="IE13" s="64"/>
      <c r="IF13" s="65"/>
      <c r="IG13" s="64"/>
      <c r="IH13" s="65"/>
      <c r="II13" s="64"/>
      <c r="IJ13" s="65"/>
      <c r="IK13" s="64"/>
      <c r="IL13" s="65"/>
      <c r="IM13" s="64"/>
      <c r="IN13" s="65"/>
      <c r="IO13" s="64"/>
      <c r="IP13" s="65"/>
      <c r="IQ13" s="64"/>
      <c r="IR13" s="65"/>
      <c r="IS13" s="64"/>
      <c r="IT13" s="65"/>
      <c r="IU13" s="64"/>
    </row>
    <row r="14" spans="2:256" s="63" customFormat="1">
      <c r="B14" s="142"/>
      <c r="C14" s="143"/>
      <c r="D14" s="144"/>
      <c r="E14" s="82"/>
      <c r="F14" s="65"/>
      <c r="G14" s="64"/>
      <c r="H14" s="65"/>
      <c r="I14" s="64"/>
      <c r="J14" s="65"/>
      <c r="K14" s="64"/>
      <c r="L14" s="65"/>
      <c r="M14" s="64"/>
      <c r="N14" s="65"/>
      <c r="O14" s="64"/>
      <c r="P14" s="65"/>
      <c r="Q14" s="64"/>
      <c r="R14" s="65"/>
      <c r="S14" s="64"/>
      <c r="T14" s="65"/>
      <c r="U14" s="64"/>
      <c r="V14" s="65"/>
      <c r="W14" s="64"/>
      <c r="X14" s="65"/>
      <c r="Y14" s="64"/>
      <c r="Z14" s="65"/>
      <c r="AA14" s="64"/>
      <c r="AB14" s="65"/>
      <c r="AC14" s="64"/>
      <c r="AD14" s="65"/>
      <c r="AE14" s="64"/>
      <c r="AF14" s="65"/>
      <c r="AG14" s="64"/>
      <c r="AH14" s="65"/>
      <c r="AI14" s="64"/>
      <c r="AJ14" s="65"/>
      <c r="AK14" s="64"/>
      <c r="AL14" s="65"/>
      <c r="AM14" s="64"/>
      <c r="AN14" s="65"/>
      <c r="AO14" s="64"/>
      <c r="AP14" s="65"/>
      <c r="AQ14" s="64"/>
      <c r="AR14" s="65"/>
      <c r="AS14" s="64"/>
      <c r="AT14" s="65"/>
      <c r="AU14" s="64"/>
      <c r="AV14" s="65"/>
      <c r="AW14" s="64"/>
      <c r="AX14" s="65"/>
      <c r="AY14" s="64"/>
      <c r="AZ14" s="65"/>
      <c r="BA14" s="64"/>
      <c r="BB14" s="65"/>
      <c r="BC14" s="64"/>
      <c r="BD14" s="65"/>
      <c r="BE14" s="64"/>
      <c r="BF14" s="65"/>
      <c r="BG14" s="64"/>
      <c r="BH14" s="65"/>
      <c r="BI14" s="64"/>
      <c r="BJ14" s="65"/>
      <c r="BK14" s="64"/>
      <c r="BL14" s="65"/>
      <c r="BM14" s="64"/>
      <c r="BN14" s="65"/>
      <c r="BO14" s="64"/>
      <c r="BP14" s="65"/>
      <c r="BQ14" s="64"/>
      <c r="BR14" s="65"/>
      <c r="BS14" s="64"/>
      <c r="BT14" s="65"/>
      <c r="BU14" s="64"/>
      <c r="BV14" s="65"/>
      <c r="BW14" s="64"/>
      <c r="BX14" s="65"/>
      <c r="BY14" s="64"/>
      <c r="BZ14" s="65"/>
      <c r="CA14" s="64"/>
      <c r="CB14" s="65"/>
      <c r="CC14" s="64"/>
      <c r="CD14" s="65"/>
      <c r="CE14" s="64"/>
      <c r="CF14" s="65"/>
      <c r="CG14" s="64"/>
      <c r="CH14" s="65"/>
      <c r="CI14" s="64"/>
      <c r="CJ14" s="65"/>
      <c r="CK14" s="64"/>
      <c r="CL14" s="65"/>
      <c r="CM14" s="64"/>
      <c r="CN14" s="65"/>
      <c r="CO14" s="64"/>
      <c r="CP14" s="65"/>
      <c r="CQ14" s="64"/>
      <c r="CR14" s="65"/>
      <c r="CS14" s="64"/>
      <c r="CT14" s="65"/>
      <c r="CU14" s="64"/>
      <c r="CV14" s="65"/>
      <c r="CW14" s="64"/>
      <c r="CX14" s="65"/>
      <c r="CY14" s="64"/>
      <c r="CZ14" s="65"/>
      <c r="DA14" s="64"/>
      <c r="DB14" s="65"/>
      <c r="DC14" s="64"/>
      <c r="DD14" s="65"/>
      <c r="DE14" s="64"/>
      <c r="DF14" s="65"/>
      <c r="DG14" s="64"/>
      <c r="DH14" s="65"/>
      <c r="DI14" s="64"/>
      <c r="DJ14" s="65"/>
      <c r="DK14" s="64"/>
      <c r="DL14" s="65"/>
      <c r="DM14" s="64"/>
      <c r="DN14" s="65"/>
      <c r="DO14" s="64"/>
      <c r="DP14" s="65"/>
      <c r="DQ14" s="64"/>
      <c r="DR14" s="65"/>
      <c r="DS14" s="64"/>
      <c r="DT14" s="65"/>
      <c r="DU14" s="64"/>
      <c r="DV14" s="65"/>
      <c r="DW14" s="64"/>
      <c r="DX14" s="65"/>
      <c r="DY14" s="64"/>
      <c r="DZ14" s="65"/>
      <c r="EA14" s="64"/>
      <c r="EB14" s="65"/>
      <c r="EC14" s="64"/>
      <c r="ED14" s="65"/>
      <c r="EE14" s="64"/>
      <c r="EF14" s="65"/>
      <c r="EG14" s="64"/>
      <c r="EH14" s="65"/>
      <c r="EI14" s="64"/>
      <c r="EJ14" s="65"/>
      <c r="EK14" s="64"/>
      <c r="EL14" s="65"/>
      <c r="EM14" s="64"/>
      <c r="EN14" s="65"/>
      <c r="EO14" s="64"/>
      <c r="EP14" s="65"/>
      <c r="EQ14" s="64"/>
      <c r="ER14" s="65"/>
      <c r="ES14" s="64"/>
      <c r="ET14" s="65"/>
      <c r="EU14" s="64"/>
      <c r="EV14" s="65"/>
      <c r="EW14" s="64"/>
      <c r="EX14" s="65"/>
      <c r="EY14" s="64"/>
      <c r="EZ14" s="65"/>
      <c r="FA14" s="64"/>
      <c r="FB14" s="65"/>
      <c r="FC14" s="64"/>
      <c r="FD14" s="65"/>
      <c r="FE14" s="64"/>
      <c r="FF14" s="65"/>
      <c r="FG14" s="64"/>
      <c r="FH14" s="65"/>
      <c r="FI14" s="64"/>
      <c r="FJ14" s="65"/>
      <c r="FK14" s="64"/>
      <c r="FL14" s="65"/>
      <c r="FM14" s="64"/>
      <c r="FN14" s="65"/>
      <c r="FO14" s="64"/>
      <c r="FP14" s="65"/>
      <c r="FQ14" s="64"/>
      <c r="FR14" s="65"/>
      <c r="FS14" s="64"/>
      <c r="FT14" s="65"/>
      <c r="FU14" s="64"/>
      <c r="FV14" s="65"/>
      <c r="FW14" s="64"/>
      <c r="FX14" s="65"/>
      <c r="FY14" s="64"/>
      <c r="FZ14" s="65"/>
      <c r="GA14" s="64"/>
      <c r="GB14" s="65"/>
      <c r="GC14" s="64"/>
      <c r="GD14" s="65"/>
      <c r="GE14" s="64"/>
      <c r="GF14" s="65"/>
      <c r="GG14" s="64"/>
      <c r="GH14" s="65"/>
      <c r="GI14" s="64"/>
      <c r="GJ14" s="65"/>
      <c r="GK14" s="64"/>
      <c r="GL14" s="65"/>
      <c r="GM14" s="64"/>
      <c r="GN14" s="65"/>
      <c r="GO14" s="64"/>
      <c r="GP14" s="65"/>
      <c r="GQ14" s="64"/>
      <c r="GR14" s="65"/>
      <c r="GS14" s="64"/>
      <c r="GT14" s="65"/>
      <c r="GU14" s="64"/>
      <c r="GV14" s="65"/>
      <c r="GW14" s="64"/>
      <c r="GX14" s="65"/>
      <c r="GY14" s="64"/>
      <c r="GZ14" s="65"/>
      <c r="HA14" s="64"/>
      <c r="HB14" s="65"/>
      <c r="HC14" s="64"/>
      <c r="HD14" s="65"/>
      <c r="HE14" s="64"/>
      <c r="HF14" s="65"/>
      <c r="HG14" s="64"/>
      <c r="HH14" s="65"/>
      <c r="HI14" s="64"/>
      <c r="HJ14" s="65"/>
      <c r="HK14" s="64"/>
      <c r="HL14" s="65"/>
      <c r="HM14" s="64"/>
      <c r="HN14" s="65"/>
      <c r="HO14" s="64"/>
      <c r="HP14" s="65"/>
      <c r="HQ14" s="64"/>
      <c r="HR14" s="65"/>
      <c r="HS14" s="64"/>
      <c r="HT14" s="65"/>
      <c r="HU14" s="64"/>
      <c r="HV14" s="65"/>
      <c r="HW14" s="64"/>
      <c r="HX14" s="65"/>
      <c r="HY14" s="64"/>
      <c r="HZ14" s="65"/>
      <c r="IA14" s="64"/>
      <c r="IB14" s="65"/>
      <c r="IC14" s="64"/>
      <c r="ID14" s="65"/>
      <c r="IE14" s="64"/>
      <c r="IF14" s="65"/>
      <c r="IG14" s="64"/>
      <c r="IH14" s="65"/>
      <c r="II14" s="64"/>
      <c r="IJ14" s="65"/>
      <c r="IK14" s="64"/>
      <c r="IL14" s="65"/>
      <c r="IM14" s="64"/>
      <c r="IN14" s="65"/>
      <c r="IO14" s="64"/>
      <c r="IP14" s="65"/>
      <c r="IQ14" s="64"/>
      <c r="IR14" s="65"/>
      <c r="IS14" s="64"/>
      <c r="IT14" s="65"/>
      <c r="IU14" s="64"/>
    </row>
    <row r="15" spans="2:256" s="63" customFormat="1">
      <c r="B15" s="142"/>
      <c r="C15" s="143"/>
      <c r="D15" s="144"/>
      <c r="E15" s="82"/>
      <c r="F15" s="65"/>
      <c r="G15" s="67"/>
      <c r="H15" s="65"/>
      <c r="I15" s="67"/>
      <c r="J15" s="65"/>
      <c r="K15" s="67"/>
      <c r="L15" s="65"/>
      <c r="M15" s="67"/>
      <c r="N15" s="65"/>
      <c r="O15" s="67"/>
      <c r="P15" s="65"/>
      <c r="Q15" s="67"/>
      <c r="R15" s="65"/>
      <c r="S15" s="67"/>
      <c r="T15" s="65"/>
      <c r="U15" s="67"/>
      <c r="V15" s="65"/>
      <c r="W15" s="67"/>
      <c r="X15" s="65"/>
      <c r="Y15" s="67"/>
      <c r="Z15" s="65"/>
      <c r="AA15" s="67"/>
      <c r="AB15" s="65"/>
      <c r="AC15" s="67"/>
      <c r="AD15" s="65"/>
      <c r="AE15" s="67"/>
      <c r="AF15" s="65"/>
      <c r="AG15" s="67"/>
      <c r="AH15" s="65"/>
      <c r="AI15" s="67"/>
      <c r="AJ15" s="65"/>
      <c r="AK15" s="67"/>
      <c r="AL15" s="65"/>
      <c r="AM15" s="67"/>
      <c r="AN15" s="65"/>
      <c r="AO15" s="67"/>
      <c r="AP15" s="65"/>
      <c r="AQ15" s="67"/>
      <c r="AR15" s="65"/>
      <c r="AS15" s="67"/>
      <c r="AT15" s="65"/>
      <c r="AU15" s="67"/>
      <c r="AV15" s="65"/>
      <c r="AW15" s="67"/>
      <c r="AX15" s="65"/>
      <c r="AY15" s="67"/>
      <c r="AZ15" s="65"/>
      <c r="BA15" s="67"/>
      <c r="BB15" s="65"/>
      <c r="BC15" s="67"/>
      <c r="BD15" s="65"/>
      <c r="BE15" s="67"/>
      <c r="BF15" s="65"/>
      <c r="BG15" s="67"/>
      <c r="BH15" s="65"/>
      <c r="BI15" s="67"/>
      <c r="BJ15" s="65"/>
      <c r="BK15" s="67"/>
      <c r="BL15" s="65"/>
      <c r="BM15" s="67"/>
      <c r="BN15" s="65"/>
      <c r="BO15" s="67"/>
      <c r="BP15" s="65"/>
      <c r="BQ15" s="67"/>
      <c r="BR15" s="65"/>
      <c r="BS15" s="67"/>
      <c r="BT15" s="65"/>
      <c r="BU15" s="67"/>
      <c r="BV15" s="65"/>
      <c r="BW15" s="67"/>
      <c r="BX15" s="65"/>
      <c r="BY15" s="67"/>
      <c r="BZ15" s="65"/>
      <c r="CA15" s="67"/>
      <c r="CB15" s="65"/>
      <c r="CC15" s="67"/>
      <c r="CD15" s="65"/>
      <c r="CE15" s="67"/>
      <c r="CF15" s="65"/>
      <c r="CG15" s="67"/>
      <c r="CH15" s="65"/>
      <c r="CI15" s="67"/>
      <c r="CJ15" s="65"/>
      <c r="CK15" s="67"/>
      <c r="CL15" s="65"/>
      <c r="CM15" s="67"/>
      <c r="CN15" s="65"/>
      <c r="CO15" s="67"/>
      <c r="CP15" s="65"/>
      <c r="CQ15" s="67"/>
      <c r="CR15" s="65"/>
      <c r="CS15" s="67"/>
      <c r="CT15" s="65"/>
      <c r="CU15" s="67"/>
      <c r="CV15" s="65"/>
      <c r="CW15" s="67"/>
      <c r="CX15" s="65"/>
      <c r="CY15" s="67"/>
      <c r="CZ15" s="65"/>
      <c r="DA15" s="67"/>
      <c r="DB15" s="65"/>
      <c r="DC15" s="67"/>
      <c r="DD15" s="65"/>
      <c r="DE15" s="67"/>
      <c r="DF15" s="65"/>
      <c r="DG15" s="67"/>
      <c r="DH15" s="65"/>
      <c r="DI15" s="67"/>
      <c r="DJ15" s="65"/>
      <c r="DK15" s="67"/>
      <c r="DL15" s="65"/>
      <c r="DM15" s="67"/>
      <c r="DN15" s="65"/>
      <c r="DO15" s="67"/>
      <c r="DP15" s="65"/>
      <c r="DQ15" s="67"/>
      <c r="DR15" s="65"/>
      <c r="DS15" s="67"/>
      <c r="DT15" s="65"/>
      <c r="DU15" s="67"/>
      <c r="DV15" s="65"/>
      <c r="DW15" s="67"/>
      <c r="DX15" s="65"/>
      <c r="DY15" s="67"/>
      <c r="DZ15" s="65"/>
      <c r="EA15" s="67"/>
      <c r="EB15" s="65"/>
      <c r="EC15" s="67"/>
      <c r="ED15" s="65"/>
      <c r="EE15" s="67"/>
      <c r="EF15" s="65"/>
      <c r="EG15" s="67"/>
      <c r="EH15" s="65"/>
      <c r="EI15" s="67"/>
      <c r="EJ15" s="65"/>
      <c r="EK15" s="67"/>
      <c r="EL15" s="65"/>
      <c r="EM15" s="67"/>
      <c r="EN15" s="65"/>
      <c r="EO15" s="67"/>
      <c r="EP15" s="65"/>
      <c r="EQ15" s="67"/>
      <c r="ER15" s="65"/>
      <c r="ES15" s="67"/>
      <c r="ET15" s="65"/>
      <c r="EU15" s="67"/>
      <c r="EV15" s="65"/>
      <c r="EW15" s="67"/>
      <c r="EX15" s="65"/>
      <c r="EY15" s="67"/>
      <c r="EZ15" s="65"/>
      <c r="FA15" s="67"/>
      <c r="FB15" s="65"/>
      <c r="FC15" s="67"/>
      <c r="FD15" s="65"/>
      <c r="FE15" s="67"/>
      <c r="FF15" s="65"/>
      <c r="FG15" s="67"/>
      <c r="FH15" s="65"/>
      <c r="FI15" s="67"/>
      <c r="FJ15" s="65"/>
      <c r="FK15" s="67"/>
      <c r="FL15" s="65"/>
      <c r="FM15" s="67"/>
      <c r="FN15" s="65"/>
      <c r="FO15" s="67"/>
      <c r="FP15" s="65"/>
      <c r="FQ15" s="67"/>
      <c r="FR15" s="65"/>
      <c r="FS15" s="67"/>
      <c r="FT15" s="65"/>
      <c r="FU15" s="67"/>
      <c r="FV15" s="65"/>
      <c r="FW15" s="67"/>
      <c r="FX15" s="65"/>
      <c r="FY15" s="67"/>
      <c r="FZ15" s="65"/>
      <c r="GA15" s="67"/>
      <c r="GB15" s="65"/>
      <c r="GC15" s="67"/>
      <c r="GD15" s="65"/>
      <c r="GE15" s="67"/>
      <c r="GF15" s="65"/>
      <c r="GG15" s="67"/>
      <c r="GH15" s="65"/>
      <c r="GI15" s="67"/>
      <c r="GJ15" s="65"/>
      <c r="GK15" s="67"/>
      <c r="GL15" s="65"/>
      <c r="GM15" s="67"/>
      <c r="GN15" s="65"/>
      <c r="GO15" s="67"/>
      <c r="GP15" s="65"/>
      <c r="GQ15" s="67"/>
      <c r="GR15" s="65"/>
      <c r="GS15" s="67"/>
      <c r="GT15" s="65"/>
      <c r="GU15" s="67"/>
      <c r="GV15" s="65"/>
      <c r="GW15" s="67"/>
      <c r="GX15" s="65"/>
      <c r="GY15" s="67"/>
      <c r="GZ15" s="65"/>
      <c r="HA15" s="67"/>
      <c r="HB15" s="65"/>
      <c r="HC15" s="67"/>
      <c r="HD15" s="65"/>
      <c r="HE15" s="67"/>
      <c r="HF15" s="65"/>
      <c r="HG15" s="67"/>
      <c r="HH15" s="65"/>
      <c r="HI15" s="67"/>
      <c r="HJ15" s="65"/>
      <c r="HK15" s="67"/>
      <c r="HL15" s="65"/>
      <c r="HM15" s="67"/>
      <c r="HN15" s="65"/>
      <c r="HO15" s="67"/>
      <c r="HP15" s="65"/>
      <c r="HQ15" s="67"/>
      <c r="HR15" s="65"/>
      <c r="HS15" s="67"/>
      <c r="HT15" s="65"/>
      <c r="HU15" s="67"/>
      <c r="HV15" s="65"/>
      <c r="HW15" s="67"/>
      <c r="HX15" s="65"/>
      <c r="HY15" s="67"/>
      <c r="HZ15" s="65"/>
      <c r="IA15" s="67"/>
      <c r="IB15" s="65"/>
      <c r="IC15" s="67"/>
      <c r="ID15" s="65"/>
      <c r="IE15" s="67"/>
      <c r="IF15" s="65"/>
      <c r="IG15" s="67"/>
      <c r="IH15" s="65"/>
      <c r="II15" s="67"/>
      <c r="IJ15" s="65"/>
      <c r="IK15" s="67"/>
      <c r="IL15" s="65"/>
      <c r="IM15" s="67"/>
      <c r="IN15" s="65"/>
      <c r="IO15" s="67"/>
      <c r="IP15" s="65"/>
      <c r="IQ15" s="67"/>
      <c r="IR15" s="65"/>
      <c r="IS15" s="67"/>
      <c r="IT15" s="65"/>
      <c r="IU15" s="67"/>
    </row>
    <row r="16" spans="2:256" s="63" customFormat="1">
      <c r="B16" s="142"/>
      <c r="C16" s="143"/>
      <c r="D16" s="144"/>
      <c r="E16" s="82"/>
      <c r="F16" s="65"/>
      <c r="G16" s="67"/>
      <c r="H16" s="65"/>
      <c r="I16" s="67"/>
      <c r="J16" s="65"/>
      <c r="K16" s="67"/>
      <c r="L16" s="65"/>
      <c r="M16" s="67"/>
      <c r="N16" s="65"/>
      <c r="O16" s="67"/>
      <c r="P16" s="65"/>
      <c r="Q16" s="67"/>
      <c r="R16" s="65"/>
      <c r="S16" s="67"/>
      <c r="T16" s="65"/>
      <c r="U16" s="67"/>
      <c r="V16" s="65"/>
      <c r="W16" s="67"/>
      <c r="X16" s="65"/>
      <c r="Y16" s="67"/>
      <c r="Z16" s="65"/>
      <c r="AA16" s="67"/>
      <c r="AB16" s="65"/>
      <c r="AC16" s="67"/>
      <c r="AD16" s="65"/>
      <c r="AE16" s="67"/>
      <c r="AF16" s="65"/>
      <c r="AG16" s="67"/>
      <c r="AH16" s="65"/>
      <c r="AI16" s="67"/>
      <c r="AJ16" s="65"/>
      <c r="AK16" s="67"/>
      <c r="AL16" s="65"/>
      <c r="AM16" s="67"/>
      <c r="AN16" s="65"/>
      <c r="AO16" s="67"/>
      <c r="AP16" s="65"/>
      <c r="AQ16" s="67"/>
      <c r="AR16" s="65"/>
      <c r="AS16" s="67"/>
      <c r="AT16" s="65"/>
      <c r="AU16" s="67"/>
      <c r="AV16" s="65"/>
      <c r="AW16" s="67"/>
      <c r="AX16" s="65"/>
      <c r="AY16" s="67"/>
      <c r="AZ16" s="65"/>
      <c r="BA16" s="67"/>
      <c r="BB16" s="65"/>
      <c r="BC16" s="67"/>
      <c r="BD16" s="65"/>
      <c r="BE16" s="67"/>
      <c r="BF16" s="65"/>
      <c r="BG16" s="67"/>
      <c r="BH16" s="65"/>
      <c r="BI16" s="67"/>
      <c r="BJ16" s="65"/>
      <c r="BK16" s="67"/>
      <c r="BL16" s="65"/>
      <c r="BM16" s="67"/>
      <c r="BN16" s="65"/>
      <c r="BO16" s="67"/>
      <c r="BP16" s="65"/>
      <c r="BQ16" s="67"/>
      <c r="BR16" s="65"/>
      <c r="BS16" s="67"/>
      <c r="BT16" s="65"/>
      <c r="BU16" s="67"/>
      <c r="BV16" s="65"/>
      <c r="BW16" s="67"/>
      <c r="BX16" s="65"/>
      <c r="BY16" s="67"/>
      <c r="BZ16" s="65"/>
      <c r="CA16" s="67"/>
      <c r="CB16" s="65"/>
      <c r="CC16" s="67"/>
      <c r="CD16" s="65"/>
      <c r="CE16" s="67"/>
      <c r="CF16" s="65"/>
      <c r="CG16" s="67"/>
      <c r="CH16" s="65"/>
      <c r="CI16" s="67"/>
      <c r="CJ16" s="65"/>
      <c r="CK16" s="67"/>
      <c r="CL16" s="65"/>
      <c r="CM16" s="67"/>
      <c r="CN16" s="65"/>
      <c r="CO16" s="67"/>
      <c r="CP16" s="65"/>
      <c r="CQ16" s="67"/>
      <c r="CR16" s="65"/>
      <c r="CS16" s="67"/>
      <c r="CT16" s="65"/>
      <c r="CU16" s="67"/>
      <c r="CV16" s="65"/>
      <c r="CW16" s="67"/>
      <c r="CX16" s="65"/>
      <c r="CY16" s="67"/>
      <c r="CZ16" s="65"/>
      <c r="DA16" s="67"/>
      <c r="DB16" s="65"/>
      <c r="DC16" s="67"/>
      <c r="DD16" s="65"/>
      <c r="DE16" s="67"/>
      <c r="DF16" s="65"/>
      <c r="DG16" s="67"/>
      <c r="DH16" s="65"/>
      <c r="DI16" s="67"/>
      <c r="DJ16" s="65"/>
      <c r="DK16" s="67"/>
      <c r="DL16" s="65"/>
      <c r="DM16" s="67"/>
      <c r="DN16" s="65"/>
      <c r="DO16" s="67"/>
      <c r="DP16" s="65"/>
      <c r="DQ16" s="67"/>
      <c r="DR16" s="65"/>
      <c r="DS16" s="67"/>
      <c r="DT16" s="65"/>
      <c r="DU16" s="67"/>
      <c r="DV16" s="65"/>
      <c r="DW16" s="67"/>
      <c r="DX16" s="65"/>
      <c r="DY16" s="67"/>
      <c r="DZ16" s="65"/>
      <c r="EA16" s="67"/>
      <c r="EB16" s="65"/>
      <c r="EC16" s="67"/>
      <c r="ED16" s="65"/>
      <c r="EE16" s="67"/>
      <c r="EF16" s="65"/>
      <c r="EG16" s="67"/>
      <c r="EH16" s="65"/>
      <c r="EI16" s="67"/>
      <c r="EJ16" s="65"/>
      <c r="EK16" s="67"/>
      <c r="EL16" s="65"/>
      <c r="EM16" s="67"/>
      <c r="EN16" s="65"/>
      <c r="EO16" s="67"/>
      <c r="EP16" s="65"/>
      <c r="EQ16" s="67"/>
      <c r="ER16" s="65"/>
      <c r="ES16" s="67"/>
      <c r="ET16" s="65"/>
      <c r="EU16" s="67"/>
      <c r="EV16" s="65"/>
      <c r="EW16" s="67"/>
      <c r="EX16" s="65"/>
      <c r="EY16" s="67"/>
      <c r="EZ16" s="65"/>
      <c r="FA16" s="67"/>
      <c r="FB16" s="65"/>
      <c r="FC16" s="67"/>
      <c r="FD16" s="65"/>
      <c r="FE16" s="67"/>
      <c r="FF16" s="65"/>
      <c r="FG16" s="67"/>
      <c r="FH16" s="65"/>
      <c r="FI16" s="67"/>
      <c r="FJ16" s="65"/>
      <c r="FK16" s="67"/>
      <c r="FL16" s="65"/>
      <c r="FM16" s="67"/>
      <c r="FN16" s="65"/>
      <c r="FO16" s="67"/>
      <c r="FP16" s="65"/>
      <c r="FQ16" s="67"/>
      <c r="FR16" s="65"/>
      <c r="FS16" s="67"/>
      <c r="FT16" s="65"/>
      <c r="FU16" s="67"/>
      <c r="FV16" s="65"/>
      <c r="FW16" s="67"/>
      <c r="FX16" s="65"/>
      <c r="FY16" s="67"/>
      <c r="FZ16" s="65"/>
      <c r="GA16" s="67"/>
      <c r="GB16" s="65"/>
      <c r="GC16" s="67"/>
      <c r="GD16" s="65"/>
      <c r="GE16" s="67"/>
      <c r="GF16" s="65"/>
      <c r="GG16" s="67"/>
      <c r="GH16" s="65"/>
      <c r="GI16" s="67"/>
      <c r="GJ16" s="65"/>
      <c r="GK16" s="67"/>
      <c r="GL16" s="65"/>
      <c r="GM16" s="67"/>
      <c r="GN16" s="65"/>
      <c r="GO16" s="67"/>
      <c r="GP16" s="65"/>
      <c r="GQ16" s="67"/>
      <c r="GR16" s="65"/>
      <c r="GS16" s="67"/>
      <c r="GT16" s="65"/>
      <c r="GU16" s="67"/>
      <c r="GV16" s="65"/>
      <c r="GW16" s="67"/>
      <c r="GX16" s="65"/>
      <c r="GY16" s="67"/>
      <c r="GZ16" s="65"/>
      <c r="HA16" s="67"/>
      <c r="HB16" s="65"/>
      <c r="HC16" s="67"/>
      <c r="HD16" s="65"/>
      <c r="HE16" s="67"/>
      <c r="HF16" s="65"/>
      <c r="HG16" s="67"/>
      <c r="HH16" s="65"/>
      <c r="HI16" s="67"/>
      <c r="HJ16" s="65"/>
      <c r="HK16" s="67"/>
      <c r="HL16" s="65"/>
      <c r="HM16" s="67"/>
      <c r="HN16" s="65"/>
      <c r="HO16" s="67"/>
      <c r="HP16" s="65"/>
      <c r="HQ16" s="67"/>
      <c r="HR16" s="65"/>
      <c r="HS16" s="67"/>
      <c r="HT16" s="65"/>
      <c r="HU16" s="67"/>
      <c r="HV16" s="65"/>
      <c r="HW16" s="67"/>
      <c r="HX16" s="65"/>
      <c r="HY16" s="67"/>
      <c r="HZ16" s="65"/>
      <c r="IA16" s="67"/>
      <c r="IB16" s="65"/>
      <c r="IC16" s="67"/>
      <c r="ID16" s="65"/>
      <c r="IE16" s="67"/>
      <c r="IF16" s="65"/>
      <c r="IG16" s="67"/>
      <c r="IH16" s="65"/>
      <c r="II16" s="67"/>
      <c r="IJ16" s="65"/>
      <c r="IK16" s="67"/>
      <c r="IL16" s="65"/>
      <c r="IM16" s="67"/>
      <c r="IN16" s="65"/>
      <c r="IO16" s="67"/>
      <c r="IP16" s="65"/>
      <c r="IQ16" s="67"/>
      <c r="IR16" s="65"/>
      <c r="IS16" s="67"/>
      <c r="IT16" s="65"/>
      <c r="IU16" s="67"/>
    </row>
    <row r="17" spans="2:255" s="63" customFormat="1">
      <c r="B17" s="142"/>
      <c r="C17" s="143"/>
      <c r="D17" s="144"/>
      <c r="E17" s="82"/>
      <c r="F17" s="65"/>
      <c r="G17" s="67"/>
      <c r="H17" s="65"/>
      <c r="I17" s="67"/>
      <c r="J17" s="65"/>
      <c r="K17" s="67"/>
      <c r="L17" s="65"/>
      <c r="M17" s="67"/>
      <c r="N17" s="65"/>
      <c r="O17" s="67"/>
      <c r="P17" s="65"/>
      <c r="Q17" s="67"/>
      <c r="R17" s="65"/>
      <c r="S17" s="67"/>
      <c r="T17" s="65"/>
      <c r="U17" s="67"/>
      <c r="V17" s="65"/>
      <c r="W17" s="67"/>
      <c r="X17" s="65"/>
      <c r="Y17" s="67"/>
      <c r="Z17" s="65"/>
      <c r="AA17" s="67"/>
      <c r="AB17" s="65"/>
      <c r="AC17" s="67"/>
      <c r="AD17" s="65"/>
      <c r="AE17" s="67"/>
      <c r="AF17" s="65"/>
      <c r="AG17" s="67"/>
      <c r="AH17" s="65"/>
      <c r="AI17" s="67"/>
      <c r="AJ17" s="65"/>
      <c r="AK17" s="67"/>
      <c r="AL17" s="65"/>
      <c r="AM17" s="67"/>
      <c r="AN17" s="65"/>
      <c r="AO17" s="67"/>
      <c r="AP17" s="65"/>
      <c r="AQ17" s="67"/>
      <c r="AR17" s="65"/>
      <c r="AS17" s="67"/>
      <c r="AT17" s="65"/>
      <c r="AU17" s="67"/>
      <c r="AV17" s="65"/>
      <c r="AW17" s="67"/>
      <c r="AX17" s="65"/>
      <c r="AY17" s="67"/>
      <c r="AZ17" s="65"/>
      <c r="BA17" s="67"/>
      <c r="BB17" s="65"/>
      <c r="BC17" s="67"/>
      <c r="BD17" s="65"/>
      <c r="BE17" s="67"/>
      <c r="BF17" s="65"/>
      <c r="BG17" s="67"/>
      <c r="BH17" s="65"/>
      <c r="BI17" s="67"/>
      <c r="BJ17" s="65"/>
      <c r="BK17" s="67"/>
      <c r="BL17" s="65"/>
      <c r="BM17" s="67"/>
      <c r="BN17" s="65"/>
      <c r="BO17" s="67"/>
      <c r="BP17" s="65"/>
      <c r="BQ17" s="67"/>
      <c r="BR17" s="65"/>
      <c r="BS17" s="67"/>
      <c r="BT17" s="65"/>
      <c r="BU17" s="67"/>
      <c r="BV17" s="65"/>
      <c r="BW17" s="67"/>
      <c r="BX17" s="65"/>
      <c r="BY17" s="67"/>
      <c r="BZ17" s="65"/>
      <c r="CA17" s="67"/>
      <c r="CB17" s="65"/>
      <c r="CC17" s="67"/>
      <c r="CD17" s="65"/>
      <c r="CE17" s="67"/>
      <c r="CF17" s="65"/>
      <c r="CG17" s="67"/>
      <c r="CH17" s="65"/>
      <c r="CI17" s="67"/>
      <c r="CJ17" s="65"/>
      <c r="CK17" s="67"/>
      <c r="CL17" s="65"/>
      <c r="CM17" s="67"/>
      <c r="CN17" s="65"/>
      <c r="CO17" s="67"/>
      <c r="CP17" s="65"/>
      <c r="CQ17" s="67"/>
      <c r="CR17" s="65"/>
      <c r="CS17" s="67"/>
      <c r="CT17" s="65"/>
      <c r="CU17" s="67"/>
      <c r="CV17" s="65"/>
      <c r="CW17" s="67"/>
      <c r="CX17" s="65"/>
      <c r="CY17" s="67"/>
      <c r="CZ17" s="65"/>
      <c r="DA17" s="67"/>
      <c r="DB17" s="65"/>
      <c r="DC17" s="67"/>
      <c r="DD17" s="65"/>
      <c r="DE17" s="67"/>
      <c r="DF17" s="65"/>
      <c r="DG17" s="67"/>
      <c r="DH17" s="65"/>
      <c r="DI17" s="67"/>
      <c r="DJ17" s="65"/>
      <c r="DK17" s="67"/>
      <c r="DL17" s="65"/>
      <c r="DM17" s="67"/>
      <c r="DN17" s="65"/>
      <c r="DO17" s="67"/>
      <c r="DP17" s="65"/>
      <c r="DQ17" s="67"/>
      <c r="DR17" s="65"/>
      <c r="DS17" s="67"/>
      <c r="DT17" s="65"/>
      <c r="DU17" s="67"/>
      <c r="DV17" s="65"/>
      <c r="DW17" s="67"/>
      <c r="DX17" s="65"/>
      <c r="DY17" s="67"/>
      <c r="DZ17" s="65"/>
      <c r="EA17" s="67"/>
      <c r="EB17" s="65"/>
      <c r="EC17" s="67"/>
      <c r="ED17" s="65"/>
      <c r="EE17" s="67"/>
      <c r="EF17" s="65"/>
      <c r="EG17" s="67"/>
      <c r="EH17" s="65"/>
      <c r="EI17" s="67"/>
      <c r="EJ17" s="65"/>
      <c r="EK17" s="67"/>
      <c r="EL17" s="65"/>
      <c r="EM17" s="67"/>
      <c r="EN17" s="65"/>
      <c r="EO17" s="67"/>
      <c r="EP17" s="65"/>
      <c r="EQ17" s="67"/>
      <c r="ER17" s="65"/>
      <c r="ES17" s="67"/>
      <c r="ET17" s="65"/>
      <c r="EU17" s="67"/>
      <c r="EV17" s="65"/>
      <c r="EW17" s="67"/>
      <c r="EX17" s="65"/>
      <c r="EY17" s="67"/>
      <c r="EZ17" s="65"/>
      <c r="FA17" s="67"/>
      <c r="FB17" s="65"/>
      <c r="FC17" s="67"/>
      <c r="FD17" s="65"/>
      <c r="FE17" s="67"/>
      <c r="FF17" s="65"/>
      <c r="FG17" s="67"/>
      <c r="FH17" s="65"/>
      <c r="FI17" s="67"/>
      <c r="FJ17" s="65"/>
      <c r="FK17" s="67"/>
      <c r="FL17" s="65"/>
      <c r="FM17" s="67"/>
      <c r="FN17" s="65"/>
      <c r="FO17" s="67"/>
      <c r="FP17" s="65"/>
      <c r="FQ17" s="67"/>
      <c r="FR17" s="65"/>
      <c r="FS17" s="67"/>
      <c r="FT17" s="65"/>
      <c r="FU17" s="67"/>
      <c r="FV17" s="65"/>
      <c r="FW17" s="67"/>
      <c r="FX17" s="65"/>
      <c r="FY17" s="67"/>
      <c r="FZ17" s="65"/>
      <c r="GA17" s="67"/>
      <c r="GB17" s="65"/>
      <c r="GC17" s="67"/>
      <c r="GD17" s="65"/>
      <c r="GE17" s="67"/>
      <c r="GF17" s="65"/>
      <c r="GG17" s="67"/>
      <c r="GH17" s="65"/>
      <c r="GI17" s="67"/>
      <c r="GJ17" s="65"/>
      <c r="GK17" s="67"/>
      <c r="GL17" s="65"/>
      <c r="GM17" s="67"/>
      <c r="GN17" s="65"/>
      <c r="GO17" s="67"/>
      <c r="GP17" s="65"/>
      <c r="GQ17" s="67"/>
      <c r="GR17" s="65"/>
      <c r="GS17" s="67"/>
      <c r="GT17" s="65"/>
      <c r="GU17" s="67"/>
      <c r="GV17" s="65"/>
      <c r="GW17" s="67"/>
      <c r="GX17" s="65"/>
      <c r="GY17" s="67"/>
      <c r="GZ17" s="65"/>
      <c r="HA17" s="67"/>
      <c r="HB17" s="65"/>
      <c r="HC17" s="67"/>
      <c r="HD17" s="65"/>
      <c r="HE17" s="67"/>
      <c r="HF17" s="65"/>
      <c r="HG17" s="67"/>
      <c r="HH17" s="65"/>
      <c r="HI17" s="67"/>
      <c r="HJ17" s="65"/>
      <c r="HK17" s="67"/>
      <c r="HL17" s="65"/>
      <c r="HM17" s="67"/>
      <c r="HN17" s="65"/>
      <c r="HO17" s="67"/>
      <c r="HP17" s="65"/>
      <c r="HQ17" s="67"/>
      <c r="HR17" s="65"/>
      <c r="HS17" s="67"/>
      <c r="HT17" s="65"/>
      <c r="HU17" s="67"/>
      <c r="HV17" s="65"/>
      <c r="HW17" s="67"/>
      <c r="HX17" s="65"/>
      <c r="HY17" s="67"/>
      <c r="HZ17" s="65"/>
      <c r="IA17" s="67"/>
      <c r="IB17" s="65"/>
      <c r="IC17" s="67"/>
      <c r="ID17" s="65"/>
      <c r="IE17" s="67"/>
      <c r="IF17" s="65"/>
      <c r="IG17" s="67"/>
      <c r="IH17" s="65"/>
      <c r="II17" s="67"/>
      <c r="IJ17" s="65"/>
      <c r="IK17" s="67"/>
      <c r="IL17" s="65"/>
      <c r="IM17" s="67"/>
      <c r="IN17" s="65"/>
      <c r="IO17" s="67"/>
      <c r="IP17" s="65"/>
      <c r="IQ17" s="67"/>
      <c r="IR17" s="65"/>
      <c r="IS17" s="67"/>
      <c r="IT17" s="65"/>
      <c r="IU17" s="67"/>
    </row>
    <row r="18" spans="2:255" s="69" customFormat="1" ht="11.25">
      <c r="E18" s="81"/>
      <c r="F18" s="10"/>
      <c r="G18" s="10"/>
      <c r="H18" s="10"/>
      <c r="I18" s="10"/>
      <c r="J18" s="68"/>
      <c r="K18" s="68"/>
      <c r="L18" s="68"/>
      <c r="M18" s="68"/>
    </row>
    <row r="19" spans="2:255" s="69" customFormat="1">
      <c r="B19" s="8"/>
      <c r="C19" s="9"/>
      <c r="D19" s="9"/>
      <c r="E19" s="10"/>
      <c r="F19" s="10"/>
      <c r="G19" s="10"/>
      <c r="H19" s="10"/>
      <c r="I19" s="10"/>
      <c r="J19" s="68"/>
      <c r="K19" s="68"/>
      <c r="L19" s="68"/>
      <c r="M19" s="68"/>
    </row>
    <row r="20" spans="2:255" s="69" customFormat="1">
      <c r="B20" s="8"/>
      <c r="C20" s="9"/>
      <c r="D20" s="9"/>
      <c r="E20" s="10"/>
      <c r="F20" s="10"/>
      <c r="G20" s="10"/>
      <c r="H20" s="10"/>
      <c r="I20" s="10"/>
      <c r="J20" s="10"/>
      <c r="K20" s="68"/>
      <c r="L20" s="68"/>
      <c r="M20" s="68"/>
      <c r="N20" s="68"/>
    </row>
    <row r="21" spans="2:255" s="69" customFormat="1">
      <c r="B21" s="8"/>
      <c r="C21" s="9"/>
      <c r="D21" s="9"/>
      <c r="E21" s="10"/>
      <c r="F21" s="10"/>
      <c r="G21" s="10"/>
      <c r="H21" s="10"/>
      <c r="I21" s="10"/>
      <c r="J21" s="10"/>
      <c r="K21" s="68"/>
      <c r="L21" s="68"/>
      <c r="M21" s="68"/>
      <c r="N21" s="68"/>
    </row>
    <row r="22" spans="2:255" s="69" customFormat="1">
      <c r="B22" s="8"/>
      <c r="C22" s="9"/>
      <c r="D22" s="9"/>
      <c r="E22" s="10"/>
      <c r="F22" s="10"/>
      <c r="G22" s="10"/>
      <c r="H22" s="10"/>
      <c r="I22" s="10"/>
      <c r="J22" s="10"/>
      <c r="K22" s="68"/>
      <c r="L22" s="68"/>
      <c r="M22" s="68"/>
      <c r="N22" s="68"/>
    </row>
    <row r="23" spans="2:255" s="69" customFormat="1">
      <c r="B23" s="8"/>
      <c r="C23" s="9"/>
      <c r="D23" s="9"/>
      <c r="E23" s="10"/>
      <c r="F23" s="10"/>
      <c r="G23" s="10"/>
      <c r="H23" s="10"/>
      <c r="I23" s="10"/>
      <c r="J23" s="10"/>
      <c r="K23" s="68"/>
      <c r="L23" s="68"/>
      <c r="M23" s="68"/>
      <c r="N23" s="68"/>
    </row>
    <row r="24" spans="2:255" s="69" customFormat="1">
      <c r="B24" s="8"/>
      <c r="C24" s="9"/>
      <c r="D24" s="9"/>
      <c r="E24" s="10"/>
      <c r="F24" s="10"/>
      <c r="G24" s="10"/>
      <c r="H24" s="10"/>
      <c r="I24" s="10"/>
      <c r="J24" s="68"/>
      <c r="K24" s="68"/>
      <c r="L24" s="68"/>
      <c r="M24" s="68"/>
    </row>
    <row r="25" spans="2:255" s="69" customFormat="1" ht="15" customHeight="1">
      <c r="B25" s="775" t="s">
        <v>276</v>
      </c>
      <c r="C25" s="776"/>
      <c r="D25" s="776"/>
      <c r="E25" s="10"/>
      <c r="F25" s="10"/>
      <c r="G25" s="10"/>
      <c r="H25" s="10"/>
      <c r="I25" s="10"/>
      <c r="J25" s="68"/>
      <c r="K25" s="68"/>
      <c r="L25" s="68"/>
      <c r="M25" s="68"/>
    </row>
    <row r="26" spans="2:255" s="69" customFormat="1" ht="11.25">
      <c r="B26" s="787" t="s">
        <v>277</v>
      </c>
      <c r="C26" s="785" t="s">
        <v>278</v>
      </c>
      <c r="D26" s="792" t="s">
        <v>1</v>
      </c>
      <c r="E26" s="10"/>
      <c r="F26" s="10"/>
      <c r="G26" s="10"/>
      <c r="H26" s="10"/>
      <c r="I26" s="10"/>
      <c r="J26" s="68"/>
      <c r="K26" s="68"/>
      <c r="L26" s="68"/>
      <c r="M26" s="68"/>
    </row>
    <row r="27" spans="2:255" s="69" customFormat="1" ht="11.25">
      <c r="B27" s="788"/>
      <c r="C27" s="786"/>
      <c r="D27" s="793"/>
      <c r="E27" s="10"/>
      <c r="F27" s="10"/>
      <c r="G27" s="10"/>
      <c r="H27" s="10"/>
      <c r="I27" s="10"/>
      <c r="J27" s="68"/>
      <c r="K27" s="68"/>
      <c r="L27" s="68"/>
      <c r="M27" s="68"/>
    </row>
    <row r="28" spans="2:255" s="69" customFormat="1">
      <c r="B28" s="115" t="s">
        <v>362</v>
      </c>
      <c r="C28" s="116">
        <f>COUNTIF('Seguimiento de Incidencias'!$E$14:$E$314,B28)</f>
        <v>0</v>
      </c>
      <c r="D28" s="116" t="e">
        <f>C28/$C$32</f>
        <v>#DIV/0!</v>
      </c>
      <c r="E28" s="10"/>
      <c r="F28" s="10"/>
      <c r="G28" s="10"/>
      <c r="H28" s="10"/>
      <c r="I28" s="10"/>
      <c r="J28" s="68"/>
      <c r="K28" s="68"/>
      <c r="L28" s="68"/>
      <c r="M28" s="68"/>
    </row>
    <row r="29" spans="2:255" s="69" customFormat="1">
      <c r="B29" s="115" t="s">
        <v>363</v>
      </c>
      <c r="C29" s="116">
        <f>COUNTIF('Seguimiento de Incidencias'!$E$14:$E$314,B29)</f>
        <v>0</v>
      </c>
      <c r="D29" s="116" t="e">
        <f>C29/$C$32</f>
        <v>#DIV/0!</v>
      </c>
      <c r="E29" s="10"/>
      <c r="F29" s="10"/>
      <c r="G29" s="10"/>
      <c r="H29" s="10"/>
      <c r="I29" s="10"/>
      <c r="J29" s="68"/>
      <c r="K29" s="68"/>
      <c r="L29" s="68"/>
      <c r="M29" s="68"/>
    </row>
    <row r="30" spans="2:255" s="69" customFormat="1">
      <c r="B30" s="115" t="s">
        <v>364</v>
      </c>
      <c r="C30" s="116">
        <f>COUNTIF('Seguimiento de Incidencias'!$E$14:$E$314,B30)</f>
        <v>0</v>
      </c>
      <c r="D30" s="116" t="e">
        <f>C30/$C$32</f>
        <v>#DIV/0!</v>
      </c>
      <c r="E30" s="10"/>
      <c r="F30" s="10"/>
      <c r="G30" s="10"/>
      <c r="H30" s="10"/>
      <c r="I30" s="10"/>
      <c r="J30" s="68"/>
      <c r="K30" s="68"/>
      <c r="L30" s="68"/>
      <c r="M30" s="68"/>
    </row>
    <row r="31" spans="2:255" s="69" customFormat="1">
      <c r="B31" s="115" t="s">
        <v>366</v>
      </c>
      <c r="C31" s="116">
        <f>COUNTIF('Seguimiento de Incidencias'!$E$14:$E$314,B31)</f>
        <v>0</v>
      </c>
      <c r="D31" s="116" t="e">
        <f>C31/$C$32</f>
        <v>#DIV/0!</v>
      </c>
      <c r="E31" s="10"/>
      <c r="F31" s="10"/>
      <c r="G31" s="10"/>
      <c r="H31" s="10"/>
      <c r="I31" s="10"/>
      <c r="J31" s="68"/>
      <c r="K31" s="68"/>
      <c r="L31" s="68"/>
      <c r="M31" s="68"/>
    </row>
    <row r="32" spans="2:255" s="69" customFormat="1">
      <c r="B32" s="114" t="s">
        <v>274</v>
      </c>
      <c r="C32" s="118">
        <f>SUM(C28:C31)</f>
        <v>0</v>
      </c>
      <c r="D32" s="119">
        <v>1</v>
      </c>
      <c r="E32" s="10"/>
      <c r="F32" s="70"/>
      <c r="G32" s="10"/>
      <c r="H32" s="10"/>
      <c r="I32" s="10"/>
      <c r="J32" s="10"/>
      <c r="K32" s="68"/>
      <c r="L32" s="68"/>
      <c r="M32" s="68"/>
      <c r="N32" s="68"/>
    </row>
    <row r="33" spans="2:9">
      <c r="B33" s="70"/>
      <c r="C33" s="71"/>
    </row>
    <row r="34" spans="2:9">
      <c r="B34" s="70"/>
      <c r="C34" s="71"/>
      <c r="D34" s="71"/>
      <c r="E34" s="70"/>
    </row>
    <row r="35" spans="2:9">
      <c r="B35" s="70"/>
      <c r="C35" s="71"/>
      <c r="D35" s="71"/>
      <c r="E35" s="70"/>
    </row>
    <row r="36" spans="2:9">
      <c r="B36" s="70"/>
      <c r="C36" s="71"/>
      <c r="D36" s="71"/>
      <c r="E36" s="70"/>
    </row>
    <row r="38" spans="2:9" ht="15">
      <c r="B38" s="791" t="s">
        <v>279</v>
      </c>
      <c r="C38" s="791"/>
      <c r="D38" s="791"/>
      <c r="E38" s="791"/>
      <c r="F38" s="791"/>
      <c r="G38" s="791"/>
      <c r="H38" s="791"/>
      <c r="I38" s="791"/>
    </row>
    <row r="39" spans="2:9" ht="12.75">
      <c r="B39" s="66" t="s">
        <v>275</v>
      </c>
      <c r="C39" s="772" t="s">
        <v>7</v>
      </c>
      <c r="D39" s="773"/>
      <c r="E39" s="773"/>
      <c r="F39" s="773"/>
      <c r="G39" s="773"/>
      <c r="H39" s="773"/>
      <c r="I39" s="774"/>
    </row>
    <row r="40" spans="2:9">
      <c r="B40" s="120">
        <v>1</v>
      </c>
      <c r="C40" s="789"/>
      <c r="D40" s="789"/>
      <c r="E40" s="789"/>
      <c r="F40" s="789"/>
      <c r="G40" s="789"/>
      <c r="H40" s="789"/>
      <c r="I40" s="789"/>
    </row>
    <row r="41" spans="2:9">
      <c r="B41" s="120">
        <v>2</v>
      </c>
      <c r="C41" s="789"/>
      <c r="D41" s="789"/>
      <c r="E41" s="789"/>
      <c r="F41" s="789"/>
      <c r="G41" s="789"/>
      <c r="H41" s="789"/>
      <c r="I41" s="789"/>
    </row>
    <row r="42" spans="2:9">
      <c r="B42" s="120">
        <v>3</v>
      </c>
      <c r="C42" s="789"/>
      <c r="D42" s="789"/>
      <c r="E42" s="789"/>
      <c r="F42" s="789"/>
      <c r="G42" s="789"/>
      <c r="H42" s="789"/>
      <c r="I42" s="789"/>
    </row>
    <row r="43" spans="2:9">
      <c r="B43" s="120">
        <v>4</v>
      </c>
      <c r="C43" s="789"/>
      <c r="D43" s="789"/>
      <c r="E43" s="789"/>
      <c r="F43" s="789"/>
      <c r="G43" s="789"/>
      <c r="H43" s="789"/>
      <c r="I43" s="789"/>
    </row>
    <row r="44" spans="2:9">
      <c r="B44" s="120">
        <v>5</v>
      </c>
      <c r="C44" s="789"/>
      <c r="D44" s="789"/>
      <c r="E44" s="789"/>
      <c r="F44" s="789"/>
      <c r="G44" s="789"/>
      <c r="H44" s="789"/>
      <c r="I44" s="789"/>
    </row>
    <row r="45" spans="2:9" ht="12.75">
      <c r="B45" s="72"/>
    </row>
    <row r="46" spans="2:9" ht="12.75">
      <c r="B46" s="72"/>
    </row>
    <row r="47" spans="2:9" ht="15">
      <c r="B47" s="777" t="s">
        <v>282</v>
      </c>
      <c r="C47" s="778"/>
      <c r="D47" s="778"/>
      <c r="E47" s="778"/>
      <c r="F47" s="778"/>
      <c r="G47" s="778"/>
      <c r="H47" s="778"/>
      <c r="I47" s="779"/>
    </row>
    <row r="48" spans="2:9">
      <c r="B48" s="73" t="s">
        <v>275</v>
      </c>
      <c r="C48" s="783" t="s">
        <v>2</v>
      </c>
      <c r="D48" s="784"/>
      <c r="E48" s="783" t="s">
        <v>280</v>
      </c>
      <c r="F48" s="790"/>
      <c r="G48" s="784"/>
      <c r="H48" s="783" t="s">
        <v>281</v>
      </c>
      <c r="I48" s="784"/>
    </row>
    <row r="49" spans="2:9">
      <c r="B49" s="120">
        <v>1</v>
      </c>
      <c r="C49" s="780"/>
      <c r="D49" s="782"/>
      <c r="E49" s="780"/>
      <c r="F49" s="781"/>
      <c r="G49" s="782"/>
      <c r="H49" s="780"/>
      <c r="I49" s="782"/>
    </row>
    <row r="50" spans="2:9">
      <c r="B50" s="120">
        <v>2</v>
      </c>
      <c r="C50" s="780"/>
      <c r="D50" s="782"/>
      <c r="E50" s="780"/>
      <c r="F50" s="781"/>
      <c r="G50" s="782"/>
      <c r="H50" s="780"/>
      <c r="I50" s="782"/>
    </row>
    <row r="51" spans="2:9">
      <c r="B51" s="120">
        <v>3</v>
      </c>
      <c r="C51" s="780"/>
      <c r="D51" s="782"/>
      <c r="E51" s="780"/>
      <c r="F51" s="781"/>
      <c r="G51" s="782"/>
      <c r="H51" s="780"/>
      <c r="I51" s="782"/>
    </row>
    <row r="52" spans="2:9">
      <c r="B52" s="120">
        <v>4</v>
      </c>
      <c r="C52" s="780"/>
      <c r="D52" s="782"/>
      <c r="E52" s="780"/>
      <c r="F52" s="781"/>
      <c r="G52" s="782"/>
      <c r="H52" s="780"/>
      <c r="I52" s="782"/>
    </row>
    <row r="53" spans="2:9">
      <c r="B53" s="120">
        <v>5</v>
      </c>
      <c r="C53" s="780"/>
      <c r="D53" s="782"/>
      <c r="E53" s="780"/>
      <c r="F53" s="781"/>
      <c r="G53" s="782"/>
      <c r="H53" s="780"/>
      <c r="I53" s="782"/>
    </row>
    <row r="54" spans="2:9" ht="12.75">
      <c r="B54" s="72"/>
    </row>
    <row r="55" spans="2:9" ht="12.75">
      <c r="B55" s="72"/>
    </row>
    <row r="56" spans="2:9" ht="15">
      <c r="B56" s="777" t="s">
        <v>3</v>
      </c>
      <c r="C56" s="778"/>
      <c r="D56" s="778"/>
      <c r="E56" s="778"/>
      <c r="F56" s="778"/>
      <c r="G56" s="778"/>
      <c r="H56" s="778"/>
      <c r="I56" s="779"/>
    </row>
    <row r="57" spans="2:9">
      <c r="B57" s="73" t="s">
        <v>275</v>
      </c>
      <c r="C57" s="783" t="s">
        <v>4</v>
      </c>
      <c r="D57" s="784"/>
      <c r="E57" s="783" t="s">
        <v>5</v>
      </c>
      <c r="F57" s="790"/>
      <c r="G57" s="784"/>
      <c r="H57" s="783" t="s">
        <v>6</v>
      </c>
      <c r="I57" s="784"/>
    </row>
    <row r="58" spans="2:9">
      <c r="B58" s="120">
        <v>1</v>
      </c>
      <c r="C58" s="780"/>
      <c r="D58" s="782"/>
      <c r="E58" s="780"/>
      <c r="F58" s="781"/>
      <c r="G58" s="782"/>
      <c r="H58" s="780"/>
      <c r="I58" s="782"/>
    </row>
    <row r="59" spans="2:9">
      <c r="B59" s="120">
        <v>2</v>
      </c>
      <c r="C59" s="780"/>
      <c r="D59" s="782"/>
      <c r="E59" s="780"/>
      <c r="F59" s="781"/>
      <c r="G59" s="782"/>
      <c r="H59" s="780"/>
      <c r="I59" s="782"/>
    </row>
    <row r="60" spans="2:9">
      <c r="B60" s="120">
        <v>3</v>
      </c>
      <c r="C60" s="780"/>
      <c r="D60" s="782"/>
      <c r="E60" s="780"/>
      <c r="F60" s="781"/>
      <c r="G60" s="782"/>
      <c r="H60" s="780"/>
      <c r="I60" s="782"/>
    </row>
    <row r="61" spans="2:9">
      <c r="B61" s="120">
        <v>4</v>
      </c>
      <c r="C61" s="780"/>
      <c r="D61" s="782"/>
      <c r="E61" s="780"/>
      <c r="F61" s="781"/>
      <c r="G61" s="782"/>
      <c r="H61" s="780"/>
      <c r="I61" s="782"/>
    </row>
    <row r="62" spans="2:9">
      <c r="B62" s="120">
        <v>5</v>
      </c>
      <c r="C62" s="780"/>
      <c r="D62" s="782"/>
      <c r="E62" s="780"/>
      <c r="F62" s="781"/>
      <c r="G62" s="782"/>
      <c r="H62" s="780"/>
      <c r="I62" s="782"/>
    </row>
  </sheetData>
  <mergeCells count="179">
    <mergeCell ref="IT3:IU3"/>
    <mergeCell ref="IF3:IG3"/>
    <mergeCell ref="IH3:II3"/>
    <mergeCell ref="IJ3:IK3"/>
    <mergeCell ref="IL3:IM3"/>
    <mergeCell ref="IN3:IO3"/>
    <mergeCell ref="IP3:IQ3"/>
    <mergeCell ref="IR3:IS3"/>
    <mergeCell ref="HH3:HI3"/>
    <mergeCell ref="HJ3:HK3"/>
    <mergeCell ref="HP3:HQ3"/>
    <mergeCell ref="HR3:HS3"/>
    <mergeCell ref="HL3:HM3"/>
    <mergeCell ref="HN3:HO3"/>
    <mergeCell ref="IB3:IC3"/>
    <mergeCell ref="ID3:IE3"/>
    <mergeCell ref="HT3:HU3"/>
    <mergeCell ref="HV3:HW3"/>
    <mergeCell ref="HX3:HY3"/>
    <mergeCell ref="HZ3:IA3"/>
    <mergeCell ref="GJ3:GK3"/>
    <mergeCell ref="GL3:GM3"/>
    <mergeCell ref="HD3:HE3"/>
    <mergeCell ref="HF3:HG3"/>
    <mergeCell ref="GN3:GO3"/>
    <mergeCell ref="GP3:GQ3"/>
    <mergeCell ref="GR3:GS3"/>
    <mergeCell ref="GT3:GU3"/>
    <mergeCell ref="GZ3:HA3"/>
    <mergeCell ref="HB3:HC3"/>
    <mergeCell ref="GV3:GW3"/>
    <mergeCell ref="GX3:GY3"/>
    <mergeCell ref="FV3:FW3"/>
    <mergeCell ref="EZ3:FA3"/>
    <mergeCell ref="FB3:FC3"/>
    <mergeCell ref="GB3:GC3"/>
    <mergeCell ref="GD3:GE3"/>
    <mergeCell ref="GF3:GG3"/>
    <mergeCell ref="GH3:GI3"/>
    <mergeCell ref="FX3:FY3"/>
    <mergeCell ref="FZ3:GA3"/>
    <mergeCell ref="FL3:FM3"/>
    <mergeCell ref="FN3:FO3"/>
    <mergeCell ref="FD3:FE3"/>
    <mergeCell ref="FF3:FG3"/>
    <mergeCell ref="FH3:FI3"/>
    <mergeCell ref="FJ3:FK3"/>
    <mergeCell ref="FP3:FQ3"/>
    <mergeCell ref="FR3:FS3"/>
    <mergeCell ref="FT3:FU3"/>
    <mergeCell ref="ET3:EU3"/>
    <mergeCell ref="DP3:DQ3"/>
    <mergeCell ref="DR3:DS3"/>
    <mergeCell ref="DT3:DU3"/>
    <mergeCell ref="DV3:DW3"/>
    <mergeCell ref="EN3:EO3"/>
    <mergeCell ref="EP3:EQ3"/>
    <mergeCell ref="EV3:EW3"/>
    <mergeCell ref="EX3:EY3"/>
    <mergeCell ref="EB3:EC3"/>
    <mergeCell ref="ED3:EE3"/>
    <mergeCell ref="EF3:EG3"/>
    <mergeCell ref="EH3:EI3"/>
    <mergeCell ref="EJ3:EK3"/>
    <mergeCell ref="EL3:EM3"/>
    <mergeCell ref="DX3:DY3"/>
    <mergeCell ref="DZ3:EA3"/>
    <mergeCell ref="ER3:ES3"/>
    <mergeCell ref="DL3:DM3"/>
    <mergeCell ref="DN3:DO3"/>
    <mergeCell ref="CB3:CC3"/>
    <mergeCell ref="CD3:CE3"/>
    <mergeCell ref="DD3:DE3"/>
    <mergeCell ref="DF3:DG3"/>
    <mergeCell ref="CJ3:CK3"/>
    <mergeCell ref="CL3:CM3"/>
    <mergeCell ref="CZ3:DA3"/>
    <mergeCell ref="DB3:DC3"/>
    <mergeCell ref="DH3:DI3"/>
    <mergeCell ref="DJ3:DK3"/>
    <mergeCell ref="CN3:CO3"/>
    <mergeCell ref="CP3:CQ3"/>
    <mergeCell ref="CV3:CW3"/>
    <mergeCell ref="CX3:CY3"/>
    <mergeCell ref="CR3:CS3"/>
    <mergeCell ref="CT3:CU3"/>
    <mergeCell ref="CF3:CG3"/>
    <mergeCell ref="CH3:CI3"/>
    <mergeCell ref="BL3:BM3"/>
    <mergeCell ref="BN3:BO3"/>
    <mergeCell ref="BP3:BQ3"/>
    <mergeCell ref="BR3:BS3"/>
    <mergeCell ref="BT3:BU3"/>
    <mergeCell ref="BV3:BW3"/>
    <mergeCell ref="BX3:BY3"/>
    <mergeCell ref="BZ3:CA3"/>
    <mergeCell ref="BJ3:BK3"/>
    <mergeCell ref="Z3:AA3"/>
    <mergeCell ref="T3:U3"/>
    <mergeCell ref="V3:W3"/>
    <mergeCell ref="AB3:AC3"/>
    <mergeCell ref="AD3:AE3"/>
    <mergeCell ref="BH3:BI3"/>
    <mergeCell ref="BF3:BG3"/>
    <mergeCell ref="AF3:AG3"/>
    <mergeCell ref="AH3:AI3"/>
    <mergeCell ref="AJ3:AK3"/>
    <mergeCell ref="AL3:AM3"/>
    <mergeCell ref="AN3:AO3"/>
    <mergeCell ref="AP3:AQ3"/>
    <mergeCell ref="AR3:AS3"/>
    <mergeCell ref="AT3:AU3"/>
    <mergeCell ref="AV3:AW3"/>
    <mergeCell ref="AX3:AY3"/>
    <mergeCell ref="AZ3:BA3"/>
    <mergeCell ref="BB3:BC3"/>
    <mergeCell ref="BD3:BE3"/>
    <mergeCell ref="C40:I40"/>
    <mergeCell ref="B38:I38"/>
    <mergeCell ref="D26:D27"/>
    <mergeCell ref="C41:I41"/>
    <mergeCell ref="C42:I42"/>
    <mergeCell ref="C43:I43"/>
    <mergeCell ref="E48:G48"/>
    <mergeCell ref="E49:G49"/>
    <mergeCell ref="X3:Y3"/>
    <mergeCell ref="L3:M3"/>
    <mergeCell ref="N3:O3"/>
    <mergeCell ref="P3:Q3"/>
    <mergeCell ref="R3:S3"/>
    <mergeCell ref="J3:K3"/>
    <mergeCell ref="B4:B5"/>
    <mergeCell ref="C4:C5"/>
    <mergeCell ref="D4:D5"/>
    <mergeCell ref="F3:G3"/>
    <mergeCell ref="H3:I3"/>
    <mergeCell ref="B3:D3"/>
    <mergeCell ref="C62:D62"/>
    <mergeCell ref="E62:G62"/>
    <mergeCell ref="H62:I62"/>
    <mergeCell ref="C61:D61"/>
    <mergeCell ref="E61:G61"/>
    <mergeCell ref="C57:D57"/>
    <mergeCell ref="E57:G57"/>
    <mergeCell ref="H57:I57"/>
    <mergeCell ref="H61:I61"/>
    <mergeCell ref="C58:D58"/>
    <mergeCell ref="E58:G58"/>
    <mergeCell ref="H58:I58"/>
    <mergeCell ref="C60:D60"/>
    <mergeCell ref="E60:G60"/>
    <mergeCell ref="H60:I60"/>
    <mergeCell ref="C59:D59"/>
    <mergeCell ref="E59:G59"/>
    <mergeCell ref="H59:I59"/>
    <mergeCell ref="B1:I1"/>
    <mergeCell ref="C39:I39"/>
    <mergeCell ref="B25:D25"/>
    <mergeCell ref="B56:I56"/>
    <mergeCell ref="B47:I47"/>
    <mergeCell ref="E53:G53"/>
    <mergeCell ref="C48:D48"/>
    <mergeCell ref="H52:I52"/>
    <mergeCell ref="C51:D51"/>
    <mergeCell ref="C53:D53"/>
    <mergeCell ref="E52:G52"/>
    <mergeCell ref="C52:D52"/>
    <mergeCell ref="E51:G51"/>
    <mergeCell ref="H51:I51"/>
    <mergeCell ref="H53:I53"/>
    <mergeCell ref="H49:I49"/>
    <mergeCell ref="C26:C27"/>
    <mergeCell ref="H50:I50"/>
    <mergeCell ref="C49:D49"/>
    <mergeCell ref="E50:G50"/>
    <mergeCell ref="C50:D50"/>
    <mergeCell ref="H48:I48"/>
    <mergeCell ref="B26:B27"/>
    <mergeCell ref="C44:I44"/>
  </mergeCells>
  <phoneticPr fontId="8" type="noConversion"/>
  <pageMargins left="0.75" right="0.75" top="1" bottom="1" header="0" footer="0"/>
  <headerFooter alignWithMargins="0"/>
  <ignoredErrors>
    <ignoredError sqref="C10:D11 C30:D31 C28:D28 C6:D8" unlockedFormula="1"/>
  </ignoredErrors>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185"/>
  <sheetViews>
    <sheetView showGridLines="0" zoomScale="70" zoomScaleNormal="70" workbookViewId="0">
      <pane ySplit="3" topLeftCell="A4" activePane="bottomLeft" state="frozen"/>
      <selection activeCell="F83" sqref="F83:H83"/>
      <selection pane="bottomLeft" activeCell="M14" sqref="M14"/>
    </sheetView>
  </sheetViews>
  <sheetFormatPr baseColWidth="10" defaultColWidth="9.140625" defaultRowHeight="12.75"/>
  <cols>
    <col min="1" max="1" width="27.7109375" style="58" customWidth="1"/>
    <col min="2" max="2" width="25" style="58" customWidth="1"/>
    <col min="3" max="3" width="25" style="55" customWidth="1"/>
    <col min="4" max="4" width="29.140625" style="54" bestFit="1" customWidth="1"/>
    <col min="5" max="5" width="18.28515625" style="54" customWidth="1"/>
    <col min="6" max="6" width="5.85546875" style="54" customWidth="1"/>
    <col min="7" max="7" width="12.140625" style="54" customWidth="1"/>
    <col min="8" max="8" width="5.85546875" style="54" customWidth="1"/>
    <col min="9" max="12" width="9.140625" style="54"/>
    <col min="13" max="13" width="8.85546875" style="54" customWidth="1"/>
    <col min="14" max="14" width="5.85546875" style="54" customWidth="1"/>
    <col min="15" max="16384" width="9.140625" style="54"/>
  </cols>
  <sheetData>
    <row r="1" spans="1:7" ht="15.75">
      <c r="A1" s="59" t="s">
        <v>287</v>
      </c>
      <c r="B1" s="59"/>
    </row>
    <row r="2" spans="1:7" ht="15.75">
      <c r="A2" s="59"/>
      <c r="B2" s="59"/>
    </row>
    <row r="3" spans="1:7" ht="25.5">
      <c r="A3" s="97" t="s">
        <v>84</v>
      </c>
      <c r="B3" s="97" t="s">
        <v>347</v>
      </c>
      <c r="C3" s="97" t="s">
        <v>68</v>
      </c>
      <c r="D3" s="97" t="s">
        <v>64</v>
      </c>
      <c r="E3" s="97" t="s">
        <v>67</v>
      </c>
      <c r="F3" s="97" t="s">
        <v>399</v>
      </c>
      <c r="G3" s="97" t="s">
        <v>65</v>
      </c>
    </row>
    <row r="4" spans="1:7">
      <c r="A4" s="155">
        <v>0.1</v>
      </c>
      <c r="B4" s="133">
        <f>VLOOKUP(A4,'CHK Técnico-AS400'!$A$18:$I$137,4,FALSE)</f>
        <v>0</v>
      </c>
      <c r="C4" s="133">
        <f>VLOOKUP(A4,'CHK Técnico-AS400'!$A$18:$I$137,3,FALSE)</f>
        <v>0</v>
      </c>
      <c r="D4" s="134" t="str">
        <f>VLOOKUP(A4,'CHK Técnico-AS400'!$A$18:$I$137,9,FALSE)</f>
        <v>21/06/201</v>
      </c>
      <c r="E4" s="135" t="str">
        <f>VLOOKUP(A4,'CHK Técnico-AS400'!$A$18:$I$137,6,FALSE)</f>
        <v>aaaa</v>
      </c>
      <c r="F4" s="135" t="str">
        <f>VLOOKUP(A4,'CHK Técnico-AS400'!$A$18:$I$137,5,FALSE)</f>
        <v>Si Cumple</v>
      </c>
      <c r="G4" s="136" t="s">
        <v>66</v>
      </c>
    </row>
    <row r="5" spans="1:7">
      <c r="A5" s="155">
        <v>0.2</v>
      </c>
      <c r="B5" s="133">
        <f>VLOOKUP(A5,'CHK Técnico-AS400'!$A$18:$I$137,4,FALSE)</f>
        <v>0</v>
      </c>
      <c r="C5" s="133">
        <f>VLOOKUP(A5,'CHK Técnico-AS400'!$A$18:$I$137,3,FALSE)</f>
        <v>0</v>
      </c>
      <c r="D5" s="134" t="str">
        <f>VLOOKUP(A5,'CHK Técnico-AS400'!$A$18:$I$137,9,FALSE)</f>
        <v>21/06/201</v>
      </c>
      <c r="E5" s="135" t="str">
        <f>VLOOKUP(A5,'CHK Técnico-AS400'!$A$18:$I$137,6,FALSE)</f>
        <v>aaaa</v>
      </c>
      <c r="F5" s="135" t="str">
        <f>VLOOKUP(A5,'CHK Técnico-AS400'!$A$18:$I$137,5,FALSE)</f>
        <v>No Conformidad</v>
      </c>
      <c r="G5" s="136" t="s">
        <v>66</v>
      </c>
    </row>
    <row r="6" spans="1:7">
      <c r="A6" s="155">
        <v>0.3</v>
      </c>
      <c r="B6" s="133">
        <f>VLOOKUP(A6,'CHK Técnico-AS400'!$A$18:$I$137,4,FALSE)</f>
        <v>0</v>
      </c>
      <c r="C6" s="133">
        <f>VLOOKUP(A6,'CHK Técnico-AS400'!$A$18:$I$137,3,FALSE)</f>
        <v>0</v>
      </c>
      <c r="D6" s="134" t="str">
        <f>VLOOKUP(A6,'CHK Técnico-AS400'!$A$18:$I$137,9,FALSE)</f>
        <v>21/06/201</v>
      </c>
      <c r="E6" s="135" t="str">
        <f>VLOOKUP(A6,'CHK Técnico-AS400'!$A$18:$I$137,6,FALSE)</f>
        <v>aaaa</v>
      </c>
      <c r="F6" s="135" t="str">
        <f>VLOOKUP(A6,'CHK Técnico-AS400'!$A$18:$I$137,5,FALSE)</f>
        <v>No Aplica</v>
      </c>
      <c r="G6" s="136" t="s">
        <v>66</v>
      </c>
    </row>
    <row r="7" spans="1:7">
      <c r="A7" s="155">
        <v>0.4</v>
      </c>
      <c r="B7" s="133">
        <f>VLOOKUP(A7,'CHK Técnico-AS400'!$A$18:$I$137,4,FALSE)</f>
        <v>0</v>
      </c>
      <c r="C7" s="133">
        <f>VLOOKUP(A7,'CHK Técnico-AS400'!$A$18:$I$137,3,FALSE)</f>
        <v>0</v>
      </c>
      <c r="D7" s="134" t="str">
        <f>VLOOKUP(A7,'CHK Técnico-AS400'!$A$18:$I$137,9,FALSE)</f>
        <v>21/06/201</v>
      </c>
      <c r="E7" s="135" t="str">
        <f>VLOOKUP(A7,'CHK Técnico-AS400'!$A$18:$I$137,6,FALSE)</f>
        <v>aaaa</v>
      </c>
      <c r="F7" s="135" t="str">
        <f>VLOOKUP(A7,'CHK Técnico-AS400'!$A$18:$I$137,5,FALSE)</f>
        <v>Valor Agregado</v>
      </c>
      <c r="G7" s="136" t="s">
        <v>66</v>
      </c>
    </row>
    <row r="8" spans="1:7">
      <c r="A8" s="155">
        <v>0.5</v>
      </c>
      <c r="B8" s="133">
        <f>VLOOKUP(A8,'CHK Técnico-AS400'!$A$18:$I$137,4,FALSE)</f>
        <v>0</v>
      </c>
      <c r="C8" s="133">
        <f>VLOOKUP(A8,'CHK Técnico-AS400'!$A$18:$I$137,3,FALSE)</f>
        <v>0</v>
      </c>
      <c r="D8" s="134" t="str">
        <f>VLOOKUP(A8,'CHK Técnico-AS400'!$A$18:$I$137,9,FALSE)</f>
        <v>21/06/201</v>
      </c>
      <c r="E8" s="135" t="str">
        <f>VLOOKUP(A8,'CHK Técnico-AS400'!$A$18:$I$137,6,FALSE)</f>
        <v>aaaa</v>
      </c>
      <c r="F8" s="135" t="str">
        <f>VLOOKUP(A8,'CHK Técnico-AS400'!$A$18:$I$137,5,FALSE)</f>
        <v>-</v>
      </c>
      <c r="G8" s="136" t="s">
        <v>66</v>
      </c>
    </row>
    <row r="9" spans="1:7">
      <c r="A9" s="132">
        <v>1</v>
      </c>
      <c r="B9" s="133">
        <f>VLOOKUP(A9,'CHK Técnico-AS400'!$A$18:$I$137,4,FALSE)</f>
        <v>0</v>
      </c>
      <c r="C9" s="133">
        <f>VLOOKUP(A9,'CHK Técnico-AS400'!$A$18:$I$137,3,FALSE)</f>
        <v>0</v>
      </c>
      <c r="D9" s="134">
        <f>VLOOKUP(A9,'CHK Técnico-AS400'!$A$18:$I$137,9,FALSE)</f>
        <v>0</v>
      </c>
      <c r="E9" s="135">
        <f>VLOOKUP(A9,'CHK Técnico-AS400'!$A$18:$I$137,6,FALSE)</f>
        <v>0</v>
      </c>
      <c r="F9" s="135">
        <f>VLOOKUP(A9,'CHK Técnico-AS400'!$A$18:$I$137,5,FALSE)</f>
        <v>0</v>
      </c>
      <c r="G9" s="136" t="s">
        <v>66</v>
      </c>
    </row>
    <row r="10" spans="1:7" ht="38.25">
      <c r="A10" s="132">
        <f t="shared" ref="A10:A73" si="0">A9+1</f>
        <v>2</v>
      </c>
      <c r="B10" s="133" t="str">
        <f>VLOOKUP(A10,'CHK Técnico-AS400'!$A$18:$I$137,4,FALSE)</f>
        <v>Documentación</v>
      </c>
      <c r="C10" s="133" t="str">
        <f>VLOOKUP(A10,'CHK Técnico-AS400'!$A$18:$I$137,3,FALSE)</f>
        <v>Se ha considerado la carga de la tabla de valores para campos código nuevos.</v>
      </c>
      <c r="D10" s="134">
        <f>VLOOKUP(A10,'CHK Técnico-AS400'!$A$18:$I$137,9,FALSE)</f>
        <v>44900</v>
      </c>
      <c r="E10" s="135">
        <f>VLOOKUP(A10,'CHK Técnico-AS400'!$A$18:$I$137,6,FALSE)</f>
        <v>0</v>
      </c>
      <c r="F10" s="135">
        <f>VLOOKUP(A10,'CHK Técnico-AS400'!$A$18:$I$137,5,FALSE)</f>
        <v>0</v>
      </c>
      <c r="G10" s="136" t="s">
        <v>66</v>
      </c>
    </row>
    <row r="11" spans="1:7" ht="38.25">
      <c r="A11" s="132">
        <f t="shared" si="0"/>
        <v>3</v>
      </c>
      <c r="B11" s="133" t="str">
        <f>VLOOKUP(A11,'CHK Técnico-AS400'!$A$18:$I$137,4,FALSE)</f>
        <v>Documentación</v>
      </c>
      <c r="C11" s="133" t="str">
        <f>VLOOKUP(A11,'CHK Técnico-AS400'!$A$18:$I$137,3,FALSE)</f>
        <v>Se ha considerado la carga de la tabla de configuración del sistema (CONARC)</v>
      </c>
      <c r="D11" s="134">
        <f>VLOOKUP(A11,'CHK Técnico-AS400'!$A$18:$I$137,9,FALSE)</f>
        <v>44900</v>
      </c>
      <c r="E11" s="135">
        <f>VLOOKUP(A11,'CHK Técnico-AS400'!$A$18:$I$137,6,FALSE)</f>
        <v>0</v>
      </c>
      <c r="F11" s="135">
        <f>VLOOKUP(A11,'CHK Técnico-AS400'!$A$18:$I$137,5,FALSE)</f>
        <v>0</v>
      </c>
      <c r="G11" s="136" t="s">
        <v>66</v>
      </c>
    </row>
    <row r="12" spans="1:7" ht="51">
      <c r="A12" s="132">
        <f t="shared" si="0"/>
        <v>4</v>
      </c>
      <c r="B12" s="133" t="str">
        <f>VLOOKUP(A12,'CHK Técnico-AS400'!$A$18:$I$137,4,FALSE)</f>
        <v>Documentación</v>
      </c>
      <c r="C12" s="133" t="str">
        <f>VLOOKUP(A12,'CHK Técnico-AS400'!$A$18:$I$137,3,FALSE)</f>
        <v>Se incluyen instrucciones para habilitar acceso a nuevos programas con TRVALSEG activo</v>
      </c>
      <c r="D12" s="134">
        <f>VLOOKUP(A12,'CHK Técnico-AS400'!$A$18:$I$137,9,FALSE)</f>
        <v>44900</v>
      </c>
      <c r="E12" s="135">
        <f>VLOOKUP(A12,'CHK Técnico-AS400'!$A$18:$I$137,6,FALSE)</f>
        <v>0</v>
      </c>
      <c r="F12" s="135">
        <f>VLOOKUP(A12,'CHK Técnico-AS400'!$A$18:$I$137,5,FALSE)</f>
        <v>0</v>
      </c>
      <c r="G12" s="136" t="s">
        <v>66</v>
      </c>
    </row>
    <row r="13" spans="1:7" ht="51">
      <c r="A13" s="132">
        <f t="shared" si="0"/>
        <v>5</v>
      </c>
      <c r="B13" s="133" t="str">
        <f>VLOOKUP(A13,'CHK Técnico-AS400'!$A$18:$I$137,4,FALSE)</f>
        <v>Documentación</v>
      </c>
      <c r="C13" s="133" t="str">
        <f>VLOOKUP(A13,'CHK Técnico-AS400'!$A$18:$I$137,3,FALSE)</f>
        <v>Se ha evitado indicaciones con comandos CRTPF, CRTLF, CRTPFM, CRTDUPOBJ</v>
      </c>
      <c r="D13" s="134">
        <f>VLOOKUP(A13,'CHK Técnico-AS400'!$A$18:$I$137,9,FALSE)</f>
        <v>44900</v>
      </c>
      <c r="E13" s="135">
        <f>VLOOKUP(A13,'CHK Técnico-AS400'!$A$18:$I$137,6,FALSE)</f>
        <v>0</v>
      </c>
      <c r="F13" s="135">
        <f>VLOOKUP(A13,'CHK Técnico-AS400'!$A$18:$I$137,5,FALSE)</f>
        <v>0</v>
      </c>
      <c r="G13" s="136" t="s">
        <v>66</v>
      </c>
    </row>
    <row r="14" spans="1:7" ht="38.25">
      <c r="A14" s="132">
        <f t="shared" si="0"/>
        <v>6</v>
      </c>
      <c r="B14" s="133" t="str">
        <f>VLOOKUP(A14,'CHK Técnico-AS400'!$A$18:$I$137,4,FALSE)</f>
        <v>Documentación</v>
      </c>
      <c r="C14" s="133" t="str">
        <f>VLOOKUP(A14,'CHK Técnico-AS400'!$A$18:$I$137,3,FALSE)</f>
        <v>¿Si es una OT de AS400, se ha indicado el Nro. De Solicitud de Pase ?</v>
      </c>
      <c r="D14" s="134">
        <f>VLOOKUP(A14,'CHK Técnico-AS400'!$A$18:$I$137,9,FALSE)</f>
        <v>44900</v>
      </c>
      <c r="E14" s="135">
        <f>VLOOKUP(A14,'CHK Técnico-AS400'!$A$18:$I$137,6,FALSE)</f>
        <v>0</v>
      </c>
      <c r="F14" s="135">
        <f>VLOOKUP(A14,'CHK Técnico-AS400'!$A$18:$I$137,5,FALSE)</f>
        <v>0</v>
      </c>
      <c r="G14" s="136" t="s">
        <v>66</v>
      </c>
    </row>
    <row r="15" spans="1:7" ht="38.25">
      <c r="A15" s="132">
        <f t="shared" si="0"/>
        <v>7</v>
      </c>
      <c r="B15" s="133" t="str">
        <f>VLOOKUP(A15,'CHK Técnico-AS400'!$A$18:$I$137,4,FALSE)</f>
        <v>Documentación</v>
      </c>
      <c r="C15" s="133" t="str">
        <f>VLOOKUP(A15,'CHK Técnico-AS400'!$A$18:$I$137,3,FALSE)</f>
        <v>Se incluyeron las pantallas de los objetos modificados en la solicitud de pase.</v>
      </c>
      <c r="D15" s="134">
        <f>VLOOKUP(A15,'CHK Técnico-AS400'!$A$18:$I$137,9,FALSE)</f>
        <v>44900</v>
      </c>
      <c r="E15" s="135">
        <f>VLOOKUP(A15,'CHK Técnico-AS400'!$A$18:$I$137,6,FALSE)</f>
        <v>0</v>
      </c>
      <c r="F15" s="135">
        <f>VLOOKUP(A15,'CHK Técnico-AS400'!$A$18:$I$137,5,FALSE)</f>
        <v>0</v>
      </c>
      <c r="G15" s="136" t="s">
        <v>66</v>
      </c>
    </row>
    <row r="16" spans="1:7" ht="51">
      <c r="A16" s="132">
        <f t="shared" si="0"/>
        <v>8</v>
      </c>
      <c r="B16" s="133" t="str">
        <f>VLOOKUP(A16,'CHK Técnico-AS400'!$A$18:$I$137,4,FALSE)</f>
        <v>Documentación</v>
      </c>
      <c r="C16" s="133" t="str">
        <f>VLOOKUP(A16,'CHK Técnico-AS400'!$A$18:$I$137,3,FALSE)</f>
        <v>¿Si se creó una nueva opción en el menú se hizo referencia al programa en el PR?</v>
      </c>
      <c r="D16" s="134">
        <f>VLOOKUP(A16,'CHK Técnico-AS400'!$A$18:$I$137,9,FALSE)</f>
        <v>44900</v>
      </c>
      <c r="E16" s="135">
        <f>VLOOKUP(A16,'CHK Técnico-AS400'!$A$18:$I$137,6,FALSE)</f>
        <v>0</v>
      </c>
      <c r="F16" s="135">
        <f>VLOOKUP(A16,'CHK Técnico-AS400'!$A$18:$I$137,5,FALSE)</f>
        <v>0</v>
      </c>
      <c r="G16" s="136" t="s">
        <v>66</v>
      </c>
    </row>
    <row r="17" spans="1:7">
      <c r="A17" s="132">
        <f t="shared" si="0"/>
        <v>9</v>
      </c>
      <c r="B17" s="133">
        <f>VLOOKUP(A17,'CHK Técnico-AS400'!$A$18:$I$137,4,FALSE)</f>
        <v>0</v>
      </c>
      <c r="C17" s="133">
        <f>VLOOKUP(A17,'CHK Técnico-AS400'!$A$18:$I$137,3,FALSE)</f>
        <v>0</v>
      </c>
      <c r="D17" s="134">
        <f>VLOOKUP(A17,'CHK Técnico-AS400'!$A$18:$I$137,9,FALSE)</f>
        <v>0</v>
      </c>
      <c r="E17" s="135">
        <f>VLOOKUP(A17,'CHK Técnico-AS400'!$A$18:$I$137,6,FALSE)</f>
        <v>0</v>
      </c>
      <c r="F17" s="135">
        <f>VLOOKUP(A17,'CHK Técnico-AS400'!$A$18:$I$137,5,FALSE)</f>
        <v>0</v>
      </c>
      <c r="G17" s="136" t="s">
        <v>66</v>
      </c>
    </row>
    <row r="18" spans="1:7" ht="38.25">
      <c r="A18" s="132">
        <f t="shared" si="0"/>
        <v>10</v>
      </c>
      <c r="B18" s="133" t="str">
        <f>VLOOKUP(A18,'CHK Técnico-AS400'!$A$18:$I$137,4,FALSE)</f>
        <v>Documentación</v>
      </c>
      <c r="C18" s="133" t="str">
        <f>VLOOKUP(A18,'CHK Técnico-AS400'!$A$18:$I$137,3,FALSE)</f>
        <v>Solicitud(es) de Pase se encuentran en estado cerrado</v>
      </c>
      <c r="D18" s="134">
        <f>VLOOKUP(A18,'CHK Técnico-AS400'!$A$18:$I$137,9,FALSE)</f>
        <v>44900</v>
      </c>
      <c r="E18" s="135">
        <f>VLOOKUP(A18,'CHK Técnico-AS400'!$A$18:$I$137,6,FALSE)</f>
        <v>0</v>
      </c>
      <c r="F18" s="135">
        <f>VLOOKUP(A18,'CHK Técnico-AS400'!$A$18:$I$137,5,FALSE)</f>
        <v>0</v>
      </c>
      <c r="G18" s="136" t="s">
        <v>66</v>
      </c>
    </row>
    <row r="19" spans="1:7" ht="38.25">
      <c r="A19" s="132">
        <f t="shared" si="0"/>
        <v>11</v>
      </c>
      <c r="B19" s="133" t="str">
        <f>VLOOKUP(A19,'CHK Técnico-AS400'!$A$18:$I$137,4,FALSE)</f>
        <v>Documentación</v>
      </c>
      <c r="C19" s="133" t="str">
        <f>VLOOKUP(A19,'CHK Técnico-AS400'!$A$18:$I$137,3,FALSE)</f>
        <v>Solicitud se encuentra asociada al Requerimiento y OT correspondiente</v>
      </c>
      <c r="D19" s="134">
        <f>VLOOKUP(A19,'CHK Técnico-AS400'!$A$18:$I$137,9,FALSE)</f>
        <v>44900</v>
      </c>
      <c r="E19" s="135">
        <f>VLOOKUP(A19,'CHK Técnico-AS400'!$A$18:$I$137,6,FALSE)</f>
        <v>0</v>
      </c>
      <c r="F19" s="135">
        <f>VLOOKUP(A19,'CHK Técnico-AS400'!$A$18:$I$137,5,FALSE)</f>
        <v>0</v>
      </c>
      <c r="G19" s="136" t="s">
        <v>66</v>
      </c>
    </row>
    <row r="20" spans="1:7" ht="51">
      <c r="A20" s="132">
        <f t="shared" si="0"/>
        <v>12</v>
      </c>
      <c r="B20" s="133" t="str">
        <f>VLOOKUP(A20,'CHK Técnico-AS400'!$A$18:$I$137,4,FALSE)</f>
        <v>Documentación</v>
      </c>
      <c r="C20" s="133" t="str">
        <f>VLOOKUP(A20,'CHK Técnico-AS400'!$A$18:$I$137,3,FALSE)</f>
        <v>Se encuentran todos los objetos previstos en la última versión del documento de diseño</v>
      </c>
      <c r="D20" s="134">
        <f>VLOOKUP(A20,'CHK Técnico-AS400'!$A$18:$I$137,9,FALSE)</f>
        <v>44900</v>
      </c>
      <c r="E20" s="135">
        <f>VLOOKUP(A20,'CHK Técnico-AS400'!$A$18:$I$137,6,FALSE)</f>
        <v>0</v>
      </c>
      <c r="F20" s="135">
        <f>VLOOKUP(A20,'CHK Técnico-AS400'!$A$18:$I$137,5,FALSE)</f>
        <v>0</v>
      </c>
      <c r="G20" s="136" t="s">
        <v>66</v>
      </c>
    </row>
    <row r="21" spans="1:7" ht="25.5">
      <c r="A21" s="132">
        <f t="shared" si="0"/>
        <v>13</v>
      </c>
      <c r="B21" s="133" t="str">
        <f>VLOOKUP(A21,'CHK Técnico-AS400'!$A$18:$I$137,4,FALSE)</f>
        <v>Estandarización</v>
      </c>
      <c r="C21" s="133" t="str">
        <f>VLOOKUP(A21,'CHK Técnico-AS400'!$A$18:$I$137,3,FALSE)</f>
        <v>Objetos se encuentran en Origen Estándar</v>
      </c>
      <c r="D21" s="134">
        <f>VLOOKUP(A21,'CHK Técnico-AS400'!$A$18:$I$137,9,FALSE)</f>
        <v>44900</v>
      </c>
      <c r="E21" s="135">
        <f>VLOOKUP(A21,'CHK Técnico-AS400'!$A$18:$I$137,6,FALSE)</f>
        <v>0</v>
      </c>
      <c r="F21" s="135">
        <f>VLOOKUP(A21,'CHK Técnico-AS400'!$A$18:$I$137,5,FALSE)</f>
        <v>0</v>
      </c>
      <c r="G21" s="136" t="s">
        <v>66</v>
      </c>
    </row>
    <row r="22" spans="1:7" ht="25.5">
      <c r="A22" s="132">
        <f t="shared" si="0"/>
        <v>14</v>
      </c>
      <c r="B22" s="133" t="str">
        <f>VLOOKUP(A22,'CHK Técnico-AS400'!$A$18:$I$137,4,FALSE)</f>
        <v>Estandarización</v>
      </c>
      <c r="C22" s="133" t="str">
        <f>VLOOKUP(A22,'CHK Técnico-AS400'!$A$18:$I$137,3,FALSE)</f>
        <v>Fuentes se encuentran en Origen Estándar</v>
      </c>
      <c r="D22" s="134">
        <f>VLOOKUP(A22,'CHK Técnico-AS400'!$A$18:$I$137,9,FALSE)</f>
        <v>44900</v>
      </c>
      <c r="E22" s="135">
        <f>VLOOKUP(A22,'CHK Técnico-AS400'!$A$18:$I$137,6,FALSE)</f>
        <v>0</v>
      </c>
      <c r="F22" s="135">
        <f>VLOOKUP(A22,'CHK Técnico-AS400'!$A$18:$I$137,5,FALSE)</f>
        <v>0</v>
      </c>
      <c r="G22" s="136" t="s">
        <v>66</v>
      </c>
    </row>
    <row r="23" spans="1:7" ht="38.25">
      <c r="A23" s="132">
        <f t="shared" si="0"/>
        <v>15</v>
      </c>
      <c r="B23" s="133" t="str">
        <f>VLOOKUP(A23,'CHK Técnico-AS400'!$A$18:$I$137,4,FALSE)</f>
        <v>Estandarización</v>
      </c>
      <c r="C23" s="133" t="str">
        <f>VLOOKUP(A23,'CHK Técnico-AS400'!$A$18:$I$137,3,FALSE)</f>
        <v>Destino PENSWRK en Producción para archivos de trabajo</v>
      </c>
      <c r="D23" s="134">
        <f>VLOOKUP(A23,'CHK Técnico-AS400'!$A$18:$I$137,9,FALSE)</f>
        <v>44900</v>
      </c>
      <c r="E23" s="135">
        <f>VLOOKUP(A23,'CHK Técnico-AS400'!$A$18:$I$137,6,FALSE)</f>
        <v>0</v>
      </c>
      <c r="F23" s="135">
        <f>VLOOKUP(A23,'CHK Técnico-AS400'!$A$18:$I$137,5,FALSE)</f>
        <v>0</v>
      </c>
      <c r="G23" s="136" t="s">
        <v>66</v>
      </c>
    </row>
    <row r="24" spans="1:7" ht="51">
      <c r="A24" s="132">
        <f t="shared" si="0"/>
        <v>16</v>
      </c>
      <c r="B24" s="133" t="str">
        <f>VLOOKUP(A24,'CHK Técnico-AS400'!$A$18:$I$137,4,FALSE)</f>
        <v>Técnico</v>
      </c>
      <c r="C24" s="133" t="str">
        <f>VLOOKUP(A24,'CHK Técnico-AS400'!$A$18:$I$137,3,FALSE)</f>
        <v>Para cambios de estructura de ARCHIVO se han incluido todos los programas con uso que lo refieren</v>
      </c>
      <c r="D24" s="134">
        <f>VLOOKUP(A24,'CHK Técnico-AS400'!$A$18:$I$137,9,FALSE)</f>
        <v>44900</v>
      </c>
      <c r="E24" s="135">
        <f>VLOOKUP(A24,'CHK Técnico-AS400'!$A$18:$I$137,6,FALSE)</f>
        <v>0</v>
      </c>
      <c r="F24" s="135">
        <f>VLOOKUP(A24,'CHK Técnico-AS400'!$A$18:$I$137,5,FALSE)</f>
        <v>0</v>
      </c>
      <c r="G24" s="136" t="s">
        <v>66</v>
      </c>
    </row>
    <row r="25" spans="1:7" ht="89.25">
      <c r="A25" s="132">
        <f t="shared" si="0"/>
        <v>17</v>
      </c>
      <c r="B25" s="133" t="str">
        <f>VLOOKUP(A25,'CHK Técnico-AS400'!$A$18:$I$137,4,FALSE)</f>
        <v>Documentación</v>
      </c>
      <c r="C25" s="133" t="str">
        <f>VLOOKUP(A25,'CHK Técnico-AS400'!$A$18:$I$137,3,FALSE)</f>
        <v>Si se ha cambiado la estructura de un archivo que está incluido en la relación de DataMirror, se ha indicado en el PR que debe ser retirado de este para poder ser modificado?</v>
      </c>
      <c r="D25" s="134">
        <f>VLOOKUP(A25,'CHK Técnico-AS400'!$A$18:$I$137,9,FALSE)</f>
        <v>44900</v>
      </c>
      <c r="E25" s="135">
        <f>VLOOKUP(A25,'CHK Técnico-AS400'!$A$18:$I$137,6,FALSE)</f>
        <v>0</v>
      </c>
      <c r="F25" s="135">
        <f>VLOOKUP(A25,'CHK Técnico-AS400'!$A$18:$I$137,5,FALSE)</f>
        <v>0</v>
      </c>
      <c r="G25" s="136" t="s">
        <v>66</v>
      </c>
    </row>
    <row r="26" spans="1:7" ht="38.25">
      <c r="A26" s="132">
        <f t="shared" si="0"/>
        <v>18</v>
      </c>
      <c r="B26" s="133" t="str">
        <f>VLOOKUP(A26,'CHK Técnico-AS400'!$A$18:$I$137,4,FALSE)</f>
        <v>Estandarización</v>
      </c>
      <c r="C26" s="133" t="str">
        <f>VLOOKUP(A26,'CHK Técnico-AS400'!$A$18:$I$137,3,FALSE)</f>
        <v>Para el caso de archivos nuevos se han incluido estos en la solicitud de pase</v>
      </c>
      <c r="D26" s="134">
        <f>VLOOKUP(A26,'CHK Técnico-AS400'!$A$18:$I$137,9,FALSE)</f>
        <v>44900</v>
      </c>
      <c r="E26" s="135">
        <f>VLOOKUP(A26,'CHK Técnico-AS400'!$A$18:$I$137,6,FALSE)</f>
        <v>0</v>
      </c>
      <c r="F26" s="135">
        <f>VLOOKUP(A26,'CHK Técnico-AS400'!$A$18:$I$137,5,FALSE)</f>
        <v>0</v>
      </c>
      <c r="G26" s="136" t="s">
        <v>66</v>
      </c>
    </row>
    <row r="27" spans="1:7" ht="38.25">
      <c r="A27" s="132">
        <f t="shared" si="0"/>
        <v>19</v>
      </c>
      <c r="B27" s="133" t="str">
        <f>VLOOKUP(A27,'CHK Técnico-AS400'!$A$18:$I$137,4,FALSE)</f>
        <v>Estandarización</v>
      </c>
      <c r="C27" s="133" t="str">
        <f>VLOOKUP(A27,'CHK Técnico-AS400'!$A$18:$I$137,3,FALSE)</f>
        <v>Todo programa modificado se ha incluido con su pantalla</v>
      </c>
      <c r="D27" s="134">
        <f>VLOOKUP(A27,'CHK Técnico-AS400'!$A$18:$I$137,9,FALSE)</f>
        <v>44900</v>
      </c>
      <c r="E27" s="135">
        <f>VLOOKUP(A27,'CHK Técnico-AS400'!$A$18:$I$137,6,FALSE)</f>
        <v>0</v>
      </c>
      <c r="F27" s="135">
        <f>VLOOKUP(A27,'CHK Técnico-AS400'!$A$18:$I$137,5,FALSE)</f>
        <v>0</v>
      </c>
      <c r="G27" s="136" t="s">
        <v>66</v>
      </c>
    </row>
    <row r="28" spans="1:7" ht="51">
      <c r="A28" s="132">
        <f t="shared" si="0"/>
        <v>20</v>
      </c>
      <c r="B28" s="133" t="str">
        <f>VLOOKUP(A28,'CHK Técnico-AS400'!$A$18:$I$137,4,FALSE)</f>
        <v>Estandarización</v>
      </c>
      <c r="C28" s="133" t="str">
        <f>VLOOKUP(A28,'CHK Técnico-AS400'!$A$18:$I$137,3,FALSE)</f>
        <v>Cuando se usa comando CLRPFM, se han indicado  los permisos de usuarios que usarán el archivo</v>
      </c>
      <c r="D28" s="134">
        <f>VLOOKUP(A28,'CHK Técnico-AS400'!$A$18:$I$137,9,FALSE)</f>
        <v>44900</v>
      </c>
      <c r="E28" s="135">
        <f>VLOOKUP(A28,'CHK Técnico-AS400'!$A$18:$I$137,6,FALSE)</f>
        <v>0</v>
      </c>
      <c r="F28" s="135">
        <f>VLOOKUP(A28,'CHK Técnico-AS400'!$A$18:$I$137,5,FALSE)</f>
        <v>0</v>
      </c>
      <c r="G28" s="136" t="s">
        <v>66</v>
      </c>
    </row>
    <row r="29" spans="1:7" ht="63.75">
      <c r="A29" s="132">
        <f t="shared" si="0"/>
        <v>21</v>
      </c>
      <c r="B29" s="133" t="str">
        <f>VLOOKUP(A29,'CHK Técnico-AS400'!$A$18:$I$137,4,FALSE)</f>
        <v>Estandarización</v>
      </c>
      <c r="C29" s="133" t="str">
        <f>VLOOKUP(A29,'CHK Técnico-AS400'!$A$18:$I$137,3,FALSE)</f>
        <v>En el caso de opciones nuevas en MENUPRO/PENSION se ha coordinado está con el Consultor.</v>
      </c>
      <c r="D29" s="134">
        <f>VLOOKUP(A29,'CHK Técnico-AS400'!$A$18:$I$137,9,FALSE)</f>
        <v>44900</v>
      </c>
      <c r="E29" s="135">
        <f>VLOOKUP(A29,'CHK Técnico-AS400'!$A$18:$I$137,6,FALSE)</f>
        <v>0</v>
      </c>
      <c r="F29" s="135">
        <f>VLOOKUP(A29,'CHK Técnico-AS400'!$A$18:$I$137,5,FALSE)</f>
        <v>0</v>
      </c>
      <c r="G29" s="136" t="s">
        <v>66</v>
      </c>
    </row>
    <row r="30" spans="1:7" ht="51">
      <c r="A30" s="132">
        <f t="shared" si="0"/>
        <v>22</v>
      </c>
      <c r="B30" s="133" t="str">
        <f>VLOOKUP(A30,'CHK Técnico-AS400'!$A$18:$I$137,4,FALSE)</f>
        <v>Estandarización</v>
      </c>
      <c r="C30" s="133" t="str">
        <f>VLOOKUP(A30,'CHK Técnico-AS400'!$A$18:$I$137,3,FALSE)</f>
        <v>En el caso de opciones nuevas se ha especificado a que grupo de usuarios debe estar asignada la opción</v>
      </c>
      <c r="D30" s="134">
        <f>VLOOKUP(A30,'CHK Técnico-AS400'!$A$18:$I$137,9,FALSE)</f>
        <v>44900</v>
      </c>
      <c r="E30" s="135">
        <f>VLOOKUP(A30,'CHK Técnico-AS400'!$A$18:$I$137,6,FALSE)</f>
        <v>0</v>
      </c>
      <c r="F30" s="135">
        <f>VLOOKUP(A30,'CHK Técnico-AS400'!$A$18:$I$137,5,FALSE)</f>
        <v>0</v>
      </c>
      <c r="G30" s="136" t="s">
        <v>66</v>
      </c>
    </row>
    <row r="31" spans="1:7">
      <c r="A31" s="132">
        <f t="shared" si="0"/>
        <v>23</v>
      </c>
      <c r="B31" s="133">
        <f>VLOOKUP(A31,'CHK Técnico-AS400'!$A$18:$I$137,4,FALSE)</f>
        <v>0</v>
      </c>
      <c r="C31" s="133">
        <f>VLOOKUP(A31,'CHK Técnico-AS400'!$A$18:$I$137,3,FALSE)</f>
        <v>0</v>
      </c>
      <c r="D31" s="134">
        <f>VLOOKUP(A31,'CHK Técnico-AS400'!$A$18:$I$137,9,FALSE)</f>
        <v>0</v>
      </c>
      <c r="E31" s="135">
        <f>VLOOKUP(A31,'CHK Técnico-AS400'!$A$18:$I$137,6,FALSE)</f>
        <v>0</v>
      </c>
      <c r="F31" s="135">
        <f>VLOOKUP(A31,'CHK Técnico-AS400'!$A$18:$I$137,5,FALSE)</f>
        <v>0</v>
      </c>
      <c r="G31" s="136" t="s">
        <v>66</v>
      </c>
    </row>
    <row r="32" spans="1:7" ht="38.25">
      <c r="A32" s="132">
        <f t="shared" si="0"/>
        <v>24</v>
      </c>
      <c r="B32" s="133" t="str">
        <f>VLOOKUP(A32,'CHK Técnico-AS400'!$A$18:$I$137,4,FALSE)</f>
        <v>Estandarización</v>
      </c>
      <c r="C32" s="133" t="str">
        <f>VLOOKUP(A32,'CHK Técnico-AS400'!$A$18:$I$137,3,FALSE)</f>
        <v>Programas CLs (*PGM CL) con nombre estándar - CL AAA NNN XX</v>
      </c>
      <c r="D32" s="134">
        <f>VLOOKUP(A32,'CHK Técnico-AS400'!$A$18:$I$137,9,FALSE)</f>
        <v>44900</v>
      </c>
      <c r="E32" s="135">
        <f>VLOOKUP(A32,'CHK Técnico-AS400'!$A$18:$I$137,6,FALSE)</f>
        <v>0</v>
      </c>
      <c r="F32" s="135">
        <f>VLOOKUP(A32,'CHK Técnico-AS400'!$A$18:$I$137,5,FALSE)</f>
        <v>0</v>
      </c>
      <c r="G32" s="136" t="s">
        <v>66</v>
      </c>
    </row>
    <row r="33" spans="1:7" ht="38.25">
      <c r="A33" s="132">
        <f t="shared" si="0"/>
        <v>25</v>
      </c>
      <c r="B33" s="133" t="str">
        <f>VLOOKUP(A33,'CHK Técnico-AS400'!$A$18:$I$137,4,FALSE)</f>
        <v>Estandarización</v>
      </c>
      <c r="C33" s="133" t="str">
        <f>VLOOKUP(A33,'CHK Técnico-AS400'!$A$18:$I$137,3,FALSE)</f>
        <v>Querys (*QRYDFN) con nombre estándar - QRY AAA NNN</v>
      </c>
      <c r="D33" s="134">
        <f>VLOOKUP(A33,'CHK Técnico-AS400'!$A$18:$I$137,9,FALSE)</f>
        <v>44900</v>
      </c>
      <c r="E33" s="135">
        <f>VLOOKUP(A33,'CHK Técnico-AS400'!$A$18:$I$137,6,FALSE)</f>
        <v>0</v>
      </c>
      <c r="F33" s="135">
        <f>VLOOKUP(A33,'CHK Técnico-AS400'!$A$18:$I$137,5,FALSE)</f>
        <v>0</v>
      </c>
      <c r="G33" s="136" t="s">
        <v>66</v>
      </c>
    </row>
    <row r="34" spans="1:7" ht="38.25">
      <c r="A34" s="132">
        <f t="shared" si="0"/>
        <v>26</v>
      </c>
      <c r="B34" s="133" t="str">
        <f>VLOOKUP(A34,'CHK Técnico-AS400'!$A$18:$I$137,4,FALSE)</f>
        <v>Estandarización</v>
      </c>
      <c r="C34" s="133" t="str">
        <f>VLOOKUP(A34,'CHK Técnico-AS400'!$A$18:$I$137,3,FALSE)</f>
        <v>Procedures SQL (*PGM CLE) con nombre estándar - P APLI NNN</v>
      </c>
      <c r="D34" s="134">
        <f>VLOOKUP(A34,'CHK Técnico-AS400'!$A$18:$I$137,9,FALSE)</f>
        <v>44900</v>
      </c>
      <c r="E34" s="135">
        <f>VLOOKUP(A34,'CHK Técnico-AS400'!$A$18:$I$137,6,FALSE)</f>
        <v>0</v>
      </c>
      <c r="F34" s="135">
        <f>VLOOKUP(A34,'CHK Técnico-AS400'!$A$18:$I$137,5,FALSE)</f>
        <v>0</v>
      </c>
      <c r="G34" s="136" t="s">
        <v>66</v>
      </c>
    </row>
    <row r="35" spans="1:7" ht="38.25">
      <c r="A35" s="132">
        <f t="shared" si="0"/>
        <v>27</v>
      </c>
      <c r="B35" s="133" t="str">
        <f>VLOOKUP(A35,'CHK Técnico-AS400'!$A$18:$I$137,4,FALSE)</f>
        <v>Estandarización</v>
      </c>
      <c r="C35" s="133" t="str">
        <f>VLOOKUP(A35,'CHK Técnico-AS400'!$A$18:$I$137,3,FALSE)</f>
        <v>Programas RPG SNAP de nombre TR AAA NNN, con AAA módulo conocido</v>
      </c>
      <c r="D35" s="134">
        <f>VLOOKUP(A35,'CHK Técnico-AS400'!$A$18:$I$137,9,FALSE)</f>
        <v>44900</v>
      </c>
      <c r="E35" s="135">
        <f>VLOOKUP(A35,'CHK Técnico-AS400'!$A$18:$I$137,6,FALSE)</f>
        <v>0</v>
      </c>
      <c r="F35" s="135">
        <f>VLOOKUP(A35,'CHK Técnico-AS400'!$A$18:$I$137,5,FALSE)</f>
        <v>0</v>
      </c>
      <c r="G35" s="136" t="s">
        <v>66</v>
      </c>
    </row>
    <row r="36" spans="1:7">
      <c r="A36" s="132">
        <f t="shared" si="0"/>
        <v>28</v>
      </c>
      <c r="B36" s="133">
        <f>VLOOKUP(A36,'CHK Técnico-AS400'!$A$18:$I$137,4,FALSE)</f>
        <v>0</v>
      </c>
      <c r="C36" s="133">
        <f>VLOOKUP(A36,'CHK Técnico-AS400'!$A$18:$I$137,3,FALSE)</f>
        <v>0</v>
      </c>
      <c r="D36" s="134">
        <f>VLOOKUP(A36,'CHK Técnico-AS400'!$A$18:$I$137,9,FALSE)</f>
        <v>0</v>
      </c>
      <c r="E36" s="135">
        <f>VLOOKUP(A36,'CHK Técnico-AS400'!$A$18:$I$137,6,FALSE)</f>
        <v>0</v>
      </c>
      <c r="F36" s="135">
        <f>VLOOKUP(A36,'CHK Técnico-AS400'!$A$18:$I$137,5,FALSE)</f>
        <v>0</v>
      </c>
      <c r="G36" s="136" t="s">
        <v>66</v>
      </c>
    </row>
    <row r="37" spans="1:7" ht="76.5">
      <c r="A37" s="132">
        <f t="shared" si="0"/>
        <v>29</v>
      </c>
      <c r="B37" s="133" t="str">
        <f>VLOOKUP(A37,'CHK Técnico-AS400'!$A$18:$I$137,4,FALSE)</f>
        <v>Estandarización</v>
      </c>
      <c r="C37" s="133" t="str">
        <f>VLOOKUP(A37,'CHK Técnico-AS400'!$A$18:$I$137,3,FALSE)</f>
        <v>Todos los archivos declarados son usados (verificar en el documento AS400_Solicitud_de_Pase_OTXXXX.xls si es antiguo o no)</v>
      </c>
      <c r="D37" s="134">
        <f>VLOOKUP(A37,'CHK Técnico-AS400'!$A$18:$I$137,9,FALSE)</f>
        <v>44900</v>
      </c>
      <c r="E37" s="135">
        <f>VLOOKUP(A37,'CHK Técnico-AS400'!$A$18:$I$137,6,FALSE)</f>
        <v>0</v>
      </c>
      <c r="F37" s="135">
        <f>VLOOKUP(A37,'CHK Técnico-AS400'!$A$18:$I$137,5,FALSE)</f>
        <v>0</v>
      </c>
      <c r="G37" s="136" t="s">
        <v>66</v>
      </c>
    </row>
    <row r="38" spans="1:7" ht="38.25">
      <c r="A38" s="132">
        <f t="shared" si="0"/>
        <v>30</v>
      </c>
      <c r="B38" s="133" t="str">
        <f>VLOOKUP(A38,'CHK Técnico-AS400'!$A$18:$I$137,4,FALSE)</f>
        <v>Estandarización</v>
      </c>
      <c r="C38" s="133" t="str">
        <f>VLOOKUP(A38,'CHK Técnico-AS400'!$A$18:$I$137,3,FALSE)</f>
        <v>Los archivos declarados se encuentran en la librería PRODU o en el pase actual</v>
      </c>
      <c r="D38" s="134">
        <f>VLOOKUP(A38,'CHK Técnico-AS400'!$A$18:$I$137,9,FALSE)</f>
        <v>44900</v>
      </c>
      <c r="E38" s="135">
        <f>VLOOKUP(A38,'CHK Técnico-AS400'!$A$18:$I$137,6,FALSE)</f>
        <v>0</v>
      </c>
      <c r="F38" s="135">
        <f>VLOOKUP(A38,'CHK Técnico-AS400'!$A$18:$I$137,5,FALSE)</f>
        <v>0</v>
      </c>
      <c r="G38" s="136" t="s">
        <v>66</v>
      </c>
    </row>
    <row r="39" spans="1:7" ht="51">
      <c r="A39" s="132">
        <f t="shared" si="0"/>
        <v>31</v>
      </c>
      <c r="B39" s="133" t="str">
        <f>VLOOKUP(A39,'CHK Técnico-AS400'!$A$18:$I$137,4,FALSE)</f>
        <v>Estandarización</v>
      </c>
      <c r="C39" s="133" t="str">
        <f>VLOOKUP(A39,'CHK Técnico-AS400'!$A$18:$I$137,3,FALSE)</f>
        <v>Los archivos declarados con acceso A se usan con instrucciones AGREGAR, GRABAR o BORRAR</v>
      </c>
      <c r="D39" s="134">
        <f>VLOOKUP(A39,'CHK Técnico-AS400'!$A$18:$I$137,9,FALSE)</f>
        <v>44900</v>
      </c>
      <c r="E39" s="135">
        <f>VLOOKUP(A39,'CHK Técnico-AS400'!$A$18:$I$137,6,FALSE)</f>
        <v>0</v>
      </c>
      <c r="F39" s="135">
        <f>VLOOKUP(A39,'CHK Técnico-AS400'!$A$18:$I$137,5,FALSE)</f>
        <v>0</v>
      </c>
      <c r="G39" s="136" t="s">
        <v>66</v>
      </c>
    </row>
    <row r="40" spans="1:7" ht="25.5">
      <c r="A40" s="132">
        <f t="shared" si="0"/>
        <v>32</v>
      </c>
      <c r="B40" s="133" t="str">
        <f>VLOOKUP(A40,'CHK Técnico-AS400'!$A$18:$I$137,4,FALSE)</f>
        <v>Estandarización</v>
      </c>
      <c r="C40" s="133" t="str">
        <f>VLOOKUP(A40,'CHK Técnico-AS400'!$A$18:$I$137,3,FALSE)</f>
        <v>Todas las nuevas variables y arreglos tienen descripción</v>
      </c>
      <c r="D40" s="134">
        <f>VLOOKUP(A40,'CHK Técnico-AS400'!$A$18:$I$137,9,FALSE)</f>
        <v>44900</v>
      </c>
      <c r="E40" s="135">
        <f>VLOOKUP(A40,'CHK Técnico-AS400'!$A$18:$I$137,6,FALSE)</f>
        <v>0</v>
      </c>
      <c r="F40" s="135">
        <f>VLOOKUP(A40,'CHK Técnico-AS400'!$A$18:$I$137,5,FALSE)</f>
        <v>0</v>
      </c>
      <c r="G40" s="136" t="s">
        <v>66</v>
      </c>
    </row>
    <row r="41" spans="1:7">
      <c r="A41" s="132">
        <f t="shared" si="0"/>
        <v>33</v>
      </c>
      <c r="B41" s="133">
        <f>VLOOKUP(A41,'CHK Técnico-AS400'!$A$18:$I$137,4,FALSE)</f>
        <v>0</v>
      </c>
      <c r="C41" s="133">
        <f>VLOOKUP(A41,'CHK Técnico-AS400'!$A$18:$I$137,3,FALSE)</f>
        <v>0</v>
      </c>
      <c r="D41" s="134">
        <f>VLOOKUP(A41,'CHK Técnico-AS400'!$A$18:$I$137,9,FALSE)</f>
        <v>0</v>
      </c>
      <c r="E41" s="135">
        <f>VLOOKUP(A41,'CHK Técnico-AS400'!$A$18:$I$137,6,FALSE)</f>
        <v>0</v>
      </c>
      <c r="F41" s="135">
        <f>VLOOKUP(A41,'CHK Técnico-AS400'!$A$18:$I$137,5,FALSE)</f>
        <v>0</v>
      </c>
      <c r="G41" s="136" t="s">
        <v>66</v>
      </c>
    </row>
    <row r="42" spans="1:7">
      <c r="A42" s="132">
        <f t="shared" si="0"/>
        <v>34</v>
      </c>
      <c r="B42" s="133" t="str">
        <f>VLOOKUP(A42,'CHK Técnico-AS400'!$A$18:$I$137,4,FALSE)</f>
        <v>Estandarización</v>
      </c>
      <c r="C42" s="133" t="str">
        <f>VLOOKUP(A42,'CHK Técnico-AS400'!$A$18:$I$137,3,FALSE)</f>
        <v xml:space="preserve">Tiene la cabecera estándar </v>
      </c>
      <c r="D42" s="134">
        <f>VLOOKUP(A42,'CHK Técnico-AS400'!$A$18:$I$137,9,FALSE)</f>
        <v>44900</v>
      </c>
      <c r="E42" s="135">
        <f>VLOOKUP(A42,'CHK Técnico-AS400'!$A$18:$I$137,6,FALSE)</f>
        <v>0</v>
      </c>
      <c r="F42" s="135">
        <f>VLOOKUP(A42,'CHK Técnico-AS400'!$A$18:$I$137,5,FALSE)</f>
        <v>0</v>
      </c>
      <c r="G42" s="136" t="s">
        <v>66</v>
      </c>
    </row>
    <row r="43" spans="1:7" ht="51">
      <c r="A43" s="132">
        <f t="shared" si="0"/>
        <v>35</v>
      </c>
      <c r="B43" s="133" t="str">
        <f>VLOOKUP(A43,'CHK Técnico-AS400'!$A$18:$I$137,4,FALSE)</f>
        <v>Estandarización</v>
      </c>
      <c r="C43" s="133" t="str">
        <f>VLOOKUP(A43,'CHK Técnico-AS400'!$A$18:$I$137,3,FALSE)</f>
        <v>Manejo de Opciones Estándar (2=Cambiar, 4=Eliminar, 5=Consultar, 12=ver detalles, etc.)</v>
      </c>
      <c r="D43" s="134">
        <f>VLOOKUP(A43,'CHK Técnico-AS400'!$A$18:$I$137,9,FALSE)</f>
        <v>44900</v>
      </c>
      <c r="E43" s="135">
        <f>VLOOKUP(A43,'CHK Técnico-AS400'!$A$18:$I$137,6,FALSE)</f>
        <v>0</v>
      </c>
      <c r="F43" s="135">
        <f>VLOOKUP(A43,'CHK Técnico-AS400'!$A$18:$I$137,5,FALSE)</f>
        <v>0</v>
      </c>
      <c r="G43" s="136" t="s">
        <v>66</v>
      </c>
    </row>
    <row r="44" spans="1:7" ht="51">
      <c r="A44" s="132">
        <f t="shared" si="0"/>
        <v>36</v>
      </c>
      <c r="B44" s="133" t="str">
        <f>VLOOKUP(A44,'CHK Técnico-AS400'!$A$18:$I$137,4,FALSE)</f>
        <v>Estandarización</v>
      </c>
      <c r="C44" s="133" t="str">
        <f>VLOOKUP(A44,'CHK Técnico-AS400'!$A$18:$I$137,3,FALSE)</f>
        <v>Manejo estándar Teclas de Función (F4=Lista, F6=Agregar, F10=Confirmar, etc.)</v>
      </c>
      <c r="D44" s="134">
        <f>VLOOKUP(A44,'CHK Técnico-AS400'!$A$18:$I$137,9,FALSE)</f>
        <v>44900</v>
      </c>
      <c r="E44" s="135">
        <f>VLOOKUP(A44,'CHK Técnico-AS400'!$A$18:$I$137,6,FALSE)</f>
        <v>0</v>
      </c>
      <c r="F44" s="135">
        <f>VLOOKUP(A44,'CHK Técnico-AS400'!$A$18:$I$137,5,FALSE)</f>
        <v>0</v>
      </c>
      <c r="G44" s="136" t="s">
        <v>66</v>
      </c>
    </row>
    <row r="45" spans="1:7" ht="38.25">
      <c r="A45" s="132">
        <f t="shared" si="0"/>
        <v>37</v>
      </c>
      <c r="B45" s="133" t="str">
        <f>VLOOKUP(A45,'CHK Técnico-AS400'!$A$18:$I$137,4,FALSE)</f>
        <v>Estandarización</v>
      </c>
      <c r="C45" s="133" t="str">
        <f>VLOOKUP(A45,'CHK Técnico-AS400'!$A$18:$I$137,3,FALSE)</f>
        <v>Validación de campos de salida es con "Verificación por Módulo"</v>
      </c>
      <c r="D45" s="134">
        <f>VLOOKUP(A45,'CHK Técnico-AS400'!$A$18:$I$137,9,FALSE)</f>
        <v>44900</v>
      </c>
      <c r="E45" s="135">
        <f>VLOOKUP(A45,'CHK Técnico-AS400'!$A$18:$I$137,6,FALSE)</f>
        <v>0</v>
      </c>
      <c r="F45" s="135">
        <f>VLOOKUP(A45,'CHK Técnico-AS400'!$A$18:$I$137,5,FALSE)</f>
        <v>0</v>
      </c>
      <c r="G45" s="136" t="s">
        <v>66</v>
      </c>
    </row>
    <row r="46" spans="1:7" ht="51">
      <c r="A46" s="132">
        <f t="shared" si="0"/>
        <v>38</v>
      </c>
      <c r="B46" s="133" t="str">
        <f>VLOOKUP(A46,'CHK Técnico-AS400'!$A$18:$I$137,4,FALSE)</f>
        <v>Estandarización</v>
      </c>
      <c r="C46" s="133" t="str">
        <f>VLOOKUP(A46,'CHK Técnico-AS400'!$A$18:$I$137,3,FALSE)</f>
        <v>Errores de validación en pantalla son mostrados con instrucciones MENSAJE y luego ERROR</v>
      </c>
      <c r="D46" s="134">
        <f>VLOOKUP(A46,'CHK Técnico-AS400'!$A$18:$I$137,9,FALSE)</f>
        <v>44900</v>
      </c>
      <c r="E46" s="135">
        <f>VLOOKUP(A46,'CHK Técnico-AS400'!$A$18:$I$137,6,FALSE)</f>
        <v>0</v>
      </c>
      <c r="F46" s="135">
        <f>VLOOKUP(A46,'CHK Técnico-AS400'!$A$18:$I$137,5,FALSE)</f>
        <v>0</v>
      </c>
      <c r="G46" s="136" t="s">
        <v>66</v>
      </c>
    </row>
    <row r="47" spans="1:7" ht="51">
      <c r="A47" s="132">
        <f t="shared" si="0"/>
        <v>39</v>
      </c>
      <c r="B47" s="133" t="str">
        <f>VLOOKUP(A47,'CHK Técnico-AS400'!$A$18:$I$137,4,FALSE)</f>
        <v>Estandarización</v>
      </c>
      <c r="C47" s="133" t="str">
        <f>VLOOKUP(A47,'CHK Técnico-AS400'!$A$18:$I$137,3,FALSE)</f>
        <v>En caso de error el cursor se ubica en el campo con error y este se muestra con contraste invertido</v>
      </c>
      <c r="D47" s="134">
        <f>VLOOKUP(A47,'CHK Técnico-AS400'!$A$18:$I$137,9,FALSE)</f>
        <v>44900</v>
      </c>
      <c r="E47" s="135">
        <f>VLOOKUP(A47,'CHK Técnico-AS400'!$A$18:$I$137,6,FALSE)</f>
        <v>0</v>
      </c>
      <c r="F47" s="135">
        <f>VLOOKUP(A47,'CHK Técnico-AS400'!$A$18:$I$137,5,FALSE)</f>
        <v>0</v>
      </c>
      <c r="G47" s="136" t="s">
        <v>66</v>
      </c>
    </row>
    <row r="48" spans="1:7" ht="38.25">
      <c r="A48" s="132">
        <f t="shared" si="0"/>
        <v>40</v>
      </c>
      <c r="B48" s="133" t="str">
        <f>VLOOKUP(A48,'CHK Técnico-AS400'!$A$18:$I$137,4,FALSE)</f>
        <v>Estandarización</v>
      </c>
      <c r="C48" s="133" t="str">
        <f>VLOOKUP(A48,'CHK Técnico-AS400'!$A$18:$I$137,3,FALSE)</f>
        <v>Validar que las pantallas sean invocadas en el programa</v>
      </c>
      <c r="D48" s="134">
        <f>VLOOKUP(A48,'CHK Técnico-AS400'!$A$18:$I$137,9,FALSE)</f>
        <v>44900</v>
      </c>
      <c r="E48" s="135">
        <f>VLOOKUP(A48,'CHK Técnico-AS400'!$A$18:$I$137,6,FALSE)</f>
        <v>0</v>
      </c>
      <c r="F48" s="135">
        <f>VLOOKUP(A48,'CHK Técnico-AS400'!$A$18:$I$137,5,FALSE)</f>
        <v>0</v>
      </c>
      <c r="G48" s="136" t="s">
        <v>66</v>
      </c>
    </row>
    <row r="49" spans="1:7" ht="38.25">
      <c r="A49" s="132">
        <f t="shared" si="0"/>
        <v>41</v>
      </c>
      <c r="B49" s="133" t="str">
        <f>VLOOKUP(A49,'CHK Técnico-AS400'!$A$18:$I$137,4,FALSE)</f>
        <v>Estandarización</v>
      </c>
      <c r="C49" s="133" t="str">
        <f>VLOOKUP(A49,'CHK Técnico-AS400'!$A$18:$I$137,3,FALSE)</f>
        <v xml:space="preserve">Pantallas no generadas por Snap están ubicadas en archivo fuente QDDISRC </v>
      </c>
      <c r="D49" s="134">
        <f>VLOOKUP(A49,'CHK Técnico-AS400'!$A$18:$I$137,9,FALSE)</f>
        <v>44900</v>
      </c>
      <c r="E49" s="135">
        <f>VLOOKUP(A49,'CHK Técnico-AS400'!$A$18:$I$137,6,FALSE)</f>
        <v>0</v>
      </c>
      <c r="F49" s="135">
        <f>VLOOKUP(A49,'CHK Técnico-AS400'!$A$18:$I$137,5,FALSE)</f>
        <v>0</v>
      </c>
      <c r="G49" s="136" t="s">
        <v>66</v>
      </c>
    </row>
    <row r="50" spans="1:7">
      <c r="A50" s="132">
        <f t="shared" si="0"/>
        <v>42</v>
      </c>
      <c r="B50" s="133">
        <f>VLOOKUP(A50,'CHK Técnico-AS400'!$A$18:$I$137,4,FALSE)</f>
        <v>0</v>
      </c>
      <c r="C50" s="133">
        <f>VLOOKUP(A50,'CHK Técnico-AS400'!$A$18:$I$137,3,FALSE)</f>
        <v>0</v>
      </c>
      <c r="D50" s="134">
        <f>VLOOKUP(A50,'CHK Técnico-AS400'!$A$18:$I$137,9,FALSE)</f>
        <v>0</v>
      </c>
      <c r="E50" s="135">
        <f>VLOOKUP(A50,'CHK Técnico-AS400'!$A$18:$I$137,6,FALSE)</f>
        <v>0</v>
      </c>
      <c r="F50" s="135">
        <f>VLOOKUP(A50,'CHK Técnico-AS400'!$A$18:$I$137,5,FALSE)</f>
        <v>0</v>
      </c>
      <c r="G50" s="136" t="s">
        <v>66</v>
      </c>
    </row>
    <row r="51" spans="1:7" ht="25.5">
      <c r="A51" s="132">
        <f t="shared" si="0"/>
        <v>43</v>
      </c>
      <c r="B51" s="133" t="str">
        <f>VLOOKUP(A51,'CHK Técnico-AS400'!$A$18:$I$137,4,FALSE)</f>
        <v>Estandarización</v>
      </c>
      <c r="C51" s="133" t="str">
        <f>VLOOKUP(A51,'CHK Técnico-AS400'!$A$18:$I$137,3,FALSE)</f>
        <v>Manejo estándar de cabecera de reporte</v>
      </c>
      <c r="D51" s="134">
        <f>VLOOKUP(A51,'CHK Técnico-AS400'!$A$18:$I$137,9,FALSE)</f>
        <v>44900</v>
      </c>
      <c r="E51" s="135">
        <f>VLOOKUP(A51,'CHK Técnico-AS400'!$A$18:$I$137,6,FALSE)</f>
        <v>0</v>
      </c>
      <c r="F51" s="135">
        <f>VLOOKUP(A51,'CHK Técnico-AS400'!$A$18:$I$137,5,FALSE)</f>
        <v>0</v>
      </c>
      <c r="G51" s="136" t="s">
        <v>66</v>
      </c>
    </row>
    <row r="52" spans="1:7" ht="38.25">
      <c r="A52" s="132">
        <f t="shared" si="0"/>
        <v>44</v>
      </c>
      <c r="B52" s="133" t="str">
        <f>VLOOKUP(A52,'CHK Técnico-AS400'!$A$18:$I$137,4,FALSE)</f>
        <v>Estandarización</v>
      </c>
      <c r="C52" s="133" t="str">
        <f>VLOOKUP(A52,'CHK Técnico-AS400'!$A$18:$I$137,3,FALSE)</f>
        <v>Validar que los formatos de impresión sean invocados en el programa</v>
      </c>
      <c r="D52" s="134">
        <f>VLOOKUP(A52,'CHK Técnico-AS400'!$A$18:$I$137,9,FALSE)</f>
        <v>44900</v>
      </c>
      <c r="E52" s="135">
        <f>VLOOKUP(A52,'CHK Técnico-AS400'!$A$18:$I$137,6,FALSE)</f>
        <v>0</v>
      </c>
      <c r="F52" s="135">
        <f>VLOOKUP(A52,'CHK Técnico-AS400'!$A$18:$I$137,5,FALSE)</f>
        <v>0</v>
      </c>
      <c r="G52" s="136" t="s">
        <v>66</v>
      </c>
    </row>
    <row r="53" spans="1:7">
      <c r="A53" s="132">
        <f t="shared" si="0"/>
        <v>45</v>
      </c>
      <c r="B53" s="133">
        <f>VLOOKUP(A53,'CHK Técnico-AS400'!$A$18:$I$137,4,FALSE)</f>
        <v>0</v>
      </c>
      <c r="C53" s="133">
        <f>VLOOKUP(A53,'CHK Técnico-AS400'!$A$18:$I$137,3,FALSE)</f>
        <v>0</v>
      </c>
      <c r="D53" s="134">
        <f>VLOOKUP(A53,'CHK Técnico-AS400'!$A$18:$I$137,9,FALSE)</f>
        <v>0</v>
      </c>
      <c r="E53" s="135">
        <f>VLOOKUP(A53,'CHK Técnico-AS400'!$A$18:$I$137,6,FALSE)</f>
        <v>0</v>
      </c>
      <c r="F53" s="135">
        <f>VLOOKUP(A53,'CHK Técnico-AS400'!$A$18:$I$137,5,FALSE)</f>
        <v>0</v>
      </c>
      <c r="G53" s="136" t="s">
        <v>66</v>
      </c>
    </row>
    <row r="54" spans="1:7" ht="38.25">
      <c r="A54" s="132">
        <f t="shared" si="0"/>
        <v>46</v>
      </c>
      <c r="B54" s="133" t="str">
        <f>VLOOKUP(A54,'CHK Técnico-AS400'!$A$18:$I$137,4,FALSE)</f>
        <v>Estandarización</v>
      </c>
      <c r="C54" s="133" t="str">
        <f>VLOOKUP(A54,'CHK Técnico-AS400'!$A$18:$I$137,3,FALSE)</f>
        <v>Uso de rutina INICIA con llamadas a RPVALSIS, TRINIFYP y TRVALSEG</v>
      </c>
      <c r="D54" s="134">
        <f>VLOOKUP(A54,'CHK Técnico-AS400'!$A$18:$I$137,9,FALSE)</f>
        <v>44900</v>
      </c>
      <c r="E54" s="135">
        <f>VLOOKUP(A54,'CHK Técnico-AS400'!$A$18:$I$137,6,FALSE)</f>
        <v>0</v>
      </c>
      <c r="F54" s="135">
        <f>VLOOKUP(A54,'CHK Técnico-AS400'!$A$18:$I$137,5,FALSE)</f>
        <v>0</v>
      </c>
      <c r="G54" s="136" t="s">
        <v>66</v>
      </c>
    </row>
    <row r="55" spans="1:7" ht="76.5">
      <c r="A55" s="132">
        <f t="shared" si="0"/>
        <v>47</v>
      </c>
      <c r="B55" s="133" t="str">
        <f>VLOOKUP(A55,'CHK Técnico-AS400'!$A$18:$I$137,4,FALSE)</f>
        <v>Estandarización</v>
      </c>
      <c r="C55" s="133" t="str">
        <f>VLOOKUP(A55,'CHK Técnico-AS400'!$A$18:$I$137,3,FALSE)</f>
        <v>Existe descripción del cambio en la rutina INICIA según formato previsto (Tomar Formato del modulo INICIA del programa MASCARA)</v>
      </c>
      <c r="D55" s="134">
        <f>VLOOKUP(A55,'CHK Técnico-AS400'!$A$18:$I$137,9,FALSE)</f>
        <v>44900</v>
      </c>
      <c r="E55" s="135">
        <f>VLOOKUP(A55,'CHK Técnico-AS400'!$A$18:$I$137,6,FALSE)</f>
        <v>0</v>
      </c>
      <c r="F55" s="135">
        <f>VLOOKUP(A55,'CHK Técnico-AS400'!$A$18:$I$137,5,FALSE)</f>
        <v>0</v>
      </c>
      <c r="G55" s="136" t="s">
        <v>66</v>
      </c>
    </row>
    <row r="56" spans="1:7" ht="38.25">
      <c r="A56" s="132">
        <f t="shared" si="0"/>
        <v>48</v>
      </c>
      <c r="B56" s="133" t="str">
        <f>VLOOKUP(A56,'CHK Técnico-AS400'!$A$18:$I$137,4,FALSE)</f>
        <v>Estandarización</v>
      </c>
      <c r="C56" s="133" t="str">
        <f>VLOOKUP(A56,'CHK Técnico-AS400'!$A$18:$I$137,3,FALSE)</f>
        <v>Todas las rutinas que no son MAIN son llamadas por otra rutina</v>
      </c>
      <c r="D56" s="134">
        <f>VLOOKUP(A56,'CHK Técnico-AS400'!$A$18:$I$137,9,FALSE)</f>
        <v>44900</v>
      </c>
      <c r="E56" s="135">
        <f>VLOOKUP(A56,'CHK Técnico-AS400'!$A$18:$I$137,6,FALSE)</f>
        <v>0</v>
      </c>
      <c r="F56" s="135">
        <f>VLOOKUP(A56,'CHK Técnico-AS400'!$A$18:$I$137,5,FALSE)</f>
        <v>0</v>
      </c>
      <c r="G56" s="136" t="s">
        <v>66</v>
      </c>
    </row>
    <row r="57" spans="1:7" ht="38.25">
      <c r="A57" s="132">
        <f t="shared" si="0"/>
        <v>49</v>
      </c>
      <c r="B57" s="133" t="str">
        <f>VLOOKUP(A57,'CHK Técnico-AS400'!$A$18:$I$137,4,FALSE)</f>
        <v>Estandarización</v>
      </c>
      <c r="C57" s="133" t="str">
        <f>VLOOKUP(A57,'CHK Técnico-AS400'!$A$18:$I$137,3,FALSE)</f>
        <v>Rutinas complejas cuentan con textos de apoyo (autodocumentación)</v>
      </c>
      <c r="D57" s="134">
        <f>VLOOKUP(A57,'CHK Técnico-AS400'!$A$18:$I$137,9,FALSE)</f>
        <v>44900</v>
      </c>
      <c r="E57" s="135">
        <f>VLOOKUP(A57,'CHK Técnico-AS400'!$A$18:$I$137,6,FALSE)</f>
        <v>0</v>
      </c>
      <c r="F57" s="135">
        <f>VLOOKUP(A57,'CHK Técnico-AS400'!$A$18:$I$137,5,FALSE)</f>
        <v>0</v>
      </c>
      <c r="G57" s="136" t="s">
        <v>66</v>
      </c>
    </row>
    <row r="58" spans="1:7" ht="38.25">
      <c r="A58" s="132">
        <f t="shared" si="0"/>
        <v>50</v>
      </c>
      <c r="B58" s="133" t="str">
        <f>VLOOKUP(A58,'CHK Técnico-AS400'!$A$18:$I$137,4,FALSE)</f>
        <v>Técnico</v>
      </c>
      <c r="C58" s="133" t="str">
        <f>VLOOKUP(A58,'CHK Técnico-AS400'!$A$18:$I$137,3,FALSE)</f>
        <v>Búsquedas en archivos haciendo uso de los índices de la manera más eficiente</v>
      </c>
      <c r="D58" s="134">
        <f>VLOOKUP(A58,'CHK Técnico-AS400'!$A$18:$I$137,9,FALSE)</f>
        <v>44900</v>
      </c>
      <c r="E58" s="135">
        <f>VLOOKUP(A58,'CHK Técnico-AS400'!$A$18:$I$137,6,FALSE)</f>
        <v>0</v>
      </c>
      <c r="F58" s="135">
        <f>VLOOKUP(A58,'CHK Técnico-AS400'!$A$18:$I$137,5,FALSE)</f>
        <v>0</v>
      </c>
      <c r="G58" s="136" t="s">
        <v>66</v>
      </c>
    </row>
    <row r="59" spans="1:7" ht="38.25">
      <c r="A59" s="132">
        <f t="shared" si="0"/>
        <v>51</v>
      </c>
      <c r="B59" s="133" t="str">
        <f>VLOOKUP(A59,'CHK Técnico-AS400'!$A$18:$I$137,4,FALSE)</f>
        <v>Estandarización</v>
      </c>
      <c r="C59" s="133" t="str">
        <f>VLOOKUP(A59,'CHK Técnico-AS400'!$A$18:$I$137,3,FALSE)</f>
        <v xml:space="preserve">Programas no generadas por Snap están ubicadas en archivo fuente QRPISRC </v>
      </c>
      <c r="D59" s="134">
        <f>VLOOKUP(A59,'CHK Técnico-AS400'!$A$18:$I$137,9,FALSE)</f>
        <v>44900</v>
      </c>
      <c r="E59" s="135">
        <f>VLOOKUP(A59,'CHK Técnico-AS400'!$A$18:$I$137,6,FALSE)</f>
        <v>0</v>
      </c>
      <c r="F59" s="135">
        <f>VLOOKUP(A59,'CHK Técnico-AS400'!$A$18:$I$137,5,FALSE)</f>
        <v>0</v>
      </c>
      <c r="G59" s="136" t="s">
        <v>66</v>
      </c>
    </row>
    <row r="60" spans="1:7">
      <c r="A60" s="132">
        <f t="shared" si="0"/>
        <v>52</v>
      </c>
      <c r="B60" s="133">
        <f>VLOOKUP(A60,'CHK Técnico-AS400'!$A$18:$I$137,4,FALSE)</f>
        <v>0</v>
      </c>
      <c r="C60" s="133">
        <f>VLOOKUP(A60,'CHK Técnico-AS400'!$A$18:$I$137,3,FALSE)</f>
        <v>0</v>
      </c>
      <c r="D60" s="134">
        <f>VLOOKUP(A60,'CHK Técnico-AS400'!$A$18:$I$137,9,FALSE)</f>
        <v>0</v>
      </c>
      <c r="E60" s="135">
        <f>VLOOKUP(A60,'CHK Técnico-AS400'!$A$18:$I$137,6,FALSE)</f>
        <v>0</v>
      </c>
      <c r="F60" s="135">
        <f>VLOOKUP(A60,'CHK Técnico-AS400'!$A$18:$I$137,5,FALSE)</f>
        <v>0</v>
      </c>
      <c r="G60" s="136" t="s">
        <v>66</v>
      </c>
    </row>
    <row r="61" spans="1:7" ht="38.25">
      <c r="A61" s="132">
        <f t="shared" si="0"/>
        <v>53</v>
      </c>
      <c r="B61" s="133" t="str">
        <f>VLOOKUP(A61,'CHK Técnico-AS400'!$A$18:$I$137,4,FALSE)</f>
        <v>Estandarización</v>
      </c>
      <c r="C61" s="133" t="str">
        <f>VLOOKUP(A61,'CHK Técnico-AS400'!$A$18:$I$137,3,FALSE)</f>
        <v>Existe descripción del cambio en la parte superior del fuente</v>
      </c>
      <c r="D61" s="134">
        <f>VLOOKUP(A61,'CHK Técnico-AS400'!$A$18:$I$137,9,FALSE)</f>
        <v>44900</v>
      </c>
      <c r="E61" s="135">
        <f>VLOOKUP(A61,'CHK Técnico-AS400'!$A$18:$I$137,6,FALSE)</f>
        <v>0</v>
      </c>
      <c r="F61" s="135">
        <f>VLOOKUP(A61,'CHK Técnico-AS400'!$A$18:$I$137,5,FALSE)</f>
        <v>0</v>
      </c>
      <c r="G61" s="136" t="s">
        <v>66</v>
      </c>
    </row>
    <row r="62" spans="1:7" ht="38.25">
      <c r="A62" s="132">
        <f t="shared" si="0"/>
        <v>54</v>
      </c>
      <c r="B62" s="133" t="str">
        <f>VLOOKUP(A62,'CHK Técnico-AS400'!$A$18:$I$137,4,FALSE)</f>
        <v>Estandarización</v>
      </c>
      <c r="C62" s="133" t="str">
        <f>VLOOKUP(A62,'CHK Técnico-AS400'!$A$18:$I$137,3,FALSE)</f>
        <v>CLs de ejecución Batch terminan enviando SNDBRKMSG</v>
      </c>
      <c r="D62" s="134">
        <f>VLOOKUP(A62,'CHK Técnico-AS400'!$A$18:$I$137,9,FALSE)</f>
        <v>44900</v>
      </c>
      <c r="E62" s="135">
        <f>VLOOKUP(A62,'CHK Técnico-AS400'!$A$18:$I$137,6,FALSE)</f>
        <v>0</v>
      </c>
      <c r="F62" s="135">
        <f>VLOOKUP(A62,'CHK Técnico-AS400'!$A$18:$I$137,5,FALSE)</f>
        <v>0</v>
      </c>
      <c r="G62" s="136" t="s">
        <v>66</v>
      </c>
    </row>
    <row r="63" spans="1:7" ht="51">
      <c r="A63" s="132">
        <f t="shared" si="0"/>
        <v>55</v>
      </c>
      <c r="B63" s="133" t="str">
        <f>VLOOKUP(A63,'CHK Técnico-AS400'!$A$18:$I$137,4,FALSE)</f>
        <v>Estandarización</v>
      </c>
      <c r="C63" s="133" t="str">
        <f>VLOOKUP(A63,'CHK Técnico-AS400'!$A$18:$I$137,3,FALSE)</f>
        <v>CLs no manipula lista de Bibliotecas con CHGLIBL, ni invocar programas especificando biblioteca</v>
      </c>
      <c r="D63" s="134">
        <f>VLOOKUP(A63,'CHK Técnico-AS400'!$A$18:$I$137,9,FALSE)</f>
        <v>44900</v>
      </c>
      <c r="E63" s="135">
        <f>VLOOKUP(A63,'CHK Técnico-AS400'!$A$18:$I$137,6,FALSE)</f>
        <v>0</v>
      </c>
      <c r="F63" s="135">
        <f>VLOOKUP(A63,'CHK Técnico-AS400'!$A$18:$I$137,5,FALSE)</f>
        <v>0</v>
      </c>
      <c r="G63" s="136" t="s">
        <v>66</v>
      </c>
    </row>
    <row r="64" spans="1:7" ht="25.5">
      <c r="A64" s="132">
        <f t="shared" si="0"/>
        <v>56</v>
      </c>
      <c r="B64" s="133" t="str">
        <f>VLOOKUP(A64,'CHK Técnico-AS400'!$A$18:$I$137,4,FALSE)</f>
        <v>Estandarización</v>
      </c>
      <c r="C64" s="133" t="str">
        <f>VLOOKUP(A64,'CHK Técnico-AS400'!$A$18:$I$137,3,FALSE)</f>
        <v>Fuentes se encuentran en Origen Estándar (QCLISRC)</v>
      </c>
      <c r="D64" s="134">
        <f>VLOOKUP(A64,'CHK Técnico-AS400'!$A$18:$I$137,9,FALSE)</f>
        <v>44900</v>
      </c>
      <c r="E64" s="135">
        <f>VLOOKUP(A64,'CHK Técnico-AS400'!$A$18:$I$137,6,FALSE)</f>
        <v>0</v>
      </c>
      <c r="F64" s="135">
        <f>VLOOKUP(A64,'CHK Técnico-AS400'!$A$18:$I$137,5,FALSE)</f>
        <v>0</v>
      </c>
      <c r="G64" s="136" t="s">
        <v>66</v>
      </c>
    </row>
    <row r="65" spans="1:7" ht="76.5">
      <c r="A65" s="132">
        <f t="shared" si="0"/>
        <v>57</v>
      </c>
      <c r="B65" s="133" t="str">
        <f>VLOOKUP(A65,'CHK Técnico-AS400'!$A$18:$I$137,4,FALSE)</f>
        <v>Estandarización</v>
      </c>
      <c r="C65" s="133" t="str">
        <f>VLOOKUP(A65,'CHK Técnico-AS400'!$A$18:$I$137,3,FALSE)</f>
        <v>El programa (CL 1) que llame a la submisión del job deberá obtener el nombre del job interactivo (sesión) que lo submite mediante el comando RTVJOBA</v>
      </c>
      <c r="D65" s="134">
        <f>VLOOKUP(A65,'CHK Técnico-AS400'!$A$18:$I$137,9,FALSE)</f>
        <v>44900</v>
      </c>
      <c r="E65" s="135">
        <f>VLOOKUP(A65,'CHK Técnico-AS400'!$A$18:$I$137,6,FALSE)</f>
        <v>0</v>
      </c>
      <c r="F65" s="135">
        <f>VLOOKUP(A65,'CHK Técnico-AS400'!$A$18:$I$137,5,FALSE)</f>
        <v>0</v>
      </c>
      <c r="G65" s="136" t="s">
        <v>66</v>
      </c>
    </row>
    <row r="66" spans="1:7" ht="89.25">
      <c r="A66" s="132">
        <f t="shared" si="0"/>
        <v>58</v>
      </c>
      <c r="B66" s="133" t="str">
        <f>VLOOKUP(A66,'CHK Técnico-AS400'!$A$18:$I$137,4,FALSE)</f>
        <v>Estandarización</v>
      </c>
      <c r="C66" s="133" t="str">
        <f>VLOOKUP(A66,'CHK Técnico-AS400'!$A$18:$I$137,3,FALSE)</f>
        <v xml:space="preserve">El programa (CL 1) llamará a la ejecución del job (CL 2) mediante el comando SBMJOB pasando como parámetro el nombre del job interactivo que submite y LOG(4 00 *SECLVL) </v>
      </c>
      <c r="D66" s="134">
        <f>VLOOKUP(A66,'CHK Técnico-AS400'!$A$18:$I$137,9,FALSE)</f>
        <v>44900</v>
      </c>
      <c r="E66" s="135">
        <f>VLOOKUP(A66,'CHK Técnico-AS400'!$A$18:$I$137,6,FALSE)</f>
        <v>0</v>
      </c>
      <c r="F66" s="135">
        <f>VLOOKUP(A66,'CHK Técnico-AS400'!$A$18:$I$137,5,FALSE)</f>
        <v>0</v>
      </c>
      <c r="G66" s="136" t="s">
        <v>66</v>
      </c>
    </row>
    <row r="67" spans="1:7" ht="25.5">
      <c r="A67" s="132">
        <f t="shared" si="0"/>
        <v>59</v>
      </c>
      <c r="B67" s="133" t="str">
        <f>VLOOKUP(A67,'CHK Técnico-AS400'!$A$18:$I$137,4,FALSE)</f>
        <v>Estandarización</v>
      </c>
      <c r="C67" s="133" t="str">
        <f>VLOOKUP(A67,'CHK Técnico-AS400'!$A$18:$I$137,3,FALSE)</f>
        <v>Todas las nuevas variables tienen descripción</v>
      </c>
      <c r="D67" s="134">
        <f>VLOOKUP(A67,'CHK Técnico-AS400'!$A$18:$I$137,9,FALSE)</f>
        <v>44900</v>
      </c>
      <c r="E67" s="135">
        <f>VLOOKUP(A67,'CHK Técnico-AS400'!$A$18:$I$137,6,FALSE)</f>
        <v>0</v>
      </c>
      <c r="F67" s="135">
        <f>VLOOKUP(A67,'CHK Técnico-AS400'!$A$18:$I$137,5,FALSE)</f>
        <v>0</v>
      </c>
      <c r="G67" s="136" t="s">
        <v>66</v>
      </c>
    </row>
    <row r="68" spans="1:7">
      <c r="A68" s="132">
        <f t="shared" si="0"/>
        <v>60</v>
      </c>
      <c r="B68" s="133">
        <f>VLOOKUP(A68,'CHK Técnico-AS400'!$A$18:$I$137,4,FALSE)</f>
        <v>0</v>
      </c>
      <c r="C68" s="133">
        <f>VLOOKUP(A68,'CHK Técnico-AS400'!$A$18:$I$137,3,FALSE)</f>
        <v>0</v>
      </c>
      <c r="D68" s="134">
        <f>VLOOKUP(A68,'CHK Técnico-AS400'!$A$18:$I$137,9,FALSE)</f>
        <v>0</v>
      </c>
      <c r="E68" s="135">
        <f>VLOOKUP(A68,'CHK Técnico-AS400'!$A$18:$I$137,6,FALSE)</f>
        <v>0</v>
      </c>
      <c r="F68" s="135">
        <f>VLOOKUP(A68,'CHK Técnico-AS400'!$A$18:$I$137,5,FALSE)</f>
        <v>0</v>
      </c>
      <c r="G68" s="136" t="s">
        <v>66</v>
      </c>
    </row>
    <row r="69" spans="1:7" ht="51">
      <c r="A69" s="132">
        <f t="shared" si="0"/>
        <v>61</v>
      </c>
      <c r="B69" s="133" t="str">
        <f>VLOOKUP(A69,'CHK Técnico-AS400'!$A$18:$I$137,4,FALSE)</f>
        <v>Estandarización</v>
      </c>
      <c r="C69" s="133" t="str">
        <f>VLOOKUP(A69,'CHK Técnico-AS400'!$A$18:$I$137,3,FALSE)</f>
        <v>Para nuevos archivos maestros y permanentes se respeta la 3ra. Forma Normal</v>
      </c>
      <c r="D69" s="134">
        <f>VLOOKUP(A69,'CHK Técnico-AS400'!$A$18:$I$137,9,FALSE)</f>
        <v>44900</v>
      </c>
      <c r="E69" s="135">
        <f>VLOOKUP(A69,'CHK Técnico-AS400'!$A$18:$I$137,6,FALSE)</f>
        <v>0</v>
      </c>
      <c r="F69" s="135">
        <f>VLOOKUP(A69,'CHK Técnico-AS400'!$A$18:$I$137,5,FALSE)</f>
        <v>0</v>
      </c>
      <c r="G69" s="136" t="s">
        <v>66</v>
      </c>
    </row>
    <row r="70" spans="1:7" ht="38.25">
      <c r="A70" s="132">
        <f t="shared" si="0"/>
        <v>62</v>
      </c>
      <c r="B70" s="133" t="str">
        <f>VLOOKUP(A70,'CHK Técnico-AS400'!$A$18:$I$137,4,FALSE)</f>
        <v>Estandarización</v>
      </c>
      <c r="C70" s="133" t="str">
        <f>VLOOKUP(A70,'CHK Técnico-AS400'!$A$18:$I$137,3,FALSE)</f>
        <v>Para los campos solo se usa tipos CHAR, PACKED o ZONED</v>
      </c>
      <c r="D70" s="134">
        <f>VLOOKUP(A70,'CHK Técnico-AS400'!$A$18:$I$137,9,FALSE)</f>
        <v>44900</v>
      </c>
      <c r="E70" s="135">
        <f>VLOOKUP(A70,'CHK Técnico-AS400'!$A$18:$I$137,6,FALSE)</f>
        <v>0</v>
      </c>
      <c r="F70" s="135">
        <f>VLOOKUP(A70,'CHK Técnico-AS400'!$A$18:$I$137,5,FALSE)</f>
        <v>0</v>
      </c>
      <c r="G70" s="136" t="s">
        <v>66</v>
      </c>
    </row>
    <row r="71" spans="1:7" ht="51">
      <c r="A71" s="132">
        <f t="shared" si="0"/>
        <v>63</v>
      </c>
      <c r="B71" s="133" t="str">
        <f>VLOOKUP(A71,'CHK Técnico-AS400'!$A$18:$I$137,4,FALSE)</f>
        <v>Estandarización</v>
      </c>
      <c r="C71" s="133" t="str">
        <f>VLOOKUP(A71,'CHK Técnico-AS400'!$A$18:$I$137,3,FALSE)</f>
        <v>Campos fecha en CHAR(8) formato AAAAMMDD y Periodo en CHAR(6) formato AAAAMM</v>
      </c>
      <c r="D71" s="134">
        <f>VLOOKUP(A71,'CHK Técnico-AS400'!$A$18:$I$137,9,FALSE)</f>
        <v>44900</v>
      </c>
      <c r="E71" s="135">
        <f>VLOOKUP(A71,'CHK Técnico-AS400'!$A$18:$I$137,6,FALSE)</f>
        <v>0</v>
      </c>
      <c r="F71" s="135">
        <f>VLOOKUP(A71,'CHK Técnico-AS400'!$A$18:$I$137,5,FALSE)</f>
        <v>0</v>
      </c>
      <c r="G71" s="136" t="s">
        <v>66</v>
      </c>
    </row>
    <row r="72" spans="1:7" ht="38.25">
      <c r="A72" s="132">
        <f t="shared" si="0"/>
        <v>64</v>
      </c>
      <c r="B72" s="133" t="str">
        <f>VLOOKUP(A72,'CHK Técnico-AS400'!$A$18:$I$137,4,FALSE)</f>
        <v>Estandarización</v>
      </c>
      <c r="C72" s="133" t="str">
        <f>VLOOKUP(A72,'CHK Técnico-AS400'!$A$18:$I$137,3,FALSE)</f>
        <v>Montos monetarios en PACKED con 13 enteros y 2 decimales</v>
      </c>
      <c r="D72" s="134">
        <f>VLOOKUP(A72,'CHK Técnico-AS400'!$A$18:$I$137,9,FALSE)</f>
        <v>44900</v>
      </c>
      <c r="E72" s="135">
        <f>VLOOKUP(A72,'CHK Técnico-AS400'!$A$18:$I$137,6,FALSE)</f>
        <v>0</v>
      </c>
      <c r="F72" s="135">
        <f>VLOOKUP(A72,'CHK Técnico-AS400'!$A$18:$I$137,5,FALSE)</f>
        <v>0</v>
      </c>
      <c r="G72" s="136" t="s">
        <v>66</v>
      </c>
    </row>
    <row r="73" spans="1:7" ht="51">
      <c r="A73" s="132">
        <f t="shared" si="0"/>
        <v>65</v>
      </c>
      <c r="B73" s="133" t="str">
        <f>VLOOKUP(A73,'CHK Técnico-AS400'!$A$18:$I$137,4,FALSE)</f>
        <v>Estandarización</v>
      </c>
      <c r="C73" s="133" t="str">
        <f>VLOOKUP(A73,'CHK Técnico-AS400'!$A$18:$I$137,3,FALSE)</f>
        <v>Cuando se requiere auditoria de cambios al archivo, se guarda fecha, hora y usuario actualización</v>
      </c>
      <c r="D73" s="134">
        <f>VLOOKUP(A73,'CHK Técnico-AS400'!$A$18:$I$137,9,FALSE)</f>
        <v>44900</v>
      </c>
      <c r="E73" s="135">
        <f>VLOOKUP(A73,'CHK Técnico-AS400'!$A$18:$I$137,6,FALSE)</f>
        <v>0</v>
      </c>
      <c r="F73" s="135">
        <f>VLOOKUP(A73,'CHK Técnico-AS400'!$A$18:$I$137,5,FALSE)</f>
        <v>0</v>
      </c>
      <c r="G73" s="136" t="s">
        <v>66</v>
      </c>
    </row>
    <row r="74" spans="1:7" ht="38.25">
      <c r="A74" s="132">
        <f t="shared" ref="A74:A85" si="1">A73+1</f>
        <v>66</v>
      </c>
      <c r="B74" s="133" t="str">
        <f>VLOOKUP(A74,'CHK Técnico-AS400'!$A$18:$I$137,4,FALSE)</f>
        <v>Estandarización</v>
      </c>
      <c r="C74" s="133" t="str">
        <f>VLOOKUP(A74,'CHK Técnico-AS400'!$A$18:$I$137,3,FALSE)</f>
        <v>Se ha establecido vistas que permitan acotar las búsquedas más comunes</v>
      </c>
      <c r="D74" s="134">
        <f>VLOOKUP(A74,'CHK Técnico-AS400'!$A$18:$I$137,9,FALSE)</f>
        <v>44900</v>
      </c>
      <c r="E74" s="135">
        <f>VLOOKUP(A74,'CHK Técnico-AS400'!$A$18:$I$137,6,FALSE)</f>
        <v>0</v>
      </c>
      <c r="F74" s="135">
        <f>VLOOKUP(A74,'CHK Técnico-AS400'!$A$18:$I$137,5,FALSE)</f>
        <v>0</v>
      </c>
      <c r="G74" s="136" t="s">
        <v>66</v>
      </c>
    </row>
    <row r="75" spans="1:7" ht="51">
      <c r="A75" s="132">
        <f t="shared" si="1"/>
        <v>67</v>
      </c>
      <c r="B75" s="133" t="str">
        <f>VLOOKUP(A75,'CHK Técnico-AS400'!$A$18:$I$137,4,FALSE)</f>
        <v>Estandarización</v>
      </c>
      <c r="C75" s="133" t="str">
        <f>VLOOKUP(A75,'CHK Técnico-AS400'!$A$18:$I$137,3,FALSE)</f>
        <v>Se ha colocado el nombre de la entidad creada en las 6 ultimas posiciones de la descripción.</v>
      </c>
      <c r="D75" s="134">
        <f>VLOOKUP(A75,'CHK Técnico-AS400'!$A$18:$I$137,9,FALSE)</f>
        <v>44900</v>
      </c>
      <c r="E75" s="135">
        <f>VLOOKUP(A75,'CHK Técnico-AS400'!$A$18:$I$137,6,FALSE)</f>
        <v>0</v>
      </c>
      <c r="F75" s="135">
        <f>VLOOKUP(A75,'CHK Técnico-AS400'!$A$18:$I$137,5,FALSE)</f>
        <v>0</v>
      </c>
      <c r="G75" s="136" t="s">
        <v>66</v>
      </c>
    </row>
    <row r="76" spans="1:7">
      <c r="A76" s="132">
        <f t="shared" si="1"/>
        <v>68</v>
      </c>
      <c r="B76" s="133">
        <f>VLOOKUP(A76,'CHK Técnico-AS400'!$A$18:$I$137,4,FALSE)</f>
        <v>0</v>
      </c>
      <c r="C76" s="133">
        <f>VLOOKUP(A76,'CHK Técnico-AS400'!$A$18:$I$137,3,FALSE)</f>
        <v>0</v>
      </c>
      <c r="D76" s="134">
        <f>VLOOKUP(A76,'CHK Técnico-AS400'!$A$18:$I$137,9,FALSE)</f>
        <v>0</v>
      </c>
      <c r="E76" s="135">
        <f>VLOOKUP(A76,'CHK Técnico-AS400'!$A$18:$I$137,6,FALSE)</f>
        <v>0</v>
      </c>
      <c r="F76" s="135">
        <f>VLOOKUP(A76,'CHK Técnico-AS400'!$A$18:$I$137,5,FALSE)</f>
        <v>0</v>
      </c>
      <c r="G76" s="136" t="s">
        <v>66</v>
      </c>
    </row>
    <row r="77" spans="1:7" ht="38.25">
      <c r="A77" s="132">
        <f t="shared" si="1"/>
        <v>69</v>
      </c>
      <c r="B77" s="133" t="str">
        <f>VLOOKUP(A77,'CHK Técnico-AS400'!$A$18:$I$137,4,FALSE)</f>
        <v>Estandarización</v>
      </c>
      <c r="C77" s="133" t="str">
        <f>VLOOKUP(A77,'CHK Técnico-AS400'!$A$18:$I$137,3,FALSE)</f>
        <v>Los fuentes están ubicados en el archivo fuente QSQLSRC</v>
      </c>
      <c r="D77" s="134">
        <f>VLOOKUP(A77,'CHK Técnico-AS400'!$A$18:$I$137,9,FALSE)</f>
        <v>44900</v>
      </c>
      <c r="E77" s="135">
        <f>VLOOKUP(A77,'CHK Técnico-AS400'!$A$18:$I$137,6,FALSE)</f>
        <v>0</v>
      </c>
      <c r="F77" s="135">
        <f>VLOOKUP(A77,'CHK Técnico-AS400'!$A$18:$I$137,5,FALSE)</f>
        <v>0</v>
      </c>
      <c r="G77" s="136" t="s">
        <v>66</v>
      </c>
    </row>
    <row r="78" spans="1:7" ht="25.5">
      <c r="A78" s="132">
        <f t="shared" si="1"/>
        <v>70</v>
      </c>
      <c r="B78" s="133" t="str">
        <f>VLOOKUP(A78,'CHK Técnico-AS400'!$A$18:$I$137,4,FALSE)</f>
        <v>Estandarización</v>
      </c>
      <c r="C78" s="133" t="str">
        <f>VLOOKUP(A78,'CHK Técnico-AS400'!$A$18:$I$137,3,FALSE)</f>
        <v>Existe descripción del cambio en el procedure</v>
      </c>
      <c r="D78" s="134">
        <f>VLOOKUP(A78,'CHK Técnico-AS400'!$A$18:$I$137,9,FALSE)</f>
        <v>44900</v>
      </c>
      <c r="E78" s="135">
        <f>VLOOKUP(A78,'CHK Técnico-AS400'!$A$18:$I$137,6,FALSE)</f>
        <v>0</v>
      </c>
      <c r="F78" s="135">
        <f>VLOOKUP(A78,'CHK Técnico-AS400'!$A$18:$I$137,5,FALSE)</f>
        <v>0</v>
      </c>
      <c r="G78" s="136" t="s">
        <v>66</v>
      </c>
    </row>
    <row r="79" spans="1:7" ht="25.5">
      <c r="A79" s="132">
        <f t="shared" si="1"/>
        <v>71</v>
      </c>
      <c r="B79" s="133" t="str">
        <f>VLOOKUP(A79,'CHK Técnico-AS400'!$A$18:$I$137,4,FALSE)</f>
        <v>Estandarización</v>
      </c>
      <c r="C79" s="133" t="str">
        <f>VLOOKUP(A79,'CHK Técnico-AS400'!$A$18:$I$137,3,FALSE)</f>
        <v>No existen referencias explicitas a Bibliotecas</v>
      </c>
      <c r="D79" s="134">
        <f>VLOOKUP(A79,'CHK Técnico-AS400'!$A$18:$I$137,9,FALSE)</f>
        <v>44900</v>
      </c>
      <c r="E79" s="135">
        <f>VLOOKUP(A79,'CHK Técnico-AS400'!$A$18:$I$137,6,FALSE)</f>
        <v>0</v>
      </c>
      <c r="F79" s="135">
        <f>VLOOKUP(A79,'CHK Técnico-AS400'!$A$18:$I$137,5,FALSE)</f>
        <v>0</v>
      </c>
      <c r="G79" s="136" t="s">
        <v>66</v>
      </c>
    </row>
    <row r="80" spans="1:7" ht="25.5">
      <c r="A80" s="132">
        <f t="shared" si="1"/>
        <v>72</v>
      </c>
      <c r="B80" s="133" t="str">
        <f>VLOOKUP(A80,'CHK Técnico-AS400'!$A$18:$I$137,4,FALSE)</f>
        <v>Estandarización</v>
      </c>
      <c r="C80" s="133" t="str">
        <f>VLOOKUP(A80,'CHK Técnico-AS400'!$A$18:$I$137,3,FALSE)</f>
        <v>Todos los Cursores declarados son usados</v>
      </c>
      <c r="D80" s="134">
        <f>VLOOKUP(A80,'CHK Técnico-AS400'!$A$18:$I$137,9,FALSE)</f>
        <v>44900</v>
      </c>
      <c r="E80" s="135">
        <f>VLOOKUP(A80,'CHK Técnico-AS400'!$A$18:$I$137,6,FALSE)</f>
        <v>0</v>
      </c>
      <c r="F80" s="135">
        <f>VLOOKUP(A80,'CHK Técnico-AS400'!$A$18:$I$137,5,FALSE)</f>
        <v>0</v>
      </c>
      <c r="G80" s="136" t="s">
        <v>66</v>
      </c>
    </row>
    <row r="81" spans="1:7" ht="63.75">
      <c r="A81" s="132">
        <f t="shared" si="1"/>
        <v>73</v>
      </c>
      <c r="B81" s="133" t="str">
        <f>VLOOKUP(A81,'CHK Técnico-AS400'!$A$18:$I$137,4,FALSE)</f>
        <v>Técnico</v>
      </c>
      <c r="C81" s="133" t="str">
        <f>VLOOKUP(A81,'CHK Técnico-AS400'!$A$18:$I$137,3,FALSE)</f>
        <v>En las sentencias SELECT se agilizan las uniones de tablas (JOIN) y los filtros (WHERE) haciendo uso de campos índice.</v>
      </c>
      <c r="D81" s="134">
        <f>VLOOKUP(A81,'CHK Técnico-AS400'!$A$18:$I$137,9,FALSE)</f>
        <v>44900</v>
      </c>
      <c r="E81" s="135">
        <f>VLOOKUP(A81,'CHK Técnico-AS400'!$A$18:$I$137,6,FALSE)</f>
        <v>0</v>
      </c>
      <c r="F81" s="135">
        <f>VLOOKUP(A81,'CHK Técnico-AS400'!$A$18:$I$137,5,FALSE)</f>
        <v>0</v>
      </c>
      <c r="G81" s="136" t="s">
        <v>66</v>
      </c>
    </row>
    <row r="82" spans="1:7" ht="63.75">
      <c r="A82" s="132">
        <f t="shared" si="1"/>
        <v>74</v>
      </c>
      <c r="B82" s="133" t="str">
        <f>VLOOKUP(A82,'CHK Técnico-AS400'!$A$18:$I$137,4,FALSE)</f>
        <v>Técnico</v>
      </c>
      <c r="C82" s="133" t="str">
        <f>VLOOKUP(A82,'CHK Técnico-AS400'!$A$18:$I$137,3,FALSE)</f>
        <v>Las sentencias FETCH contienen la misma cantidad de variables que el número de campos seleccionados en el CURSOR.</v>
      </c>
      <c r="D82" s="134">
        <f>VLOOKUP(A82,'CHK Técnico-AS400'!$A$18:$I$137,9,FALSE)</f>
        <v>44900</v>
      </c>
      <c r="E82" s="135">
        <f>VLOOKUP(A82,'CHK Técnico-AS400'!$A$18:$I$137,6,FALSE)</f>
        <v>0</v>
      </c>
      <c r="F82" s="135">
        <f>VLOOKUP(A82,'CHK Técnico-AS400'!$A$18:$I$137,5,FALSE)</f>
        <v>0</v>
      </c>
      <c r="G82" s="136" t="s">
        <v>66</v>
      </c>
    </row>
    <row r="83" spans="1:7">
      <c r="A83" s="132">
        <f t="shared" si="1"/>
        <v>75</v>
      </c>
      <c r="B83" s="133">
        <f>VLOOKUP(A83,'CHK Técnico-AS400'!$A$18:$I$137,4,FALSE)</f>
        <v>0</v>
      </c>
      <c r="C83" s="133">
        <f>VLOOKUP(A83,'CHK Técnico-AS400'!$A$18:$I$137,3,FALSE)</f>
        <v>0</v>
      </c>
      <c r="D83" s="134">
        <f>VLOOKUP(A83,'CHK Técnico-AS400'!$A$18:$I$137,9,FALSE)</f>
        <v>0</v>
      </c>
      <c r="E83" s="135">
        <f>VLOOKUP(A83,'CHK Técnico-AS400'!$A$18:$I$137,6,FALSE)</f>
        <v>0</v>
      </c>
      <c r="F83" s="135">
        <f>VLOOKUP(A83,'CHK Técnico-AS400'!$A$18:$I$137,5,FALSE)</f>
        <v>0</v>
      </c>
      <c r="G83" s="136" t="s">
        <v>66</v>
      </c>
    </row>
    <row r="84" spans="1:7" ht="38.25">
      <c r="A84" s="132">
        <f t="shared" si="1"/>
        <v>76</v>
      </c>
      <c r="B84" s="133" t="str">
        <f>VLOOKUP(A84,'CHK Técnico-AS400'!$A$18:$I$137,4,FALSE)</f>
        <v>Estandarización</v>
      </c>
      <c r="C84" s="133" t="str">
        <f>VLOOKUP(A84,'CHK Técnico-AS400'!$A$18:$I$137,3,FALSE)</f>
        <v>Los reportes emitidos con Querys muestran en la parte inferior el nombre del Query</v>
      </c>
      <c r="D84" s="134">
        <f>VLOOKUP(A84,'CHK Técnico-AS400'!$A$18:$I$137,9,FALSE)</f>
        <v>44900</v>
      </c>
      <c r="E84" s="135">
        <f>VLOOKUP(A84,'CHK Técnico-AS400'!$A$18:$I$137,6,FALSE)</f>
        <v>0</v>
      </c>
      <c r="F84" s="135">
        <f>VLOOKUP(A84,'CHK Técnico-AS400'!$A$18:$I$137,5,FALSE)</f>
        <v>0</v>
      </c>
      <c r="G84" s="136" t="s">
        <v>66</v>
      </c>
    </row>
    <row r="85" spans="1:7" ht="38.25">
      <c r="A85" s="132">
        <f t="shared" si="1"/>
        <v>77</v>
      </c>
      <c r="B85" s="133" t="str">
        <f>VLOOKUP(A85,'CHK Técnico-AS400'!$A$18:$I$137,4,FALSE)</f>
        <v>Estandarización</v>
      </c>
      <c r="C85" s="133" t="str">
        <f>VLOOKUP(A85,'CHK Técnico-AS400'!$A$18:$I$137,3,FALSE)</f>
        <v>Los Querys se encuentra en origen estándar (QUERYSPROD)</v>
      </c>
      <c r="D85" s="134">
        <f>VLOOKUP(A85,'CHK Técnico-AS400'!$A$18:$I$137,9,FALSE)</f>
        <v>44900</v>
      </c>
      <c r="E85" s="135">
        <f>VLOOKUP(A85,'CHK Técnico-AS400'!$A$18:$I$137,6,FALSE)</f>
        <v>0</v>
      </c>
      <c r="F85" s="135">
        <f>VLOOKUP(A85,'CHK Técnico-AS400'!$A$18:$I$137,5,FALSE)</f>
        <v>0</v>
      </c>
      <c r="G85" s="136" t="s">
        <v>66</v>
      </c>
    </row>
    <row r="86" spans="1:7" ht="18" customHeight="1">
      <c r="A86" s="132">
        <f>A85+1</f>
        <v>78</v>
      </c>
      <c r="B86" s="133">
        <f>VLOOKUP(A86,'CHK Técnico-AS400'!$A$18:$I$137,4,FALSE)</f>
        <v>0</v>
      </c>
      <c r="C86" s="133">
        <f>VLOOKUP(A86,'CHK Técnico-AS400'!$A$18:$I$137,3,FALSE)</f>
        <v>0</v>
      </c>
      <c r="D86" s="134">
        <f>VLOOKUP(A86,'CHK Técnico-AS400'!$A$18:$I$137,9,FALSE)</f>
        <v>0</v>
      </c>
      <c r="E86" s="135">
        <f>VLOOKUP(A86,'CHK Técnico-AS400'!$A$18:$I$137,6,FALSE)</f>
        <v>0</v>
      </c>
      <c r="F86" s="135">
        <f>VLOOKUP(A86,'CHK Técnico-AS400'!$A$18:$I$137,5,FALSE)</f>
        <v>0</v>
      </c>
      <c r="G86" s="136" t="s">
        <v>66</v>
      </c>
    </row>
    <row r="87" spans="1:7" ht="18" customHeight="1">
      <c r="A87" s="132">
        <f t="shared" ref="A87:A148" si="2">A86+1</f>
        <v>79</v>
      </c>
      <c r="B87" s="133" t="str">
        <f>VLOOKUP(A87,'CHK Técnico-AS400'!$A$18:$I$137,4,FALSE)</f>
        <v>Estandarización</v>
      </c>
      <c r="C87" s="133" t="str">
        <f>VLOOKUP(A87,'CHK Técnico-AS400'!$A$18:$I$137,3,FALSE)</f>
        <v>Los accesos a datos restringidos de un cliente (RIA o similares) son manejados con el TRSIS300</v>
      </c>
      <c r="D87" s="134">
        <f>VLOOKUP(A87,'CHK Técnico-AS400'!$A$18:$I$137,9,FALSE)</f>
        <v>44900</v>
      </c>
      <c r="E87" s="135">
        <f>VLOOKUP(A87,'CHK Técnico-AS400'!$A$18:$I$137,6,FALSE)</f>
        <v>0</v>
      </c>
      <c r="F87" s="135">
        <f>VLOOKUP(A87,'CHK Técnico-AS400'!$A$18:$I$137,5,FALSE)</f>
        <v>0</v>
      </c>
      <c r="G87" s="136" t="s">
        <v>66</v>
      </c>
    </row>
    <row r="88" spans="1:7" ht="18" customHeight="1">
      <c r="A88" s="132">
        <f t="shared" si="2"/>
        <v>80</v>
      </c>
      <c r="B88" s="133" t="str">
        <f>VLOOKUP(A88,'CHK Técnico-AS400'!$A$18:$I$137,4,FALSE)</f>
        <v>Estandarización</v>
      </c>
      <c r="C88" s="133" t="str">
        <f>VLOOKUP(A88,'CHK Técnico-AS400'!$A$18:$I$137,3,FALSE)</f>
        <v>Para aplicaciones con usuarios de servicio se han considerado los GRANTS mínimos requeridos</v>
      </c>
      <c r="D88" s="134">
        <f>VLOOKUP(A88,'CHK Técnico-AS400'!$A$18:$I$137,9,FALSE)</f>
        <v>44900</v>
      </c>
      <c r="E88" s="135">
        <f>VLOOKUP(A88,'CHK Técnico-AS400'!$A$18:$I$137,6,FALSE)</f>
        <v>0</v>
      </c>
      <c r="F88" s="135">
        <f>VLOOKUP(A88,'CHK Técnico-AS400'!$A$18:$I$137,5,FALSE)</f>
        <v>0</v>
      </c>
      <c r="G88" s="136" t="s">
        <v>66</v>
      </c>
    </row>
    <row r="89" spans="1:7" ht="18" customHeight="1">
      <c r="A89" s="132">
        <f t="shared" si="2"/>
        <v>81</v>
      </c>
      <c r="B89" s="133">
        <f>VLOOKUP(A89,'CHK Técnico-AS400'!$A$18:$I$137,4,FALSE)</f>
        <v>0</v>
      </c>
      <c r="C89" s="133">
        <f>VLOOKUP(A89,'CHK Técnico-AS400'!$A$18:$I$137,3,FALSE)</f>
        <v>0</v>
      </c>
      <c r="D89" s="134">
        <f>VLOOKUP(A89,'CHK Técnico-AS400'!$A$18:$I$137,9,FALSE)</f>
        <v>0</v>
      </c>
      <c r="E89" s="135">
        <f>VLOOKUP(A89,'CHK Técnico-AS400'!$A$18:$I$137,6,FALSE)</f>
        <v>0</v>
      </c>
      <c r="F89" s="135">
        <f>VLOOKUP(A89,'CHK Técnico-AS400'!$A$18:$I$137,5,FALSE)</f>
        <v>0</v>
      </c>
      <c r="G89" s="136" t="s">
        <v>66</v>
      </c>
    </row>
    <row r="90" spans="1:7" ht="18" customHeight="1">
      <c r="A90" s="132">
        <f t="shared" si="2"/>
        <v>82</v>
      </c>
      <c r="B90" s="133" t="str">
        <f>VLOOKUP(A90,'CHK Técnico-AS400'!$A$18:$I$137,4,FALSE)</f>
        <v>Estandarización</v>
      </c>
      <c r="C90" s="133" t="str">
        <f>VLOOKUP(A90,'CHK Técnico-AS400'!$A$18:$I$137,3,FALSE)</f>
        <v>Archivos registrados por Journal tienen el Parámetro OMTJRNE(*OPNCLO)</v>
      </c>
      <c r="D90" s="134">
        <f>VLOOKUP(A90,'CHK Técnico-AS400'!$A$18:$I$137,9,FALSE)</f>
        <v>44900</v>
      </c>
      <c r="E90" s="135">
        <f>VLOOKUP(A90,'CHK Técnico-AS400'!$A$18:$I$137,6,FALSE)</f>
        <v>0</v>
      </c>
      <c r="F90" s="135">
        <f>VLOOKUP(A90,'CHK Técnico-AS400'!$A$18:$I$137,5,FALSE)</f>
        <v>0</v>
      </c>
      <c r="G90" s="136" t="s">
        <v>66</v>
      </c>
    </row>
    <row r="91" spans="1:7" ht="18" customHeight="1">
      <c r="A91" s="132">
        <f t="shared" si="2"/>
        <v>83</v>
      </c>
      <c r="B91" s="133" t="str">
        <f>VLOOKUP(A91,'CHK Técnico-AS400'!$A$18:$I$137,4,FALSE)</f>
        <v>Estandarización</v>
      </c>
      <c r="C91" s="133" t="str">
        <f>VLOOKUP(A91,'CHK Técnico-AS400'!$A$18:$I$137,3,FALSE)</f>
        <v>Para los programas RPG ILE se incluye una descripción del cambio</v>
      </c>
      <c r="D91" s="134">
        <f>VLOOKUP(A91,'CHK Técnico-AS400'!$A$18:$I$137,9,FALSE)</f>
        <v>44900</v>
      </c>
      <c r="E91" s="135">
        <f>VLOOKUP(A91,'CHK Técnico-AS400'!$A$18:$I$137,6,FALSE)</f>
        <v>0</v>
      </c>
      <c r="F91" s="135">
        <f>VLOOKUP(A91,'CHK Técnico-AS400'!$A$18:$I$137,5,FALSE)</f>
        <v>0</v>
      </c>
      <c r="G91" s="136" t="s">
        <v>66</v>
      </c>
    </row>
    <row r="92" spans="1:7" ht="18" customHeight="1">
      <c r="A92" s="132">
        <f t="shared" si="2"/>
        <v>84</v>
      </c>
      <c r="B92" s="133" t="str">
        <f>VLOOKUP(A92,'CHK Técnico-AS400'!$A$18:$I$137,4,FALSE)</f>
        <v>Estandarización</v>
      </c>
      <c r="C92" s="133" t="str">
        <f>VLOOKUP(A92,'CHK Técnico-AS400'!$A$18:$I$137,3,FALSE)</f>
        <v>Se ha considerado la lectura apropiada no repetitiva de archivos para optimizar el acceso y performance del programa.</v>
      </c>
      <c r="D92" s="134">
        <f>VLOOKUP(A92,'CHK Técnico-AS400'!$A$18:$I$137,9,FALSE)</f>
        <v>44900</v>
      </c>
      <c r="E92" s="135">
        <f>VLOOKUP(A92,'CHK Técnico-AS400'!$A$18:$I$137,6,FALSE)</f>
        <v>0</v>
      </c>
      <c r="F92" s="135">
        <f>VLOOKUP(A92,'CHK Técnico-AS400'!$A$18:$I$137,5,FALSE)</f>
        <v>0</v>
      </c>
      <c r="G92" s="136" t="s">
        <v>66</v>
      </c>
    </row>
    <row r="93" spans="1:7" ht="18" customHeight="1">
      <c r="A93" s="132">
        <f t="shared" si="2"/>
        <v>85</v>
      </c>
      <c r="B93" s="133">
        <f>VLOOKUP(A93,'CHK Técnico-AS400'!$A$18:$I$137,4,FALSE)</f>
        <v>0</v>
      </c>
      <c r="C93" s="133">
        <f>VLOOKUP(A93,'CHK Técnico-AS400'!$A$18:$I$137,3,FALSE)</f>
        <v>0</v>
      </c>
      <c r="D93" s="134">
        <f>VLOOKUP(A93,'CHK Técnico-AS400'!$A$18:$I$137,9,FALSE)</f>
        <v>0</v>
      </c>
      <c r="E93" s="135">
        <f>VLOOKUP(A93,'CHK Técnico-AS400'!$A$18:$I$137,6,FALSE)</f>
        <v>0</v>
      </c>
      <c r="F93" s="135">
        <f>VLOOKUP(A93,'CHK Técnico-AS400'!$A$18:$I$137,5,FALSE)</f>
        <v>0</v>
      </c>
      <c r="G93" s="136" t="s">
        <v>66</v>
      </c>
    </row>
    <row r="94" spans="1:7" ht="18" customHeight="1">
      <c r="A94" s="132">
        <f t="shared" si="2"/>
        <v>86</v>
      </c>
      <c r="B94" s="133" t="str">
        <f>VLOOKUP(A94,'CHK Técnico-AS400'!$A$18:$I$137,4,FALSE)</f>
        <v>Homologación/Versionamiento</v>
      </c>
      <c r="C94" s="133" t="str">
        <f>VLOOKUP(A94,'CHK Técnico-AS400'!$A$18:$I$137,3,FALSE)</f>
        <v>OT se encuentra en Pruebas Internas</v>
      </c>
      <c r="D94" s="134">
        <f>VLOOKUP(A94,'CHK Técnico-AS400'!$A$18:$I$137,9,FALSE)</f>
        <v>44900</v>
      </c>
      <c r="E94" s="135">
        <f>VLOOKUP(A94,'CHK Técnico-AS400'!$A$18:$I$137,6,FALSE)</f>
        <v>0</v>
      </c>
      <c r="F94" s="135">
        <f>VLOOKUP(A94,'CHK Técnico-AS400'!$A$18:$I$137,5,FALSE)</f>
        <v>0</v>
      </c>
      <c r="G94" s="136" t="s">
        <v>66</v>
      </c>
    </row>
    <row r="95" spans="1:7" ht="18" customHeight="1">
      <c r="A95" s="132">
        <f t="shared" si="2"/>
        <v>87</v>
      </c>
      <c r="B95" s="133" t="str">
        <f>VLOOKUP(A95,'CHK Técnico-AS400'!$A$18:$I$137,4,FALSE)</f>
        <v>Documentación</v>
      </c>
      <c r="C95" s="133" t="str">
        <f>VLOOKUP(A95,'CHK Técnico-AS400'!$A$18:$I$137,3,FALSE)</f>
        <v>Se ha actualizado la documentación prevista en la evaluación de la orden de trabajo o proyecto</v>
      </c>
      <c r="D95" s="134">
        <f>VLOOKUP(A95,'CHK Técnico-AS400'!$A$18:$I$137,9,FALSE)</f>
        <v>44900</v>
      </c>
      <c r="E95" s="135">
        <f>VLOOKUP(A95,'CHK Técnico-AS400'!$A$18:$I$137,6,FALSE)</f>
        <v>0</v>
      </c>
      <c r="F95" s="135">
        <f>VLOOKUP(A95,'CHK Técnico-AS400'!$A$18:$I$137,5,FALSE)</f>
        <v>0</v>
      </c>
      <c r="G95" s="136" t="s">
        <v>66</v>
      </c>
    </row>
    <row r="96" spans="1:7" ht="18" customHeight="1">
      <c r="A96" s="132">
        <f t="shared" si="2"/>
        <v>88</v>
      </c>
      <c r="B96" s="133" t="str">
        <f>VLOOKUP(A96,'CHK Técnico-AS400'!$A$18:$I$137,4,FALSE)</f>
        <v>Documentación</v>
      </c>
      <c r="C96" s="133" t="str">
        <f>VLOOKUP(A96,'CHK Técnico-AS400'!$A$18:$I$137,3,FALSE)</f>
        <v>Se ha incluido el documento de casos de pruebas con los escenarios previstos</v>
      </c>
      <c r="D96" s="134">
        <f>VLOOKUP(A96,'CHK Técnico-AS400'!$A$18:$I$137,9,FALSE)</f>
        <v>44900</v>
      </c>
      <c r="E96" s="135">
        <f>VLOOKUP(A96,'CHK Técnico-AS400'!$A$18:$I$137,6,FALSE)</f>
        <v>0</v>
      </c>
      <c r="F96" s="135">
        <f>VLOOKUP(A96,'CHK Técnico-AS400'!$A$18:$I$137,5,FALSE)</f>
        <v>0</v>
      </c>
      <c r="G96" s="136" t="s">
        <v>66</v>
      </c>
    </row>
    <row r="97" spans="1:7" ht="18" customHeight="1">
      <c r="A97" s="132">
        <f t="shared" si="2"/>
        <v>89</v>
      </c>
      <c r="B97" s="133" t="str">
        <f>VLOOKUP(A97,'CHK Técnico-AS400'!$A$18:$I$137,4,FALSE)</f>
        <v>Documentación</v>
      </c>
      <c r="C97" s="133" t="str">
        <f>VLOOKUP(A97,'CHK Técnico-AS400'!$A$18:$I$137,3,FALSE)</f>
        <v xml:space="preserve">Se encuentra el documento AS400_Solicitud_de_Pase_OTXXXX.xls </v>
      </c>
      <c r="D97" s="134">
        <f>VLOOKUP(A97,'CHK Técnico-AS400'!$A$18:$I$137,9,FALSE)</f>
        <v>44900</v>
      </c>
      <c r="E97" s="135">
        <f>VLOOKUP(A97,'CHK Técnico-AS400'!$A$18:$I$137,6,FALSE)</f>
        <v>0</v>
      </c>
      <c r="F97" s="135">
        <f>VLOOKUP(A97,'CHK Técnico-AS400'!$A$18:$I$137,5,FALSE)</f>
        <v>0</v>
      </c>
      <c r="G97" s="136" t="s">
        <v>66</v>
      </c>
    </row>
    <row r="98" spans="1:7" ht="18" customHeight="1">
      <c r="A98" s="132">
        <f t="shared" si="2"/>
        <v>90</v>
      </c>
      <c r="B98" s="133">
        <f>VLOOKUP(A98,'CHK Técnico-AS400'!$A$18:$I$137,4,FALSE)</f>
        <v>0</v>
      </c>
      <c r="C98" s="133">
        <f>VLOOKUP(A98,'CHK Técnico-AS400'!$A$18:$I$137,3,FALSE)</f>
        <v>0</v>
      </c>
      <c r="D98" s="134">
        <f>VLOOKUP(A98,'CHK Técnico-AS400'!$A$18:$I$137,9,FALSE)</f>
        <v>0</v>
      </c>
      <c r="E98" s="135">
        <f>VLOOKUP(A98,'CHK Técnico-AS400'!$A$18:$I$137,6,FALSE)</f>
        <v>0</v>
      </c>
      <c r="F98" s="135">
        <f>VLOOKUP(A98,'CHK Técnico-AS400'!$A$18:$I$137,5,FALSE)</f>
        <v>0</v>
      </c>
      <c r="G98" s="136" t="s">
        <v>66</v>
      </c>
    </row>
    <row r="99" spans="1:7" ht="18" customHeight="1">
      <c r="A99" s="132">
        <f t="shared" si="2"/>
        <v>91</v>
      </c>
      <c r="B99" s="133" t="str">
        <f>VLOOKUP(A99,'CHK Técnico-AS400'!$A$18:$I$137,4,FALSE)</f>
        <v>Homologación/Versionamiento</v>
      </c>
      <c r="C99" s="133" t="str">
        <f>VLOOKUP(A99,'CHK Técnico-AS400'!$A$18:$I$137,3,FALSE)</f>
        <v>Una persona distinta al programador ha realizado comparación de fuentes modificados</v>
      </c>
      <c r="D99" s="134">
        <f>VLOOKUP(A99,'CHK Técnico-AS400'!$A$18:$I$137,9,FALSE)</f>
        <v>44900</v>
      </c>
      <c r="E99" s="135">
        <f>VLOOKUP(A99,'CHK Técnico-AS400'!$A$18:$I$137,6,FALSE)</f>
        <v>0</v>
      </c>
      <c r="F99" s="135">
        <f>VLOOKUP(A99,'CHK Técnico-AS400'!$A$18:$I$137,5,FALSE)</f>
        <v>0</v>
      </c>
      <c r="G99" s="136" t="s">
        <v>66</v>
      </c>
    </row>
    <row r="100" spans="1:7" ht="18" customHeight="1">
      <c r="A100" s="132">
        <f t="shared" si="2"/>
        <v>92</v>
      </c>
      <c r="B100" s="133" t="str">
        <f>VLOOKUP(A100,'CHK Técnico-AS400'!$A$18:$I$137,4,FALSE)</f>
        <v>Funcionalidad</v>
      </c>
      <c r="C100" s="133" t="str">
        <f>VLOOKUP(A100,'CHK Técnico-AS400'!$A$18:$I$137,3,FALSE)</f>
        <v>Los cambios de fuente se muestran relacionados con las especificaciones funcionales</v>
      </c>
      <c r="D100" s="134">
        <f>VLOOKUP(A100,'CHK Técnico-AS400'!$A$18:$I$137,9,FALSE)</f>
        <v>44900</v>
      </c>
      <c r="E100" s="135">
        <f>VLOOKUP(A100,'CHK Técnico-AS400'!$A$18:$I$137,6,FALSE)</f>
        <v>0</v>
      </c>
      <c r="F100" s="135">
        <f>VLOOKUP(A100,'CHK Técnico-AS400'!$A$18:$I$137,5,FALSE)</f>
        <v>0</v>
      </c>
      <c r="G100" s="136" t="s">
        <v>66</v>
      </c>
    </row>
    <row r="101" spans="1:7" ht="18" customHeight="1">
      <c r="A101" s="132">
        <f t="shared" si="2"/>
        <v>93</v>
      </c>
      <c r="B101" s="133" t="str">
        <f>VLOOKUP(A101,'CHK Técnico-AS400'!$A$18:$I$137,4,FALSE)</f>
        <v>Estandarización</v>
      </c>
      <c r="C101" s="133" t="str">
        <f>VLOOKUP(A101,'CHK Técnico-AS400'!$A$18:$I$137,3,FALSE)</f>
        <v>Se ha evitado la introducción de hardcodes</v>
      </c>
      <c r="D101" s="134">
        <f>VLOOKUP(A101,'CHK Técnico-AS400'!$A$18:$I$137,9,FALSE)</f>
        <v>44900</v>
      </c>
      <c r="E101" s="135">
        <f>VLOOKUP(A101,'CHK Técnico-AS400'!$A$18:$I$137,6,FALSE)</f>
        <v>0</v>
      </c>
      <c r="F101" s="135">
        <f>VLOOKUP(A101,'CHK Técnico-AS400'!$A$18:$I$137,5,FALSE)</f>
        <v>0</v>
      </c>
      <c r="G101" s="136" t="s">
        <v>66</v>
      </c>
    </row>
    <row r="102" spans="1:7" ht="18" customHeight="1">
      <c r="A102" s="132">
        <f t="shared" si="2"/>
        <v>94</v>
      </c>
      <c r="B102" s="133" t="str">
        <f>VLOOKUP(A102,'CHK Técnico-AS400'!$A$18:$I$137,4,FALSE)</f>
        <v>Estandarización</v>
      </c>
      <c r="C102" s="133" t="str">
        <f>VLOOKUP(A102,'CHK Técnico-AS400'!$A$18:$I$137,3,FALSE)</f>
        <v>Se ha hecho revisión buscando posible código fraudulento</v>
      </c>
      <c r="D102" s="134">
        <f>VLOOKUP(A102,'CHK Técnico-AS400'!$A$18:$I$137,9,FALSE)</f>
        <v>44900</v>
      </c>
      <c r="E102" s="135">
        <f>VLOOKUP(A102,'CHK Técnico-AS400'!$A$18:$I$137,6,FALSE)</f>
        <v>0</v>
      </c>
      <c r="F102" s="135">
        <f>VLOOKUP(A102,'CHK Técnico-AS400'!$A$18:$I$137,5,FALSE)</f>
        <v>0</v>
      </c>
      <c r="G102" s="136" t="s">
        <v>66</v>
      </c>
    </row>
    <row r="103" spans="1:7" ht="18" customHeight="1">
      <c r="A103" s="132">
        <f t="shared" si="2"/>
        <v>95</v>
      </c>
      <c r="B103" s="133">
        <f>VLOOKUP(A103,'CHK Técnico-AS400'!$A$18:$I$137,4,FALSE)</f>
        <v>0</v>
      </c>
      <c r="C103" s="133">
        <f>VLOOKUP(A103,'CHK Técnico-AS400'!$A$18:$I$137,3,FALSE)</f>
        <v>0</v>
      </c>
      <c r="D103" s="134">
        <f>VLOOKUP(A103,'CHK Técnico-AS400'!$A$18:$I$137,9,FALSE)</f>
        <v>0</v>
      </c>
      <c r="E103" s="135">
        <f>VLOOKUP(A103,'CHK Técnico-AS400'!$A$18:$I$137,6,FALSE)</f>
        <v>0</v>
      </c>
      <c r="F103" s="135">
        <f>VLOOKUP(A103,'CHK Técnico-AS400'!$A$18:$I$137,5,FALSE)</f>
        <v>0</v>
      </c>
      <c r="G103" s="136" t="s">
        <v>66</v>
      </c>
    </row>
    <row r="104" spans="1:7" ht="18" customHeight="1">
      <c r="A104" s="132">
        <f t="shared" si="2"/>
        <v>96</v>
      </c>
      <c r="B104" s="133" t="str">
        <f>VLOOKUP(A104,'CHK Técnico-AS400'!$A$18:$I$137,4,FALSE)</f>
        <v>Estandarización</v>
      </c>
      <c r="C104" s="133" t="str">
        <f>VLOOKUP(A104,'CHK Técnico-AS400'!$A$18:$I$137,3,FALSE)</f>
        <v>El archivo registrado con el trigger tiene activo el Journal.</v>
      </c>
      <c r="D104" s="134">
        <f>VLOOKUP(A104,'CHK Técnico-AS400'!$A$18:$I$137,9,FALSE)</f>
        <v>44900</v>
      </c>
      <c r="E104" s="135">
        <f>VLOOKUP(A104,'CHK Técnico-AS400'!$A$18:$I$137,6,FALSE)</f>
        <v>0</v>
      </c>
      <c r="F104" s="135">
        <f>VLOOKUP(A104,'CHK Técnico-AS400'!$A$18:$I$137,5,FALSE)</f>
        <v>0</v>
      </c>
      <c r="G104" s="136" t="s">
        <v>66</v>
      </c>
    </row>
    <row r="105" spans="1:7" ht="18" customHeight="1">
      <c r="A105" s="132">
        <f t="shared" si="2"/>
        <v>97</v>
      </c>
      <c r="B105" s="133" t="str">
        <f>VLOOKUP(A105,'CHK Técnico-AS400'!$A$18:$I$137,4,FALSE)</f>
        <v>Estandarización</v>
      </c>
      <c r="C105" s="133" t="str">
        <f>VLOOKUP(A105,'CHK Técnico-AS400'!$A$18:$I$137,3,FALSE)</f>
        <v>Para el caso de uso de RPG nativo (RPG ILE) con el trigger, ¿Se ha incluido el programa RPG en el artefacto Solicitud de pase?</v>
      </c>
      <c r="D105" s="134">
        <f>VLOOKUP(A105,'CHK Técnico-AS400'!$A$18:$I$137,9,FALSE)</f>
        <v>44900</v>
      </c>
      <c r="E105" s="135">
        <f>VLOOKUP(A105,'CHK Técnico-AS400'!$A$18:$I$137,6,FALSE)</f>
        <v>0</v>
      </c>
      <c r="F105" s="135">
        <f>VLOOKUP(A105,'CHK Técnico-AS400'!$A$18:$I$137,5,FALSE)</f>
        <v>0</v>
      </c>
      <c r="G105" s="136" t="s">
        <v>66</v>
      </c>
    </row>
    <row r="106" spans="1:7" ht="18" customHeight="1">
      <c r="A106" s="132">
        <f t="shared" si="2"/>
        <v>98</v>
      </c>
      <c r="B106" s="133" t="str">
        <f>VLOOKUP(A106,'CHK Técnico-AS400'!$A$18:$I$137,4,FALSE)</f>
        <v>Estandarización</v>
      </c>
      <c r="C106" s="133" t="str">
        <f>VLOOKUP(A106,'CHK Técnico-AS400'!$A$18:$I$137,3,FALSE)</f>
        <v>¿Se ha usado SQL para la ejecución de los triggers?; de ser el caso, validar que el Script se encuentre especificado en el PR.</v>
      </c>
      <c r="D106" s="134">
        <f>VLOOKUP(A106,'CHK Técnico-AS400'!$A$18:$I$137,9,FALSE)</f>
        <v>44900</v>
      </c>
      <c r="E106" s="135">
        <f>VLOOKUP(A106,'CHK Técnico-AS400'!$A$18:$I$137,6,FALSE)</f>
        <v>0</v>
      </c>
      <c r="F106" s="135">
        <f>VLOOKUP(A106,'CHK Técnico-AS400'!$A$18:$I$137,5,FALSE)</f>
        <v>0</v>
      </c>
      <c r="G106" s="136" t="s">
        <v>66</v>
      </c>
    </row>
    <row r="107" spans="1:7">
      <c r="A107" s="132">
        <f t="shared" si="2"/>
        <v>99</v>
      </c>
      <c r="B107" s="133">
        <f>VLOOKUP(A107,'CHK Técnico-AS400'!$A$18:$I$137,4,FALSE)</f>
        <v>0</v>
      </c>
      <c r="C107" s="133">
        <f>VLOOKUP(A107,'CHK Técnico-AS400'!$A$18:$I$137,3,FALSE)</f>
        <v>0</v>
      </c>
      <c r="D107" s="134">
        <f>VLOOKUP(A107,'CHK Técnico-AS400'!$A$18:$I$137,9,FALSE)</f>
        <v>0</v>
      </c>
      <c r="E107" s="135">
        <f>VLOOKUP(A107,'CHK Técnico-AS400'!$A$18:$I$137,6,FALSE)</f>
        <v>0</v>
      </c>
      <c r="F107" s="135">
        <f>VLOOKUP(A107,'CHK Técnico-AS400'!$A$18:$I$137,5,FALSE)</f>
        <v>0</v>
      </c>
      <c r="G107" s="136" t="s">
        <v>66</v>
      </c>
    </row>
    <row r="108" spans="1:7">
      <c r="A108" s="76">
        <f t="shared" si="2"/>
        <v>100</v>
      </c>
      <c r="B108" s="77">
        <f>VLOOKUP(A108,'CHK Técnico-SQL'!$A$18:$I$88,4,FALSE)</f>
        <v>0</v>
      </c>
      <c r="C108" s="77">
        <f>VLOOKUP(A108,'CHK Técnico-SQL'!$A$18:$I$88,3,FALSE)</f>
        <v>0</v>
      </c>
      <c r="D108" s="78">
        <f>VLOOKUP(A108,'CHK Técnico-SQL'!$A$18:$I$88,9,FALSE)</f>
        <v>0</v>
      </c>
      <c r="E108" s="79">
        <f>VLOOKUP(A108,'CHK Técnico-SQL'!$A$18:$I$88,6,FALSE)</f>
        <v>0</v>
      </c>
      <c r="F108" s="79">
        <f>VLOOKUP(A108,'CHK Técnico-SQL'!$A$18:$I$88,5,FALSE)</f>
        <v>0</v>
      </c>
      <c r="G108" s="80" t="s">
        <v>66</v>
      </c>
    </row>
    <row r="109" spans="1:7" ht="51">
      <c r="A109" s="76">
        <f t="shared" si="2"/>
        <v>101</v>
      </c>
      <c r="B109" s="77" t="str">
        <f>VLOOKUP(A109,'CHK Técnico-SQL'!$A$18:$I$88,4,FALSE)</f>
        <v>Documentación</v>
      </c>
      <c r="C109" s="77" t="str">
        <f>VLOOKUP(A109,'CHK Técnico-SQL'!$A$18:$I$88,3,FALSE)</f>
        <v>Incluye sección de objetos MS-SQL a pasar O componente(s) para el pase automático</v>
      </c>
      <c r="D109" s="78">
        <f>VLOOKUP(A109,'CHK Técnico-SQL'!$A$18:$I$88,9,FALSE)</f>
        <v>44900</v>
      </c>
      <c r="E109" s="79">
        <f>VLOOKUP(A109,'CHK Técnico-SQL'!$A$18:$I$88,6,FALSE)</f>
        <v>0</v>
      </c>
      <c r="F109" s="79" t="str">
        <f>VLOOKUP(A109,'CHK Técnico-SQL'!$A$18:$I$88,5,FALSE)</f>
        <v>Si Cumple</v>
      </c>
      <c r="G109" s="80" t="s">
        <v>66</v>
      </c>
    </row>
    <row r="110" spans="1:7" ht="38.25">
      <c r="A110" s="76">
        <f t="shared" si="2"/>
        <v>102</v>
      </c>
      <c r="B110" s="77" t="str">
        <f>VLOOKUP(A110,'CHK Técnico-SQL'!$A$18:$I$88,4,FALSE)</f>
        <v>Homologación/Versionamiento</v>
      </c>
      <c r="C110" s="77" t="str">
        <f>VLOOKUP(A110,'CHK Técnico-SQL'!$A$18:$I$88,3,FALSE)</f>
        <v>Objetos considerados en pase son entregados por Harvest</v>
      </c>
      <c r="D110" s="78">
        <f>VLOOKUP(A110,'CHK Técnico-SQL'!$A$18:$I$88,9,FALSE)</f>
        <v>44900</v>
      </c>
      <c r="E110" s="79">
        <f>VLOOKUP(A110,'CHK Técnico-SQL'!$A$18:$I$88,6,FALSE)</f>
        <v>0</v>
      </c>
      <c r="F110" s="79" t="str">
        <f>VLOOKUP(A110,'CHK Técnico-SQL'!$A$18:$I$88,5,FALSE)</f>
        <v>Si Cumple</v>
      </c>
      <c r="G110" s="80" t="s">
        <v>66</v>
      </c>
    </row>
    <row r="111" spans="1:7" ht="51">
      <c r="A111" s="76">
        <f t="shared" si="2"/>
        <v>103</v>
      </c>
      <c r="B111" s="77" t="str">
        <f>VLOOKUP(A111,'CHK Técnico-SQL'!$A$18:$I$88,4,FALSE)</f>
        <v>Documentación</v>
      </c>
      <c r="C111" s="77" t="str">
        <f>VLOOKUP(A111,'CHK Técnico-SQL'!$A$18:$I$88,3,FALSE)</f>
        <v>Cuando se ha cambiado la estructura de un archivo se ha incluido el componente de reformateo</v>
      </c>
      <c r="D111" s="78">
        <f>VLOOKUP(A111,'CHK Técnico-SQL'!$A$18:$I$88,9,FALSE)</f>
        <v>44900</v>
      </c>
      <c r="E111" s="79">
        <f>VLOOKUP(A111,'CHK Técnico-SQL'!$A$18:$I$88,6,FALSE)</f>
        <v>0</v>
      </c>
      <c r="F111" s="79" t="str">
        <f>VLOOKUP(A111,'CHK Técnico-SQL'!$A$18:$I$88,5,FALSE)</f>
        <v>No Aplica</v>
      </c>
      <c r="G111" s="80" t="s">
        <v>66</v>
      </c>
    </row>
    <row r="112" spans="1:7" ht="63.75">
      <c r="A112" s="76">
        <f t="shared" si="2"/>
        <v>104</v>
      </c>
      <c r="B112" s="77" t="str">
        <f>VLOOKUP(A112,'CHK Técnico-SQL'!$A$18:$I$88,4,FALSE)</f>
        <v>Documentación</v>
      </c>
      <c r="C112" s="77" t="str">
        <f>VLOOKUP(A112,'CHK Técnico-SQL'!$A$18:$I$88,3,FALSE)</f>
        <v>Se ha incluido las instrucciones para ejecución de los Scripts de actualización de datos requeridos</v>
      </c>
      <c r="D112" s="78">
        <f>VLOOKUP(A112,'CHK Técnico-SQL'!$A$18:$I$88,9,FALSE)</f>
        <v>44900</v>
      </c>
      <c r="E112" s="79">
        <f>VLOOKUP(A112,'CHK Técnico-SQL'!$A$18:$I$88,6,FALSE)</f>
        <v>0</v>
      </c>
      <c r="F112" s="79" t="str">
        <f>VLOOKUP(A112,'CHK Técnico-SQL'!$A$18:$I$88,5,FALSE)</f>
        <v>Si Cumple</v>
      </c>
      <c r="G112" s="80" t="s">
        <v>66</v>
      </c>
    </row>
    <row r="113" spans="1:7" ht="51">
      <c r="A113" s="76">
        <f t="shared" si="2"/>
        <v>105</v>
      </c>
      <c r="B113" s="77" t="str">
        <f>VLOOKUP(A113,'CHK Técnico-SQL'!$A$18:$I$88,4,FALSE)</f>
        <v>Homologación/Versionamiento</v>
      </c>
      <c r="C113" s="77" t="str">
        <f>VLOOKUP(A113,'CHK Técnico-SQL'!$A$18:$I$88,3,FALSE)</f>
        <v>¿La cantidad de objetos indicados en PR corresponde a los subidos en el Harvest y viceversa?</v>
      </c>
      <c r="D113" s="78">
        <f>VLOOKUP(A113,'CHK Técnico-SQL'!$A$18:$I$88,9,FALSE)</f>
        <v>44900</v>
      </c>
      <c r="E113" s="79">
        <f>VLOOKUP(A113,'CHK Técnico-SQL'!$A$18:$I$88,6,FALSE)</f>
        <v>0</v>
      </c>
      <c r="F113" s="79" t="str">
        <f>VLOOKUP(A113,'CHK Técnico-SQL'!$A$18:$I$88,5,FALSE)</f>
        <v>Si Cumple</v>
      </c>
      <c r="G113" s="80" t="s">
        <v>66</v>
      </c>
    </row>
    <row r="114" spans="1:7" ht="38.25">
      <c r="A114" s="76">
        <f t="shared" si="2"/>
        <v>106</v>
      </c>
      <c r="B114" s="77" t="str">
        <f>VLOOKUP(A114,'CHK Técnico-SQL'!$A$18:$I$88,4,FALSE)</f>
        <v>Homologación/Versionamiento</v>
      </c>
      <c r="C114" s="77" t="str">
        <f>VLOOKUP(A114,'CHK Técnico-SQL'!$A$18:$I$88,3,FALSE)</f>
        <v>¿Las rutas indicadas para los objetos corresponde a la ruta del Harvest?</v>
      </c>
      <c r="D114" s="78">
        <f>VLOOKUP(A114,'CHK Técnico-SQL'!$A$18:$I$88,9,FALSE)</f>
        <v>44900</v>
      </c>
      <c r="E114" s="79">
        <f>VLOOKUP(A114,'CHK Técnico-SQL'!$A$18:$I$88,6,FALSE)</f>
        <v>0</v>
      </c>
      <c r="F114" s="79" t="str">
        <f>VLOOKUP(A114,'CHK Técnico-SQL'!$A$18:$I$88,5,FALSE)</f>
        <v>Si Cumple</v>
      </c>
      <c r="G114" s="80" t="s">
        <v>66</v>
      </c>
    </row>
    <row r="115" spans="1:7" ht="51">
      <c r="A115" s="76">
        <f t="shared" si="2"/>
        <v>107</v>
      </c>
      <c r="B115" s="77" t="str">
        <f>VLOOKUP(A115,'CHK Técnico-SQL'!$A$18:$I$88,4,FALSE)</f>
        <v>Homologación/Versionamiento</v>
      </c>
      <c r="C115" s="77" t="str">
        <f>VLOOKUP(A115,'CHK Técnico-SQL'!$A$18:$I$88,3,FALSE)</f>
        <v>¿Para el caso de SCRIPT, se ha publicado en la ruta correcta de acuerdo al estándar.?</v>
      </c>
      <c r="D115" s="78">
        <f>VLOOKUP(A115,'CHK Técnico-SQL'!$A$18:$I$88,9,FALSE)</f>
        <v>44900</v>
      </c>
      <c r="E115" s="79">
        <f>VLOOKUP(A115,'CHK Técnico-SQL'!$A$18:$I$88,6,FALSE)</f>
        <v>0</v>
      </c>
      <c r="F115" s="79" t="str">
        <f>VLOOKUP(A115,'CHK Técnico-SQL'!$A$18:$I$88,5,FALSE)</f>
        <v>Si Cumple</v>
      </c>
      <c r="G115" s="80" t="s">
        <v>66</v>
      </c>
    </row>
    <row r="116" spans="1:7" ht="127.5">
      <c r="A116" s="76">
        <f t="shared" si="2"/>
        <v>108</v>
      </c>
      <c r="B116" s="77" t="str">
        <f>VLOOKUP(A116,'CHK Técnico-SQL'!$A$18:$I$88,4,FALSE)</f>
        <v>Homologación/Versionamiento</v>
      </c>
      <c r="C116" s="77" t="str">
        <f>VLOOKUP(A116,'CHK Técnico-SQL'!$A$18:$I$88,3,FALSE)</f>
        <v>SOLO PARA EL CASO DE PREMIUM: Se ha indicado en la columna Destino todas las BDs donde se debe compilar el Stored Procedure. Ejemplo: Prem_conta03 y Prem_conta_04 con el fin de mantener la homologación de BDs?</v>
      </c>
      <c r="D116" s="78">
        <f>VLOOKUP(A116,'CHK Técnico-SQL'!$A$18:$I$88,9,FALSE)</f>
        <v>44900</v>
      </c>
      <c r="E116" s="79">
        <f>VLOOKUP(A116,'CHK Técnico-SQL'!$A$18:$I$88,6,FALSE)</f>
        <v>0</v>
      </c>
      <c r="F116" s="79" t="str">
        <f>VLOOKUP(A116,'CHK Técnico-SQL'!$A$18:$I$88,5,FALSE)</f>
        <v>No Aplica</v>
      </c>
      <c r="G116" s="80" t="s">
        <v>66</v>
      </c>
    </row>
    <row r="117" spans="1:7">
      <c r="A117" s="76">
        <f t="shared" si="2"/>
        <v>109</v>
      </c>
      <c r="B117" s="77">
        <f>VLOOKUP(A117,'CHK Técnico-SQL'!$A$18:$I$88,4,FALSE)</f>
        <v>0</v>
      </c>
      <c r="C117" s="77">
        <f>VLOOKUP(A117,'CHK Técnico-SQL'!$A$18:$I$88,3,FALSE)</f>
        <v>0</v>
      </c>
      <c r="D117" s="78">
        <f>VLOOKUP(A117,'CHK Técnico-SQL'!$A$18:$I$88,9,FALSE)</f>
        <v>0</v>
      </c>
      <c r="E117" s="79">
        <f>VLOOKUP(A117,'CHK Técnico-SQL'!$A$18:$I$88,6,FALSE)</f>
        <v>0</v>
      </c>
      <c r="F117" s="79">
        <f>VLOOKUP(A117,'CHK Técnico-SQL'!$A$18:$I$88,5,FALSE)</f>
        <v>0</v>
      </c>
      <c r="G117" s="80" t="s">
        <v>66</v>
      </c>
    </row>
    <row r="118" spans="1:7" ht="51">
      <c r="A118" s="76">
        <f t="shared" si="2"/>
        <v>110</v>
      </c>
      <c r="B118" s="77" t="str">
        <f>VLOOKUP(A118,'CHK Técnico-SQL'!$A$18:$I$88,4,FALSE)</f>
        <v>Estandarización</v>
      </c>
      <c r="C118" s="77" t="str">
        <f>VLOOKUP(A118,'CHK Técnico-SQL'!$A$18:$I$88,3,FALSE)</f>
        <v>Nombres de tablas nuevas descriptivos y singulares (ej: SOLICITUD_TRASPASO_ENTRADA)</v>
      </c>
      <c r="D118" s="78">
        <f>VLOOKUP(A118,'CHK Técnico-SQL'!$A$18:$I$88,9,FALSE)</f>
        <v>44900</v>
      </c>
      <c r="E118" s="79">
        <f>VLOOKUP(A118,'CHK Técnico-SQL'!$A$18:$I$88,6,FALSE)</f>
        <v>0</v>
      </c>
      <c r="F118" s="79" t="str">
        <f>VLOOKUP(A118,'CHK Técnico-SQL'!$A$18:$I$88,5,FALSE)</f>
        <v>Si Cumple</v>
      </c>
      <c r="G118" s="80" t="s">
        <v>66</v>
      </c>
    </row>
    <row r="119" spans="1:7" ht="51">
      <c r="A119" s="76">
        <f t="shared" si="2"/>
        <v>111</v>
      </c>
      <c r="B119" s="77" t="str">
        <f>VLOOKUP(A119,'CHK Técnico-SQL'!$A$18:$I$88,4,FALSE)</f>
        <v>Estandarización</v>
      </c>
      <c r="C119" s="77" t="str">
        <f>VLOOKUP(A119,'CHK Técnico-SQL'!$A$18:$I$88,3,FALSE)</f>
        <v>Nombres de campos nuevos con forma DATO_CALIFICADOR_SUJETO</v>
      </c>
      <c r="D119" s="78">
        <f>VLOOKUP(A119,'CHK Técnico-SQL'!$A$18:$I$88,9,FALSE)</f>
        <v>44900</v>
      </c>
      <c r="E119" s="79">
        <f>VLOOKUP(A119,'CHK Técnico-SQL'!$A$18:$I$88,6,FALSE)</f>
        <v>0</v>
      </c>
      <c r="F119" s="79" t="str">
        <f>VLOOKUP(A119,'CHK Técnico-SQL'!$A$18:$I$88,5,FALSE)</f>
        <v>Si Cumple</v>
      </c>
      <c r="G119" s="80" t="s">
        <v>66</v>
      </c>
    </row>
    <row r="120" spans="1:7" ht="38.25">
      <c r="A120" s="76">
        <f t="shared" si="2"/>
        <v>112</v>
      </c>
      <c r="B120" s="77" t="str">
        <f>VLOOKUP(A120,'CHK Técnico-SQL'!$A$18:$I$88,4,FALSE)</f>
        <v>Estandarización</v>
      </c>
      <c r="C120" s="77" t="str">
        <f>VLOOKUP(A120,'CHK Técnico-SQL'!$A$18:$I$88,3,FALSE)</f>
        <v>Nombres de índices nuevos con información de campos componentes</v>
      </c>
      <c r="D120" s="78">
        <f>VLOOKUP(A120,'CHK Técnico-SQL'!$A$18:$I$88,9,FALSE)</f>
        <v>44900</v>
      </c>
      <c r="E120" s="79">
        <f>VLOOKUP(A120,'CHK Técnico-SQL'!$A$18:$I$88,6,FALSE)</f>
        <v>0</v>
      </c>
      <c r="F120" s="79" t="str">
        <f>VLOOKUP(A120,'CHK Técnico-SQL'!$A$18:$I$88,5,FALSE)</f>
        <v>No Aplica</v>
      </c>
      <c r="G120" s="80" t="s">
        <v>66</v>
      </c>
    </row>
    <row r="121" spans="1:7" ht="63.75">
      <c r="A121" s="76">
        <f t="shared" si="2"/>
        <v>113</v>
      </c>
      <c r="B121" s="77" t="str">
        <f>VLOOKUP(A121,'CHK Técnico-SQL'!$A$18:$I$88,4,FALSE)</f>
        <v>Estandarización</v>
      </c>
      <c r="C121" s="77" t="str">
        <f>VLOOKUP(A121,'CHK Técnico-SQL'!$A$18:$I$88,3,FALSE)</f>
        <v xml:space="preserve">Nombres de triggers nuevos con forma APL_INS/ELI/ACT_NOMBRETABLA_ANTES/DESPUES </v>
      </c>
      <c r="D121" s="78">
        <f>VLOOKUP(A121,'CHK Técnico-SQL'!$A$18:$I$88,9,FALSE)</f>
        <v>44900</v>
      </c>
      <c r="E121" s="79">
        <f>VLOOKUP(A121,'CHK Técnico-SQL'!$A$18:$I$88,6,FALSE)</f>
        <v>0</v>
      </c>
      <c r="F121" s="79" t="str">
        <f>VLOOKUP(A121,'CHK Técnico-SQL'!$A$18:$I$88,5,FALSE)</f>
        <v>No Aplica</v>
      </c>
      <c r="G121" s="80" t="s">
        <v>66</v>
      </c>
    </row>
    <row r="122" spans="1:7" ht="51">
      <c r="A122" s="76">
        <f t="shared" si="2"/>
        <v>114</v>
      </c>
      <c r="B122" s="77" t="str">
        <f>VLOOKUP(A122,'CHK Técnico-SQL'!$A$18:$I$88,4,FALSE)</f>
        <v>Estandarización</v>
      </c>
      <c r="C122" s="77" t="str">
        <f>VLOOKUP(A122,'CHK Técnico-SQL'!$A$18:$I$88,3,FALSE)</f>
        <v>Nombres de procedures nuevos con forma APL_ACCION[_PROCESO]_ENTIDAD_CALIFICADOR</v>
      </c>
      <c r="D122" s="78">
        <f>VLOOKUP(A122,'CHK Técnico-SQL'!$A$18:$I$88,9,FALSE)</f>
        <v>44900</v>
      </c>
      <c r="E122" s="79">
        <f>VLOOKUP(A122,'CHK Técnico-SQL'!$A$18:$I$88,6,FALSE)</f>
        <v>0</v>
      </c>
      <c r="F122" s="79" t="str">
        <f>VLOOKUP(A122,'CHK Técnico-SQL'!$A$18:$I$88,5,FALSE)</f>
        <v>Si Cumple</v>
      </c>
      <c r="G122" s="80" t="s">
        <v>66</v>
      </c>
    </row>
    <row r="123" spans="1:7" ht="51">
      <c r="A123" s="76">
        <f t="shared" si="2"/>
        <v>115</v>
      </c>
      <c r="B123" s="77" t="str">
        <f>VLOOKUP(A123,'CHK Técnico-SQL'!$A$18:$I$88,4,FALSE)</f>
        <v>Estandarización</v>
      </c>
      <c r="C123" s="77" t="str">
        <f>VLOOKUP(A123,'CHK Técnico-SQL'!$A$18:$I$88,3,FALSE)</f>
        <v>Nombres de Jobs con formato JOB_APL_Descripción del Job</v>
      </c>
      <c r="D123" s="78">
        <f>VLOOKUP(A123,'CHK Técnico-SQL'!$A$18:$I$88,9,FALSE)</f>
        <v>44900</v>
      </c>
      <c r="E123" s="79">
        <f>VLOOKUP(A123,'CHK Técnico-SQL'!$A$18:$I$88,6,FALSE)</f>
        <v>0</v>
      </c>
      <c r="F123" s="79" t="str">
        <f>VLOOKUP(A123,'CHK Técnico-SQL'!$A$18:$I$88,5,FALSE)</f>
        <v>No Aplica</v>
      </c>
      <c r="G123" s="80" t="s">
        <v>66</v>
      </c>
    </row>
    <row r="124" spans="1:7" ht="38.25">
      <c r="A124" s="76">
        <f t="shared" si="2"/>
        <v>116</v>
      </c>
      <c r="B124" s="77" t="str">
        <f>VLOOKUP(A124,'CHK Técnico-SQL'!$A$18:$I$88,4,FALSE)</f>
        <v>Estandarización</v>
      </c>
      <c r="C124" s="77" t="str">
        <f>VLOOKUP(A124,'CHK Técnico-SQL'!$A$18:$I$88,3,FALSE)</f>
        <v>La nomenclatura de los script, sigue el estándar:
Script_OT9999_N.SQL?</v>
      </c>
      <c r="D124" s="78">
        <f>VLOOKUP(A124,'CHK Técnico-SQL'!$A$18:$I$88,9,FALSE)</f>
        <v>44900</v>
      </c>
      <c r="E124" s="79">
        <f>VLOOKUP(A124,'CHK Técnico-SQL'!$A$18:$I$88,6,FALSE)</f>
        <v>0</v>
      </c>
      <c r="F124" s="79" t="str">
        <f>VLOOKUP(A124,'CHK Técnico-SQL'!$A$18:$I$88,5,FALSE)</f>
        <v>Si Cumple</v>
      </c>
      <c r="G124" s="80" t="s">
        <v>66</v>
      </c>
    </row>
    <row r="125" spans="1:7">
      <c r="A125" s="76">
        <f t="shared" si="2"/>
        <v>117</v>
      </c>
      <c r="B125" s="77">
        <f>VLOOKUP(A125,'CHK Técnico-SQL'!$A$18:$I$88,4,FALSE)</f>
        <v>0</v>
      </c>
      <c r="C125" s="77">
        <f>VLOOKUP(A125,'CHK Técnico-SQL'!$A$18:$I$88,3,FALSE)</f>
        <v>0</v>
      </c>
      <c r="D125" s="78">
        <f>VLOOKUP(A125,'CHK Técnico-SQL'!$A$18:$I$88,9,FALSE)</f>
        <v>0</v>
      </c>
      <c r="E125" s="79">
        <f>VLOOKUP(A125,'CHK Técnico-SQL'!$A$18:$I$88,6,FALSE)</f>
        <v>0</v>
      </c>
      <c r="F125" s="79">
        <f>VLOOKUP(A125,'CHK Técnico-SQL'!$A$18:$I$88,5,FALSE)</f>
        <v>0</v>
      </c>
      <c r="G125" s="80" t="s">
        <v>66</v>
      </c>
    </row>
    <row r="126" spans="1:7" ht="51">
      <c r="A126" s="76">
        <f t="shared" si="2"/>
        <v>118</v>
      </c>
      <c r="B126" s="77" t="str">
        <f>VLOOKUP(A126,'CHK Técnico-SQL'!$A$18:$I$88,4,FALSE)</f>
        <v>Estandarización</v>
      </c>
      <c r="C126" s="77" t="str">
        <f>VLOOKUP(A126,'CHK Técnico-SQL'!$A$18:$I$88,3,FALSE)</f>
        <v>Para nuevos archivos maestros permanentes se respeta la 3ra. Forma normal</v>
      </c>
      <c r="D126" s="78">
        <f>VLOOKUP(A126,'CHK Técnico-SQL'!$A$18:$I$88,9,FALSE)</f>
        <v>44900</v>
      </c>
      <c r="E126" s="79">
        <f>VLOOKUP(A126,'CHK Técnico-SQL'!$A$18:$I$88,6,FALSE)</f>
        <v>0</v>
      </c>
      <c r="F126" s="79" t="str">
        <f>VLOOKUP(A126,'CHK Técnico-SQL'!$A$18:$I$88,5,FALSE)</f>
        <v>Si Cumple</v>
      </c>
      <c r="G126" s="80" t="s">
        <v>66</v>
      </c>
    </row>
    <row r="127" spans="1:7" ht="38.25">
      <c r="A127" s="76">
        <f t="shared" si="2"/>
        <v>119</v>
      </c>
      <c r="B127" s="77" t="str">
        <f>VLOOKUP(A127,'CHK Técnico-SQL'!$A$18:$I$88,4,FALSE)</f>
        <v>Estandarización</v>
      </c>
      <c r="C127" s="77" t="str">
        <f>VLOOKUP(A127,'CHK Técnico-SQL'!$A$18:$I$88,3,FALSE)</f>
        <v>Las tablas tienen índice primario (a excepción de las tablas logs)</v>
      </c>
      <c r="D127" s="78">
        <f>VLOOKUP(A127,'CHK Técnico-SQL'!$A$18:$I$88,9,FALSE)</f>
        <v>44900</v>
      </c>
      <c r="E127" s="79">
        <f>VLOOKUP(A127,'CHK Técnico-SQL'!$A$18:$I$88,6,FALSE)</f>
        <v>0</v>
      </c>
      <c r="F127" s="79" t="str">
        <f>VLOOKUP(A127,'CHK Técnico-SQL'!$A$18:$I$88,5,FALSE)</f>
        <v>Si Cumple</v>
      </c>
      <c r="G127" s="80" t="s">
        <v>66</v>
      </c>
    </row>
    <row r="128" spans="1:7" ht="25.5">
      <c r="A128" s="76">
        <f t="shared" si="2"/>
        <v>120</v>
      </c>
      <c r="B128" s="77" t="str">
        <f>VLOOKUP(A128,'CHK Técnico-SQL'!$A$18:$I$88,4,FALSE)</f>
        <v>Estandarización</v>
      </c>
      <c r="C128" s="77" t="str">
        <f>VLOOKUP(A128,'CHK Técnico-SQL'!$A$18:$I$88,3,FALSE)</f>
        <v>Se ha evitado el uso del tipo Float</v>
      </c>
      <c r="D128" s="78">
        <f>VLOOKUP(A128,'CHK Técnico-SQL'!$A$18:$I$88,9,FALSE)</f>
        <v>44900</v>
      </c>
      <c r="E128" s="79">
        <f>VLOOKUP(A128,'CHK Técnico-SQL'!$A$18:$I$88,6,FALSE)</f>
        <v>0</v>
      </c>
      <c r="F128" s="79" t="str">
        <f>VLOOKUP(A128,'CHK Técnico-SQL'!$A$18:$I$88,5,FALSE)</f>
        <v>Si Cumple</v>
      </c>
      <c r="G128" s="80" t="s">
        <v>66</v>
      </c>
    </row>
    <row r="129" spans="1:7" ht="76.5">
      <c r="A129" s="76">
        <f t="shared" si="2"/>
        <v>121</v>
      </c>
      <c r="B129" s="77" t="str">
        <f>VLOOKUP(A129,'CHK Técnico-SQL'!$A$18:$I$88,4,FALSE)</f>
        <v>Estandarización</v>
      </c>
      <c r="C129" s="77" t="str">
        <f>VLOOKUP(A129,'CHK Técnico-SQL'!$A$18:$I$88,3,FALSE)</f>
        <v>Campos fecha en formato DATE (si no requiere registrar la hora) o DATETIME(si requiere registrar la hora) y Periodo formato AAAAMM</v>
      </c>
      <c r="D129" s="78">
        <f>VLOOKUP(A129,'CHK Técnico-SQL'!$A$18:$I$88,9,FALSE)</f>
        <v>44900</v>
      </c>
      <c r="E129" s="79">
        <f>VLOOKUP(A129,'CHK Técnico-SQL'!$A$18:$I$88,6,FALSE)</f>
        <v>0</v>
      </c>
      <c r="F129" s="79" t="str">
        <f>VLOOKUP(A129,'CHK Técnico-SQL'!$A$18:$I$88,5,FALSE)</f>
        <v>Si Cumple</v>
      </c>
      <c r="G129" s="80" t="s">
        <v>66</v>
      </c>
    </row>
    <row r="130" spans="1:7" ht="25.5">
      <c r="A130" s="76">
        <f t="shared" si="2"/>
        <v>122</v>
      </c>
      <c r="B130" s="77" t="str">
        <f>VLOOKUP(A130,'CHK Técnico-SQL'!$A$18:$I$88,4,FALSE)</f>
        <v>Estandarización</v>
      </c>
      <c r="C130" s="77" t="str">
        <f>VLOOKUP(A130,'CHK Técnico-SQL'!$A$18:$I$88,3,FALSE)</f>
        <v>Campos hora en formato TIME</v>
      </c>
      <c r="D130" s="78">
        <f>VLOOKUP(A130,'CHK Técnico-SQL'!$A$18:$I$88,9,FALSE)</f>
        <v>44900</v>
      </c>
      <c r="E130" s="79">
        <f>VLOOKUP(A130,'CHK Técnico-SQL'!$A$18:$I$88,6,FALSE)</f>
        <v>0</v>
      </c>
      <c r="F130" s="79" t="str">
        <f>VLOOKUP(A130,'CHK Técnico-SQL'!$A$18:$I$88,5,FALSE)</f>
        <v>Si Cumple</v>
      </c>
      <c r="G130" s="80" t="s">
        <v>66</v>
      </c>
    </row>
    <row r="131" spans="1:7" ht="76.5">
      <c r="A131" s="76">
        <f t="shared" si="2"/>
        <v>123</v>
      </c>
      <c r="B131" s="77" t="str">
        <f>VLOOKUP(A131,'CHK Técnico-SQL'!$A$18:$I$88,4,FALSE)</f>
        <v>Estandarización</v>
      </c>
      <c r="C131" s="77" t="str">
        <f>VLOOKUP(A131,'CHK Técnico-SQL'!$A$18:$I$88,3,FALSE)</f>
        <v>Para datos de última actualización se están grabando los datos de auditoria (Fecha, usuario) con SYSTEM_USER y GETDATE()</v>
      </c>
      <c r="D131" s="78">
        <f>VLOOKUP(A131,'CHK Técnico-SQL'!$A$18:$I$88,9,FALSE)</f>
        <v>44900</v>
      </c>
      <c r="E131" s="79">
        <f>VLOOKUP(A131,'CHK Técnico-SQL'!$A$18:$I$88,6,FALSE)</f>
        <v>0</v>
      </c>
      <c r="F131" s="79" t="str">
        <f>VLOOKUP(A131,'CHK Técnico-SQL'!$A$18:$I$88,5,FALSE)</f>
        <v>Si Cumple</v>
      </c>
      <c r="G131" s="80" t="s">
        <v>66</v>
      </c>
    </row>
    <row r="132" spans="1:7" ht="25.5">
      <c r="A132" s="76">
        <f t="shared" si="2"/>
        <v>124</v>
      </c>
      <c r="B132" s="77" t="str">
        <f>VLOOKUP(A132,'CHK Técnico-SQL'!$A$18:$I$88,4,FALSE)</f>
        <v>Estandarización</v>
      </c>
      <c r="C132" s="77" t="str">
        <f>VLOOKUP(A132,'CHK Técnico-SQL'!$A$18:$I$88,3,FALSE)</f>
        <v>Campos con valor monetario del tipo DECIMAL(15,2)</v>
      </c>
      <c r="D132" s="78">
        <f>VLOOKUP(A132,'CHK Técnico-SQL'!$A$18:$I$88,9,FALSE)</f>
        <v>44900</v>
      </c>
      <c r="E132" s="79">
        <f>VLOOKUP(A132,'CHK Técnico-SQL'!$A$18:$I$88,6,FALSE)</f>
        <v>0</v>
      </c>
      <c r="F132" s="79" t="str">
        <f>VLOOKUP(A132,'CHK Técnico-SQL'!$A$18:$I$88,5,FALSE)</f>
        <v>No Aplica</v>
      </c>
      <c r="G132" s="80" t="s">
        <v>66</v>
      </c>
    </row>
    <row r="133" spans="1:7">
      <c r="A133" s="76">
        <f t="shared" si="2"/>
        <v>125</v>
      </c>
      <c r="B133" s="77">
        <f>VLOOKUP(A133,'CHK Técnico-SQL'!$A$18:$I$88,4,FALSE)</f>
        <v>0</v>
      </c>
      <c r="C133" s="77">
        <f>VLOOKUP(A133,'CHK Técnico-SQL'!$A$18:$I$88,3,FALSE)</f>
        <v>0</v>
      </c>
      <c r="D133" s="78">
        <f>VLOOKUP(A133,'CHK Técnico-SQL'!$A$18:$I$88,9,FALSE)</f>
        <v>0</v>
      </c>
      <c r="E133" s="79">
        <f>VLOOKUP(A133,'CHK Técnico-SQL'!$A$18:$I$88,6,FALSE)</f>
        <v>0</v>
      </c>
      <c r="F133" s="79">
        <f>VLOOKUP(A133,'CHK Técnico-SQL'!$A$18:$I$88,5,FALSE)</f>
        <v>0</v>
      </c>
      <c r="G133" s="80" t="s">
        <v>66</v>
      </c>
    </row>
    <row r="134" spans="1:7" ht="76.5">
      <c r="A134" s="76">
        <f t="shared" si="2"/>
        <v>126</v>
      </c>
      <c r="B134" s="77" t="str">
        <f>VLOOKUP(A134,'CHK Técnico-SQL'!$A$18:$I$88,4,FALSE)</f>
        <v>Estandarización</v>
      </c>
      <c r="C134" s="77" t="str">
        <f>VLOOKUP(A134,'CHK Técnico-SQL'!$A$18:$I$88,3,FALSE)</f>
        <v>Se usa la sentencia EXECUTE solo en caso de acceso a información de una base de datos distinta o para ejecutar procesos sobre la misma BD</v>
      </c>
      <c r="D134" s="78">
        <f>VLOOKUP(A134,'CHK Técnico-SQL'!$A$18:$I$88,9,FALSE)</f>
        <v>44900</v>
      </c>
      <c r="E134" s="79">
        <f>VLOOKUP(A134,'CHK Técnico-SQL'!$A$18:$I$88,6,FALSE)</f>
        <v>0</v>
      </c>
      <c r="F134" s="79" t="str">
        <f>VLOOKUP(A134,'CHK Técnico-SQL'!$A$18:$I$88,5,FALSE)</f>
        <v>Si Cumple</v>
      </c>
      <c r="G134" s="80" t="s">
        <v>66</v>
      </c>
    </row>
    <row r="135" spans="1:7" ht="38.25">
      <c r="A135" s="76">
        <f t="shared" si="2"/>
        <v>127</v>
      </c>
      <c r="B135" s="77" t="str">
        <f>VLOOKUP(A135,'CHK Técnico-SQL'!$A$18:$I$88,4,FALSE)</f>
        <v>Estandarización</v>
      </c>
      <c r="C135" s="77" t="str">
        <f>VLOOKUP(A135,'CHK Técnico-SQL'!$A$18:$I$88,3,FALSE)</f>
        <v>Declaración de variables con nombres que permitan la mantenibilidad</v>
      </c>
      <c r="D135" s="78">
        <f>VLOOKUP(A135,'CHK Técnico-SQL'!$A$18:$I$88,9,FALSE)</f>
        <v>44900</v>
      </c>
      <c r="E135" s="79">
        <f>VLOOKUP(A135,'CHK Técnico-SQL'!$A$18:$I$88,6,FALSE)</f>
        <v>0</v>
      </c>
      <c r="F135" s="79" t="str">
        <f>VLOOKUP(A135,'CHK Técnico-SQL'!$A$18:$I$88,5,FALSE)</f>
        <v>Si Cumple</v>
      </c>
      <c r="G135" s="80" t="s">
        <v>66</v>
      </c>
    </row>
    <row r="136" spans="1:7" ht="38.25">
      <c r="A136" s="76">
        <f t="shared" si="2"/>
        <v>128</v>
      </c>
      <c r="B136" s="77" t="str">
        <f>VLOOKUP(A136,'CHK Técnico-SQL'!$A$18:$I$88,4,FALSE)</f>
        <v>Estandarización</v>
      </c>
      <c r="C136" s="77" t="str">
        <f>VLOOKUP(A136,'CHK Técnico-SQL'!$A$18:$I$88,3,FALSE)</f>
        <v>Nombres cortos para variables que recorren bucles (@i, @j)</v>
      </c>
      <c r="D136" s="78">
        <f>VLOOKUP(A136,'CHK Técnico-SQL'!$A$18:$I$88,9,FALSE)</f>
        <v>44900</v>
      </c>
      <c r="E136" s="79">
        <f>VLOOKUP(A136,'CHK Técnico-SQL'!$A$18:$I$88,6,FALSE)</f>
        <v>0</v>
      </c>
      <c r="F136" s="79" t="str">
        <f>VLOOKUP(A136,'CHK Técnico-SQL'!$A$18:$I$88,5,FALSE)</f>
        <v>No Aplica</v>
      </c>
      <c r="G136" s="80" t="s">
        <v>66</v>
      </c>
    </row>
    <row r="137" spans="1:7" ht="25.5">
      <c r="A137" s="76">
        <f t="shared" si="2"/>
        <v>129</v>
      </c>
      <c r="B137" s="77" t="str">
        <f>VLOOKUP(A137,'CHK Técnico-SQL'!$A$18:$I$88,4,FALSE)</f>
        <v>Estandarización</v>
      </c>
      <c r="C137" s="77" t="str">
        <f>VLOOKUP(A137,'CHK Técnico-SQL'!$A$18:$I$88,3,FALSE)</f>
        <v>Evitar el uso de variables tipo tabla</v>
      </c>
      <c r="D137" s="78">
        <f>VLOOKUP(A137,'CHK Técnico-SQL'!$A$18:$I$88,9,FALSE)</f>
        <v>44900</v>
      </c>
      <c r="E137" s="79">
        <f>VLOOKUP(A137,'CHK Técnico-SQL'!$A$18:$I$88,6,FALSE)</f>
        <v>0</v>
      </c>
      <c r="F137" s="79" t="str">
        <f>VLOOKUP(A137,'CHK Técnico-SQL'!$A$18:$I$88,5,FALSE)</f>
        <v>No Aplica</v>
      </c>
      <c r="G137" s="80" t="s">
        <v>66</v>
      </c>
    </row>
    <row r="138" spans="1:7" ht="38.25">
      <c r="A138" s="76">
        <f t="shared" si="2"/>
        <v>130</v>
      </c>
      <c r="B138" s="77" t="str">
        <f>VLOOKUP(A138,'CHK Técnico-SQL'!$A$18:$I$88,4,FALSE)</f>
        <v>Estandarización</v>
      </c>
      <c r="C138" s="77" t="str">
        <f>VLOOKUP(A138,'CHK Técnico-SQL'!$A$18:$I$88,3,FALSE)</f>
        <v>Sentencias SELECT se han escrito en forma estructurada y no de corrido</v>
      </c>
      <c r="D138" s="78">
        <f>VLOOKUP(A138,'CHK Técnico-SQL'!$A$18:$I$88,9,FALSE)</f>
        <v>44900</v>
      </c>
      <c r="E138" s="79">
        <f>VLOOKUP(A138,'CHK Técnico-SQL'!$A$18:$I$88,6,FALSE)</f>
        <v>0</v>
      </c>
      <c r="F138" s="79" t="str">
        <f>VLOOKUP(A138,'CHK Técnico-SQL'!$A$18:$I$88,5,FALSE)</f>
        <v>Si Cumple</v>
      </c>
      <c r="G138" s="80" t="s">
        <v>66</v>
      </c>
    </row>
    <row r="139" spans="1:7" ht="25.5">
      <c r="A139" s="76">
        <f t="shared" si="2"/>
        <v>131</v>
      </c>
      <c r="B139" s="77" t="str">
        <f>VLOOKUP(A139,'CHK Técnico-SQL'!$A$18:$I$88,4,FALSE)</f>
        <v>Estandarización</v>
      </c>
      <c r="C139" s="77" t="str">
        <f>VLOOKUP(A139,'CHK Técnico-SQL'!$A$18:$I$88,3,FALSE)</f>
        <v>Uso de Hint WITH(NOLOCK) para evitar bloqueo de tablas</v>
      </c>
      <c r="D139" s="78">
        <f>VLOOKUP(A139,'CHK Técnico-SQL'!$A$18:$I$88,9,FALSE)</f>
        <v>44900</v>
      </c>
      <c r="E139" s="79">
        <f>VLOOKUP(A139,'CHK Técnico-SQL'!$A$18:$I$88,6,FALSE)</f>
        <v>0</v>
      </c>
      <c r="F139" s="79" t="str">
        <f>VLOOKUP(A139,'CHK Técnico-SQL'!$A$18:$I$88,5,FALSE)</f>
        <v>No Aplica</v>
      </c>
      <c r="G139" s="80" t="s">
        <v>66</v>
      </c>
    </row>
    <row r="140" spans="1:7" ht="51">
      <c r="A140" s="76">
        <f t="shared" si="2"/>
        <v>132</v>
      </c>
      <c r="B140" s="77" t="str">
        <f>VLOOKUP(A140,'CHK Técnico-SQL'!$A$18:$I$88,4,FALSE)</f>
        <v>Estandarización</v>
      </c>
      <c r="C140" s="77" t="str">
        <f>VLOOKUP(A140,'CHK Técnico-SQL'!$A$18:$I$88,3,FALSE)</f>
        <v>Las instrucciones SELECT con OR, &lt;&gt; , NOT, IN tienen condición adicional "=" que limita búsqueda</v>
      </c>
      <c r="D140" s="78">
        <f>VLOOKUP(A140,'CHK Técnico-SQL'!$A$18:$I$88,9,FALSE)</f>
        <v>44900</v>
      </c>
      <c r="E140" s="79">
        <f>VLOOKUP(A140,'CHK Técnico-SQL'!$A$18:$I$88,6,FALSE)</f>
        <v>0</v>
      </c>
      <c r="F140" s="79" t="str">
        <f>VLOOKUP(A140,'CHK Técnico-SQL'!$A$18:$I$88,5,FALSE)</f>
        <v>Si Cumple</v>
      </c>
      <c r="G140" s="80" t="s">
        <v>66</v>
      </c>
    </row>
    <row r="141" spans="1:7" ht="51">
      <c r="A141" s="76">
        <f t="shared" si="2"/>
        <v>133</v>
      </c>
      <c r="B141" s="77" t="str">
        <f>VLOOKUP(A141,'CHK Técnico-SQL'!$A$18:$I$88,4,FALSE)</f>
        <v>Estandarización</v>
      </c>
      <c r="C141" s="77" t="str">
        <f>VLOOKUP(A141,'CHK Técnico-SQL'!$A$18:$I$88,3,FALSE)</f>
        <v>Condiciones con SUBSTRING en SELECT tienen condición adicional "=" que limita búsqueda</v>
      </c>
      <c r="D141" s="78">
        <f>VLOOKUP(A141,'CHK Técnico-SQL'!$A$18:$I$88,9,FALSE)</f>
        <v>44900</v>
      </c>
      <c r="E141" s="79">
        <f>VLOOKUP(A141,'CHK Técnico-SQL'!$A$18:$I$88,6,FALSE)</f>
        <v>0</v>
      </c>
      <c r="F141" s="79" t="str">
        <f>VLOOKUP(A141,'CHK Técnico-SQL'!$A$18:$I$88,5,FALSE)</f>
        <v>No Aplica</v>
      </c>
      <c r="G141" s="80" t="s">
        <v>66</v>
      </c>
    </row>
    <row r="142" spans="1:7" ht="76.5">
      <c r="A142" s="76">
        <f t="shared" si="2"/>
        <v>134</v>
      </c>
      <c r="B142" s="77" t="str">
        <f>VLOOKUP(A142,'CHK Técnico-SQL'!$A$18:$I$88,4,FALSE)</f>
        <v>Estandarización</v>
      </c>
      <c r="C142" s="77" t="str">
        <f>VLOOKUP(A142,'CHK Técnico-SQL'!$A$18:$I$88,3,FALSE)</f>
        <v>Se evita el uso de CURSOR, se prefiere la creación de tablas temporales con un campo IDENTITY que permita recorrer fila por fila la tabla temporal</v>
      </c>
      <c r="D142" s="78">
        <f>VLOOKUP(A142,'CHK Técnico-SQL'!$A$18:$I$88,9,FALSE)</f>
        <v>44900</v>
      </c>
      <c r="E142" s="79">
        <f>VLOOKUP(A142,'CHK Técnico-SQL'!$A$18:$I$88,6,FALSE)</f>
        <v>0</v>
      </c>
      <c r="F142" s="79" t="str">
        <f>VLOOKUP(A142,'CHK Técnico-SQL'!$A$18:$I$88,5,FALSE)</f>
        <v>No Aplica</v>
      </c>
      <c r="G142" s="80" t="s">
        <v>66</v>
      </c>
    </row>
    <row r="143" spans="1:7" ht="51">
      <c r="A143" s="76">
        <f t="shared" si="2"/>
        <v>135</v>
      </c>
      <c r="B143" s="77" t="str">
        <f>VLOOKUP(A143,'CHK Técnico-SQL'!$A$18:$I$88,4,FALSE)</f>
        <v>Estandarización</v>
      </c>
      <c r="C143" s="77" t="str">
        <f>VLOOKUP(A143,'CHK Técnico-SQL'!$A$18:$I$88,3,FALSE)</f>
        <v>Para Stored Procedures Nuevos se incluye cabecera con objetivo y parámetros del SP.</v>
      </c>
      <c r="D143" s="78">
        <f>VLOOKUP(A143,'CHK Técnico-SQL'!$A$18:$I$88,9,FALSE)</f>
        <v>44900</v>
      </c>
      <c r="E143" s="79">
        <f>VLOOKUP(A143,'CHK Técnico-SQL'!$A$18:$I$88,6,FALSE)</f>
        <v>0</v>
      </c>
      <c r="F143" s="79" t="str">
        <f>VLOOKUP(A143,'CHK Técnico-SQL'!$A$18:$I$88,5,FALSE)</f>
        <v>Si Cumple</v>
      </c>
      <c r="G143" s="80" t="s">
        <v>66</v>
      </c>
    </row>
    <row r="144" spans="1:7" ht="51">
      <c r="A144" s="76">
        <f t="shared" si="2"/>
        <v>136</v>
      </c>
      <c r="B144" s="77" t="str">
        <f>VLOOKUP(A144,'CHK Técnico-SQL'!$A$18:$I$88,4,FALSE)</f>
        <v>Estandarización</v>
      </c>
      <c r="C144" s="77" t="str">
        <f>VLOOKUP(A144,'CHK Técnico-SQL'!$A$18:$I$88,3,FALSE)</f>
        <v>Se ha incluido la descripción del cambio en la parte superior según formato previsto.</v>
      </c>
      <c r="D144" s="78">
        <f>VLOOKUP(A144,'CHK Técnico-SQL'!$A$18:$I$88,9,FALSE)</f>
        <v>44900</v>
      </c>
      <c r="E144" s="79">
        <f>VLOOKUP(A144,'CHK Técnico-SQL'!$A$18:$I$88,6,FALSE)</f>
        <v>0</v>
      </c>
      <c r="F144" s="79" t="str">
        <f>VLOOKUP(A144,'CHK Técnico-SQL'!$A$18:$I$88,5,FALSE)</f>
        <v>Si Cumple</v>
      </c>
      <c r="G144" s="80" t="s">
        <v>66</v>
      </c>
    </row>
    <row r="145" spans="1:7" ht="51">
      <c r="A145" s="76">
        <f t="shared" si="2"/>
        <v>137</v>
      </c>
      <c r="B145" s="77" t="str">
        <f>VLOOKUP(A145,'CHK Técnico-SQL'!$A$18:$I$88,4,FALSE)</f>
        <v>Estandarización</v>
      </c>
      <c r="C145" s="77" t="str">
        <f>VLOOKUP(A145,'CHK Técnico-SQL'!$A$18:$I$88,3,FALSE)</f>
        <v>Se han incluido comentarios que permitan entender algoritmos complejos, Bloques de código</v>
      </c>
      <c r="D145" s="78">
        <f>VLOOKUP(A145,'CHK Técnico-SQL'!$A$18:$I$88,9,FALSE)</f>
        <v>44900</v>
      </c>
      <c r="E145" s="79">
        <f>VLOOKUP(A145,'CHK Técnico-SQL'!$A$18:$I$88,6,FALSE)</f>
        <v>0</v>
      </c>
      <c r="F145" s="79" t="str">
        <f>VLOOKUP(A145,'CHK Técnico-SQL'!$A$18:$I$88,5,FALSE)</f>
        <v>No Aplica</v>
      </c>
      <c r="G145" s="80" t="s">
        <v>66</v>
      </c>
    </row>
    <row r="146" spans="1:7" ht="63.75">
      <c r="A146" s="76">
        <f t="shared" si="2"/>
        <v>138</v>
      </c>
      <c r="B146" s="77" t="str">
        <f>VLOOKUP(A146,'CHK Técnico-SQL'!$A$18:$I$88,4,FALSE)</f>
        <v>Estandarización</v>
      </c>
      <c r="C146" s="77" t="str">
        <f>VLOOKUP(A146,'CHK Técnico-SQL'!$A$18:$I$88,3,FALSE)</f>
        <v>¿Los SP, cuentan con sus permisos de acuerdo a los roles permitidos (para SP ejecutados por aplicaciones)?</v>
      </c>
      <c r="D146" s="78">
        <f>VLOOKUP(A146,'CHK Técnico-SQL'!$A$18:$I$88,9,FALSE)</f>
        <v>44900</v>
      </c>
      <c r="E146" s="79">
        <f>VLOOKUP(A146,'CHK Técnico-SQL'!$A$18:$I$88,6,FALSE)</f>
        <v>0</v>
      </c>
      <c r="F146" s="79" t="str">
        <f>VLOOKUP(A146,'CHK Técnico-SQL'!$A$18:$I$88,5,FALSE)</f>
        <v>Si Cumple</v>
      </c>
      <c r="G146" s="80" t="s">
        <v>66</v>
      </c>
    </row>
    <row r="147" spans="1:7" ht="38.25">
      <c r="A147" s="76">
        <f t="shared" si="2"/>
        <v>139</v>
      </c>
      <c r="B147" s="77" t="str">
        <f>VLOOKUP(A147,'CHK Técnico-SQL'!$A$18:$I$88,4,FALSE)</f>
        <v>Técnico</v>
      </c>
      <c r="C147" s="77" t="str">
        <f>VLOOKUP(A147,'CHK Técnico-SQL'!$A$18:$I$88,3,FALSE)</f>
        <v>Esta implementado el manejo de errores con TRY..CATCH</v>
      </c>
      <c r="D147" s="78">
        <f>VLOOKUP(A147,'CHK Técnico-SQL'!$A$18:$I$88,9,FALSE)</f>
        <v>44900</v>
      </c>
      <c r="E147" s="79">
        <f>VLOOKUP(A147,'CHK Técnico-SQL'!$A$18:$I$88,6,FALSE)</f>
        <v>0</v>
      </c>
      <c r="F147" s="79" t="str">
        <f>VLOOKUP(A147,'CHK Técnico-SQL'!$A$18:$I$88,5,FALSE)</f>
        <v>No Aplica</v>
      </c>
      <c r="G147" s="80" t="s">
        <v>66</v>
      </c>
    </row>
    <row r="148" spans="1:7">
      <c r="A148" s="76">
        <f t="shared" si="2"/>
        <v>140</v>
      </c>
      <c r="B148" s="77">
        <f>VLOOKUP(A148,'CHK Técnico-SQL'!$A$18:$I$88,4,FALSE)</f>
        <v>0</v>
      </c>
      <c r="C148" s="77">
        <f>VLOOKUP(A148,'CHK Técnico-SQL'!$A$18:$I$88,3,FALSE)</f>
        <v>0</v>
      </c>
      <c r="D148" s="78">
        <f>VLOOKUP(A148,'CHK Técnico-SQL'!$A$18:$I$88,9,FALSE)</f>
        <v>0</v>
      </c>
      <c r="E148" s="79">
        <f>VLOOKUP(A148,'CHK Técnico-SQL'!$A$18:$I$88,6,FALSE)</f>
        <v>0</v>
      </c>
      <c r="F148" s="79">
        <f>VLOOKUP(A148,'CHK Técnico-SQL'!$A$18:$I$88,5,FALSE)</f>
        <v>0</v>
      </c>
      <c r="G148" s="80" t="s">
        <v>66</v>
      </c>
    </row>
    <row r="149" spans="1:7" ht="38.25">
      <c r="A149" s="76">
        <f>A148+1</f>
        <v>141</v>
      </c>
      <c r="B149" s="77" t="str">
        <f>VLOOKUP(A149,'CHK Técnico-SQL'!$A$18:$I$88,4,FALSE)</f>
        <v>Estandarización</v>
      </c>
      <c r="C149" s="77" t="str">
        <f>VLOOKUP(A149,'CHK Técnico-SQL'!$A$18:$I$88,3,FALSE)</f>
        <v>Los views no tienen complejidad escondida ni lógica en exceso</v>
      </c>
      <c r="D149" s="78">
        <f>VLOOKUP(A149,'CHK Técnico-SQL'!$A$18:$I$88,9,FALSE)</f>
        <v>44900</v>
      </c>
      <c r="E149" s="79">
        <f>VLOOKUP(A149,'CHK Técnico-SQL'!$A$18:$I$88,6,FALSE)</f>
        <v>0</v>
      </c>
      <c r="F149" s="79" t="str">
        <f>VLOOKUP(A149,'CHK Técnico-SQL'!$A$18:$I$88,5,FALSE)</f>
        <v>No Aplica</v>
      </c>
      <c r="G149" s="80" t="s">
        <v>66</v>
      </c>
    </row>
    <row r="150" spans="1:7">
      <c r="A150" s="76">
        <f t="shared" ref="A150:A213" si="3">A149+1</f>
        <v>142</v>
      </c>
      <c r="B150" s="77">
        <f>VLOOKUP(A150,'CHK Técnico-SQL'!$A$18:$I$88,4,FALSE)</f>
        <v>0</v>
      </c>
      <c r="C150" s="77">
        <f>VLOOKUP(A150,'CHK Técnico-SQL'!$A$18:$I$88,3,FALSE)</f>
        <v>0</v>
      </c>
      <c r="D150" s="78">
        <f>VLOOKUP(A150,'CHK Técnico-SQL'!$A$18:$I$88,9,FALSE)</f>
        <v>0</v>
      </c>
      <c r="E150" s="79">
        <f>VLOOKUP(A150,'CHK Técnico-SQL'!$A$18:$I$88,6,FALSE)</f>
        <v>0</v>
      </c>
      <c r="F150" s="79">
        <f>VLOOKUP(A150,'CHK Técnico-SQL'!$A$18:$I$88,5,FALSE)</f>
        <v>0</v>
      </c>
      <c r="G150" s="80" t="s">
        <v>66</v>
      </c>
    </row>
    <row r="151" spans="1:7" ht="38.25">
      <c r="A151" s="76">
        <f t="shared" si="3"/>
        <v>143</v>
      </c>
      <c r="B151" s="77" t="str">
        <f>VLOOKUP(A151,'CHK Técnico-SQL'!$A$18:$I$88,4,FALSE)</f>
        <v>Estandarización</v>
      </c>
      <c r="C151" s="77" t="str">
        <f>VLOOKUP(A151,'CHK Técnico-SQL'!$A$18:$I$88,3,FALSE)</f>
        <v>Para aplicaciones on-line se ha definido un rol en la Base de Datos</v>
      </c>
      <c r="D151" s="78">
        <f>VLOOKUP(A151,'CHK Técnico-SQL'!$A$18:$I$88,9,FALSE)</f>
        <v>44900</v>
      </c>
      <c r="E151" s="79">
        <f>VLOOKUP(A151,'CHK Técnico-SQL'!$A$18:$I$88,6,FALSE)</f>
        <v>0</v>
      </c>
      <c r="F151" s="79" t="str">
        <f>VLOOKUP(A151,'CHK Técnico-SQL'!$A$18:$I$88,5,FALSE)</f>
        <v>No Aplica</v>
      </c>
      <c r="G151" s="80" t="s">
        <v>66</v>
      </c>
    </row>
    <row r="152" spans="1:7" ht="38.25">
      <c r="A152" s="76">
        <f t="shared" si="3"/>
        <v>144</v>
      </c>
      <c r="B152" s="77" t="str">
        <f>VLOOKUP(A152,'CHK Técnico-SQL'!$A$18:$I$88,4,FALSE)</f>
        <v>Estandarización</v>
      </c>
      <c r="C152" s="77" t="str">
        <f>VLOOKUP(A152,'CHK Técnico-SQL'!$A$18:$I$88,3,FALSE)</f>
        <v>Para aplicaciones on-line los scripts de los procedures tienen GRANT a este rol</v>
      </c>
      <c r="D152" s="78">
        <f>VLOOKUP(A152,'CHK Técnico-SQL'!$A$18:$I$88,9,FALSE)</f>
        <v>44900</v>
      </c>
      <c r="E152" s="79">
        <f>VLOOKUP(A152,'CHK Técnico-SQL'!$A$18:$I$88,6,FALSE)</f>
        <v>0</v>
      </c>
      <c r="F152" s="79" t="str">
        <f>VLOOKUP(A152,'CHK Técnico-SQL'!$A$18:$I$88,5,FALSE)</f>
        <v>Si Cumple</v>
      </c>
      <c r="G152" s="80" t="s">
        <v>66</v>
      </c>
    </row>
    <row r="153" spans="1:7" ht="51">
      <c r="A153" s="76">
        <f t="shared" si="3"/>
        <v>145</v>
      </c>
      <c r="B153" s="77" t="str">
        <f>VLOOKUP(A153,'CHK Técnico-SQL'!$A$18:$I$88,4,FALSE)</f>
        <v>Estandarización</v>
      </c>
      <c r="C153" s="77" t="str">
        <f>VLOOKUP(A153,'CHK Técnico-SQL'!$A$18:$I$88,3,FALSE)</f>
        <v>No existen autorizaciones para ejecución de procedures directamente a usuarios o grupos</v>
      </c>
      <c r="D153" s="78">
        <f>VLOOKUP(A153,'CHK Técnico-SQL'!$A$18:$I$88,9,FALSE)</f>
        <v>44900</v>
      </c>
      <c r="E153" s="79">
        <f>VLOOKUP(A153,'CHK Técnico-SQL'!$A$18:$I$88,6,FALSE)</f>
        <v>0</v>
      </c>
      <c r="F153" s="79" t="str">
        <f>VLOOKUP(A153,'CHK Técnico-SQL'!$A$18:$I$88,5,FALSE)</f>
        <v>Si Cumple</v>
      </c>
      <c r="G153" s="80" t="s">
        <v>66</v>
      </c>
    </row>
    <row r="154" spans="1:7">
      <c r="A154" s="76">
        <f t="shared" si="3"/>
        <v>146</v>
      </c>
      <c r="B154" s="77">
        <f>VLOOKUP(A154,'CHK Técnico-SQL'!$A$18:$I$88,4,FALSE)</f>
        <v>0</v>
      </c>
      <c r="C154" s="77">
        <f>VLOOKUP(A154,'CHK Técnico-SQL'!$A$18:$I$88,3,FALSE)</f>
        <v>0</v>
      </c>
      <c r="D154" s="78">
        <f>VLOOKUP(A154,'CHK Técnico-SQL'!$A$18:$I$88,9,FALSE)</f>
        <v>0</v>
      </c>
      <c r="E154" s="79">
        <f>VLOOKUP(A154,'CHK Técnico-SQL'!$A$18:$I$88,6,FALSE)</f>
        <v>0</v>
      </c>
      <c r="F154" s="79">
        <f>VLOOKUP(A154,'CHK Técnico-SQL'!$A$18:$I$88,5,FALSE)</f>
        <v>0</v>
      </c>
      <c r="G154" s="80" t="s">
        <v>66</v>
      </c>
    </row>
    <row r="155" spans="1:7" ht="38.25">
      <c r="A155" s="76">
        <f t="shared" si="3"/>
        <v>147</v>
      </c>
      <c r="B155" s="77" t="str">
        <f>VLOOKUP(A155,'CHK Técnico-SQL'!$A$18:$I$88,4,FALSE)</f>
        <v>Documentación</v>
      </c>
      <c r="C155" s="77" t="str">
        <f>VLOOKUP(A155,'CHK Técnico-SQL'!$A$18:$I$88,3,FALSE)</f>
        <v>Se han incluido todos los objetos considerados en la etapa de diseño</v>
      </c>
      <c r="D155" s="78">
        <f>VLOOKUP(A155,'CHK Técnico-SQL'!$A$18:$I$88,9,FALSE)</f>
        <v>44900</v>
      </c>
      <c r="E155" s="79">
        <f>VLOOKUP(A155,'CHK Técnico-SQL'!$A$18:$I$88,6,FALSE)</f>
        <v>0</v>
      </c>
      <c r="F155" s="79" t="str">
        <f>VLOOKUP(A155,'CHK Técnico-SQL'!$A$18:$I$88,5,FALSE)</f>
        <v>Si Cumple</v>
      </c>
      <c r="G155" s="80" t="s">
        <v>66</v>
      </c>
    </row>
    <row r="156" spans="1:7" ht="51">
      <c r="A156" s="76">
        <f t="shared" si="3"/>
        <v>148</v>
      </c>
      <c r="B156" s="77" t="str">
        <f>VLOOKUP(A156,'CHK Técnico-SQL'!$A$18:$I$88,4,FALSE)</f>
        <v>Homologación/Versionamiento</v>
      </c>
      <c r="C156" s="77" t="str">
        <f>VLOOKUP(A156,'CHK Técnico-SQL'!$A$18:$I$88,3,FALSE)</f>
        <v>Existe un script por cada objetos del tipo STORED PROCEDURE, TABLE, VIEW nuevo o modificado</v>
      </c>
      <c r="D156" s="78">
        <f>VLOOKUP(A156,'CHK Técnico-SQL'!$A$18:$I$88,9,FALSE)</f>
        <v>44900</v>
      </c>
      <c r="E156" s="79">
        <f>VLOOKUP(A156,'CHK Técnico-SQL'!$A$18:$I$88,6,FALSE)</f>
        <v>0</v>
      </c>
      <c r="F156" s="79" t="str">
        <f>VLOOKUP(A156,'CHK Técnico-SQL'!$A$18:$I$88,5,FALSE)</f>
        <v>Si Cumple</v>
      </c>
      <c r="G156" s="80" t="s">
        <v>66</v>
      </c>
    </row>
    <row r="157" spans="1:7" ht="51">
      <c r="A157" s="76">
        <f t="shared" si="3"/>
        <v>149</v>
      </c>
      <c r="B157" s="77" t="str">
        <f>VLOOKUP(A157,'CHK Técnico-SQL'!$A$18:$I$88,4,FALSE)</f>
        <v>Estandarización</v>
      </c>
      <c r="C157" s="77" t="str">
        <f>VLOOKUP(A157,'CHK Técnico-SQL'!$A$18:$I$88,3,FALSE)</f>
        <v>Los scripts de Tablas se han generado con sus índices, foreign keys, defaults y constraints</v>
      </c>
      <c r="D157" s="78">
        <f>VLOOKUP(A157,'CHK Técnico-SQL'!$A$18:$I$88,9,FALSE)</f>
        <v>44900</v>
      </c>
      <c r="E157" s="79">
        <f>VLOOKUP(A157,'CHK Técnico-SQL'!$A$18:$I$88,6,FALSE)</f>
        <v>0</v>
      </c>
      <c r="F157" s="79" t="str">
        <f>VLOOKUP(A157,'CHK Técnico-SQL'!$A$18:$I$88,5,FALSE)</f>
        <v>Si Cumple</v>
      </c>
      <c r="G157" s="80" t="s">
        <v>66</v>
      </c>
    </row>
    <row r="158" spans="1:7" ht="38.25">
      <c r="A158" s="76">
        <f t="shared" si="3"/>
        <v>150</v>
      </c>
      <c r="B158" s="77" t="str">
        <f>VLOOKUP(A158,'CHK Técnico-SQL'!$A$18:$I$88,4,FALSE)</f>
        <v>Estandarización</v>
      </c>
      <c r="C158" s="77" t="str">
        <f>VLOOKUP(A158,'CHK Técnico-SQL'!$A$18:$I$88,3,FALSE)</f>
        <v>Los scripts han sido generados con Windows Text (Ansi)</v>
      </c>
      <c r="D158" s="78">
        <f>VLOOKUP(A158,'CHK Técnico-SQL'!$A$18:$I$88,9,FALSE)</f>
        <v>44900</v>
      </c>
      <c r="E158" s="79">
        <f>VLOOKUP(A158,'CHK Técnico-SQL'!$A$18:$I$88,6,FALSE)</f>
        <v>0</v>
      </c>
      <c r="F158" s="79" t="str">
        <f>VLOOKUP(A158,'CHK Técnico-SQL'!$A$18:$I$88,5,FALSE)</f>
        <v>No Aplica</v>
      </c>
      <c r="G158" s="80" t="s">
        <v>66</v>
      </c>
    </row>
    <row r="159" spans="1:7" ht="38.25">
      <c r="A159" s="76">
        <f t="shared" si="3"/>
        <v>151</v>
      </c>
      <c r="B159" s="77" t="str">
        <f>VLOOKUP(A159,'CHK Técnico-SQL'!$A$18:$I$88,4,FALSE)</f>
        <v>Homologación/Versionamiento</v>
      </c>
      <c r="C159" s="77" t="str">
        <f>VLOOKUP(A159,'CHK Técnico-SQL'!$A$18:$I$88,3,FALSE)</f>
        <v>Los scripts han sido incluidos en su subdirectorio correcto en Harvest</v>
      </c>
      <c r="D159" s="78">
        <f>VLOOKUP(A159,'CHK Técnico-SQL'!$A$18:$I$88,9,FALSE)</f>
        <v>44900</v>
      </c>
      <c r="E159" s="79">
        <f>VLOOKUP(A159,'CHK Técnico-SQL'!$A$18:$I$88,6,FALSE)</f>
        <v>0</v>
      </c>
      <c r="F159" s="79" t="str">
        <f>VLOOKUP(A159,'CHK Técnico-SQL'!$A$18:$I$88,5,FALSE)</f>
        <v>Si Cumple</v>
      </c>
      <c r="G159" s="80" t="s">
        <v>66</v>
      </c>
    </row>
    <row r="160" spans="1:7" ht="51">
      <c r="A160" s="76">
        <f t="shared" si="3"/>
        <v>152</v>
      </c>
      <c r="B160" s="77" t="str">
        <f>VLOOKUP(A160,'CHK Técnico-SQL'!$A$18:$I$88,4,FALSE)</f>
        <v>Documentación</v>
      </c>
      <c r="C160" s="77" t="str">
        <f>VLOOKUP(A160,'CHK Técnico-SQL'!$A$18:$I$88,3,FALSE)</f>
        <v>Se ha actualizado la documentación prevista en la evaluación de la orden de trabajo o proyecto</v>
      </c>
      <c r="D160" s="78">
        <f>VLOOKUP(A160,'CHK Técnico-SQL'!$A$18:$I$88,9,FALSE)</f>
        <v>44900</v>
      </c>
      <c r="E160" s="79">
        <f>VLOOKUP(A160,'CHK Técnico-SQL'!$A$18:$I$88,6,FALSE)</f>
        <v>0</v>
      </c>
      <c r="F160" s="79" t="str">
        <f>VLOOKUP(A160,'CHK Técnico-SQL'!$A$18:$I$88,5,FALSE)</f>
        <v>Si Cumple</v>
      </c>
      <c r="G160" s="80" t="s">
        <v>66</v>
      </c>
    </row>
    <row r="161" spans="1:7" ht="51">
      <c r="A161" s="76">
        <f t="shared" si="3"/>
        <v>153</v>
      </c>
      <c r="B161" s="77" t="str">
        <f>VLOOKUP(A161,'CHK Técnico-SQL'!$A$18:$I$88,4,FALSE)</f>
        <v>Documentación</v>
      </c>
      <c r="C161" s="77" t="str">
        <f>VLOOKUP(A161,'CHK Técnico-SQL'!$A$18:$I$88,3,FALSE)</f>
        <v>Se han incluido el documento de casos de pruebas con los escenarios previstos</v>
      </c>
      <c r="D161" s="78">
        <f>VLOOKUP(A161,'CHK Técnico-SQL'!$A$18:$I$88,9,FALSE)</f>
        <v>44900</v>
      </c>
      <c r="E161" s="79">
        <f>VLOOKUP(A161,'CHK Técnico-SQL'!$A$18:$I$88,6,FALSE)</f>
        <v>0</v>
      </c>
      <c r="F161" s="79" t="str">
        <f>VLOOKUP(A161,'CHK Técnico-SQL'!$A$18:$I$88,5,FALSE)</f>
        <v>Si Cumple</v>
      </c>
      <c r="G161" s="80" t="s">
        <v>66</v>
      </c>
    </row>
    <row r="162" spans="1:7">
      <c r="A162" s="76">
        <f t="shared" si="3"/>
        <v>154</v>
      </c>
      <c r="B162" s="77">
        <f>VLOOKUP(A162,'CHK Técnico-SQL'!$A$18:$I$88,4,FALSE)</f>
        <v>0</v>
      </c>
      <c r="C162" s="77">
        <f>VLOOKUP(A162,'CHK Técnico-SQL'!$A$18:$I$88,3,FALSE)</f>
        <v>0</v>
      </c>
      <c r="D162" s="78">
        <f>VLOOKUP(A162,'CHK Técnico-SQL'!$A$18:$I$88,9,FALSE)</f>
        <v>0</v>
      </c>
      <c r="E162" s="79">
        <f>VLOOKUP(A162,'CHK Técnico-SQL'!$A$18:$I$88,6,FALSE)</f>
        <v>0</v>
      </c>
      <c r="F162" s="79">
        <f>VLOOKUP(A162,'CHK Técnico-SQL'!$A$18:$I$88,5,FALSE)</f>
        <v>0</v>
      </c>
      <c r="G162" s="80" t="s">
        <v>66</v>
      </c>
    </row>
    <row r="163" spans="1:7" ht="51">
      <c r="A163" s="76">
        <f t="shared" si="3"/>
        <v>155</v>
      </c>
      <c r="B163" s="77" t="str">
        <f>VLOOKUP(A163,'CHK Técnico-SQL'!$A$18:$I$88,4,FALSE)</f>
        <v>Homologación/Versionamiento</v>
      </c>
      <c r="C163" s="77" t="str">
        <f>VLOOKUP(A163,'CHK Técnico-SQL'!$A$18:$I$88,3,FALSE)</f>
        <v>Una persona distinta al programador ha realizado comparación de fuentes modificados</v>
      </c>
      <c r="D163" s="78">
        <f>VLOOKUP(A163,'CHK Técnico-SQL'!$A$18:$I$88,9,FALSE)</f>
        <v>44900</v>
      </c>
      <c r="E163" s="79">
        <f>VLOOKUP(A163,'CHK Técnico-SQL'!$A$18:$I$88,6,FALSE)</f>
        <v>0</v>
      </c>
      <c r="F163" s="79" t="str">
        <f>VLOOKUP(A163,'CHK Técnico-SQL'!$A$18:$I$88,5,FALSE)</f>
        <v>No Aplica</v>
      </c>
      <c r="G163" s="80" t="s">
        <v>66</v>
      </c>
    </row>
    <row r="164" spans="1:7" ht="51">
      <c r="A164" s="76">
        <f t="shared" si="3"/>
        <v>156</v>
      </c>
      <c r="B164" s="77" t="str">
        <f>VLOOKUP(A164,'CHK Técnico-SQL'!$A$18:$I$88,4,FALSE)</f>
        <v>Funcionalidad</v>
      </c>
      <c r="C164" s="77" t="str">
        <f>VLOOKUP(A164,'CHK Técnico-SQL'!$A$18:$I$88,3,FALSE)</f>
        <v>Los cambios de fuente se muestran relacionados con las especificaciones funcionales</v>
      </c>
      <c r="D164" s="78">
        <f>VLOOKUP(A164,'CHK Técnico-SQL'!$A$18:$I$88,9,FALSE)</f>
        <v>44900</v>
      </c>
      <c r="E164" s="79">
        <f>VLOOKUP(A164,'CHK Técnico-SQL'!$A$18:$I$88,6,FALSE)</f>
        <v>0</v>
      </c>
      <c r="F164" s="79" t="str">
        <f>VLOOKUP(A164,'CHK Técnico-SQL'!$A$18:$I$88,5,FALSE)</f>
        <v>No Aplica</v>
      </c>
      <c r="G164" s="80" t="s">
        <v>66</v>
      </c>
    </row>
    <row r="165" spans="1:7" ht="25.5">
      <c r="A165" s="76">
        <f t="shared" si="3"/>
        <v>157</v>
      </c>
      <c r="B165" s="77" t="str">
        <f>VLOOKUP(A165,'CHK Técnico-SQL'!$A$18:$I$88,4,FALSE)</f>
        <v>Estandarización</v>
      </c>
      <c r="C165" s="77" t="str">
        <f>VLOOKUP(A165,'CHK Técnico-SQL'!$A$18:$I$88,3,FALSE)</f>
        <v>Se ha evitado la introducción de hardcodes</v>
      </c>
      <c r="D165" s="78">
        <f>VLOOKUP(A165,'CHK Técnico-SQL'!$A$18:$I$88,9,FALSE)</f>
        <v>44900</v>
      </c>
      <c r="E165" s="79">
        <f>VLOOKUP(A165,'CHK Técnico-SQL'!$A$18:$I$88,6,FALSE)</f>
        <v>0</v>
      </c>
      <c r="F165" s="79" t="str">
        <f>VLOOKUP(A165,'CHK Técnico-SQL'!$A$18:$I$88,5,FALSE)</f>
        <v>Si Cumple</v>
      </c>
      <c r="G165" s="80" t="s">
        <v>66</v>
      </c>
    </row>
    <row r="166" spans="1:7" ht="38.25">
      <c r="A166" s="76">
        <f t="shared" si="3"/>
        <v>158</v>
      </c>
      <c r="B166" s="77" t="str">
        <f>VLOOKUP(A166,'CHK Técnico-SQL'!$A$18:$I$88,4,FALSE)</f>
        <v>Estandarización</v>
      </c>
      <c r="C166" s="77" t="str">
        <f>VLOOKUP(A166,'CHK Técnico-SQL'!$A$18:$I$88,3,FALSE)</f>
        <v>Se ha hecho revisión buscando posible código fraudulento</v>
      </c>
      <c r="D166" s="78">
        <f>VLOOKUP(A166,'CHK Técnico-SQL'!$A$18:$I$88,9,FALSE)</f>
        <v>44900</v>
      </c>
      <c r="E166" s="79">
        <f>VLOOKUP(A166,'CHK Técnico-SQL'!$A$18:$I$88,6,FALSE)</f>
        <v>0</v>
      </c>
      <c r="F166" s="79" t="str">
        <f>VLOOKUP(A166,'CHK Técnico-SQL'!$A$18:$I$88,5,FALSE)</f>
        <v>Si Cumple</v>
      </c>
      <c r="G166" s="80" t="s">
        <v>66</v>
      </c>
    </row>
    <row r="167" spans="1:7">
      <c r="A167" s="76">
        <f t="shared" si="3"/>
        <v>159</v>
      </c>
      <c r="B167" s="77">
        <f>VLOOKUP(A167,'CHK Técnico-SQL'!$A$18:$I$88,4,FALSE)</f>
        <v>0</v>
      </c>
      <c r="C167" s="77">
        <f>VLOOKUP(A167,'CHK Técnico-SQL'!$A$18:$I$88,3,FALSE)</f>
        <v>0</v>
      </c>
      <c r="D167" s="78">
        <f>VLOOKUP(A167,'CHK Técnico-SQL'!$A$18:$I$88,9,FALSE)</f>
        <v>0</v>
      </c>
      <c r="E167" s="79">
        <f>VLOOKUP(A167,'CHK Técnico-SQL'!$A$18:$I$88,6,FALSE)</f>
        <v>0</v>
      </c>
      <c r="F167" s="79">
        <f>VLOOKUP(A167,'CHK Técnico-SQL'!$A$18:$I$88,5,FALSE)</f>
        <v>0</v>
      </c>
      <c r="G167" s="80" t="s">
        <v>66</v>
      </c>
    </row>
    <row r="168" spans="1:7" ht="51">
      <c r="A168" s="76">
        <f t="shared" si="3"/>
        <v>160</v>
      </c>
      <c r="B168" s="77" t="str">
        <f>VLOOKUP(A168,'CHK Técnico-SQL'!$A$18:$I$88,4,FALSE)</f>
        <v>Estandarización</v>
      </c>
      <c r="C168" s="77" t="str">
        <f>VLOOKUP(A168,'CHK Técnico-SQL'!$A$18:$I$88,3,FALSE)</f>
        <v>¿Se ha colocado la cabecera de creación o modificación de acuerdo al estándar?</v>
      </c>
      <c r="D168" s="78">
        <f>VLOOKUP(A168,'CHK Técnico-SQL'!$A$18:$I$88,9,FALSE)</f>
        <v>44900</v>
      </c>
      <c r="E168" s="79">
        <f>VLOOKUP(A168,'CHK Técnico-SQL'!$A$18:$I$88,6,FALSE)</f>
        <v>0</v>
      </c>
      <c r="F168" s="79" t="str">
        <f>VLOOKUP(A168,'CHK Técnico-SQL'!$A$18:$I$88,5,FALSE)</f>
        <v>Si Cumple</v>
      </c>
      <c r="G168" s="80" t="s">
        <v>66</v>
      </c>
    </row>
    <row r="169" spans="1:7" ht="38.25">
      <c r="A169" s="76">
        <f t="shared" si="3"/>
        <v>161</v>
      </c>
      <c r="B169" s="77" t="str">
        <f>VLOOKUP(A169,'CHK Técnico-SQL'!$A$18:$I$88,4,FALSE)</f>
        <v>Estandarización</v>
      </c>
      <c r="C169" s="77" t="str">
        <f>VLOOKUP(A169,'CHK Técnico-SQL'!$A$18:$I$88,3,FALSE)</f>
        <v>¿Se ha colocado la sentencia USE Base_Datos?</v>
      </c>
      <c r="D169" s="78">
        <f>VLOOKUP(A169,'CHK Técnico-SQL'!$A$18:$I$88,9,FALSE)</f>
        <v>44900</v>
      </c>
      <c r="E169" s="79">
        <f>VLOOKUP(A169,'CHK Técnico-SQL'!$A$18:$I$88,6,FALSE)</f>
        <v>0</v>
      </c>
      <c r="F169" s="79" t="str">
        <f>VLOOKUP(A169,'CHK Técnico-SQL'!$A$18:$I$88,5,FALSE)</f>
        <v>Si Cumple</v>
      </c>
      <c r="G169" s="80" t="s">
        <v>66</v>
      </c>
    </row>
    <row r="170" spans="1:7" ht="51">
      <c r="A170" s="76">
        <f t="shared" si="3"/>
        <v>162</v>
      </c>
      <c r="B170" s="77" t="str">
        <f>VLOOKUP(A170,'CHK Técnico-SQL'!$A$18:$I$88,4,FALSE)</f>
        <v>Estandarización</v>
      </c>
      <c r="C170" s="77" t="str">
        <f>VLOOKUP(A170,'CHK Técnico-SQL'!$A$18:$I$88,3,FALSE)</f>
        <v>¿Para las sentencias SELECT se han escrito en forma estructurada y no de corrido?</v>
      </c>
      <c r="D170" s="78">
        <f>VLOOKUP(A170,'CHK Técnico-SQL'!$A$18:$I$88,9,FALSE)</f>
        <v>44900</v>
      </c>
      <c r="E170" s="79">
        <f>VLOOKUP(A170,'CHK Técnico-SQL'!$A$18:$I$88,6,FALSE)</f>
        <v>0</v>
      </c>
      <c r="F170" s="79" t="str">
        <f>VLOOKUP(A170,'CHK Técnico-SQL'!$A$18:$I$88,5,FALSE)</f>
        <v>Si Cumple</v>
      </c>
      <c r="G170" s="80" t="s">
        <v>66</v>
      </c>
    </row>
    <row r="171" spans="1:7" ht="89.25">
      <c r="A171" s="76">
        <f t="shared" si="3"/>
        <v>163</v>
      </c>
      <c r="B171" s="77" t="str">
        <f>VLOOKUP(A171,'CHK Técnico-SQL'!$A$18:$I$88,4,FALSE)</f>
        <v>Estandarización</v>
      </c>
      <c r="C171" s="77" t="str">
        <f>VLOOKUP(A171,'CHK Técnico-SQL'!$A$18:$I$88,3,FALSE)</f>
        <v>¿Se ha utilizado condicionales para los casos de ALTER TABLE para agregar nuevos campos (Para evitar que se obtenga por error de campo ya existente)?</v>
      </c>
      <c r="D171" s="78">
        <f>VLOOKUP(A171,'CHK Técnico-SQL'!$A$18:$I$88,9,FALSE)</f>
        <v>44900</v>
      </c>
      <c r="E171" s="79">
        <f>VLOOKUP(A171,'CHK Técnico-SQL'!$A$18:$I$88,6,FALSE)</f>
        <v>0</v>
      </c>
      <c r="F171" s="79" t="str">
        <f>VLOOKUP(A171,'CHK Técnico-SQL'!$A$18:$I$88,5,FALSE)</f>
        <v>No Aplica</v>
      </c>
      <c r="G171" s="80" t="s">
        <v>66</v>
      </c>
    </row>
    <row r="172" spans="1:7" ht="89.25">
      <c r="A172" s="76">
        <f t="shared" si="3"/>
        <v>164</v>
      </c>
      <c r="B172" s="77" t="str">
        <f>VLOOKUP(A172,'CHK Técnico-SQL'!$A$18:$I$88,4,FALSE)</f>
        <v>Estandarización</v>
      </c>
      <c r="C172" s="77" t="str">
        <f>VLOOKUP(A172,'CHK Técnico-SQL'!$A$18:$I$88,3,FALSE)</f>
        <v>¿Se ha utilizado condicionales para los casos de los INSERT  a tablas de parámetros (para evitar que salga error por violación de PK al momento de ejecutar) ?</v>
      </c>
      <c r="D172" s="78">
        <f>VLOOKUP(A172,'CHK Técnico-SQL'!$A$18:$I$88,9,FALSE)</f>
        <v>44900</v>
      </c>
      <c r="E172" s="79">
        <f>VLOOKUP(A172,'CHK Técnico-SQL'!$A$18:$I$88,6,FALSE)</f>
        <v>0</v>
      </c>
      <c r="F172" s="79" t="str">
        <f>VLOOKUP(A172,'CHK Técnico-SQL'!$A$18:$I$88,5,FALSE)</f>
        <v>No Aplica</v>
      </c>
      <c r="G172" s="80" t="s">
        <v>66</v>
      </c>
    </row>
    <row r="173" spans="1:7">
      <c r="A173" s="76">
        <f t="shared" si="3"/>
        <v>165</v>
      </c>
      <c r="B173" s="77">
        <f>VLOOKUP(A173,'CHK Técnico-SQL'!$A$18:$I$88,4,FALSE)</f>
        <v>0</v>
      </c>
      <c r="C173" s="77">
        <f>VLOOKUP(A173,'CHK Técnico-SQL'!$A$18:$I$88,3,FALSE)</f>
        <v>0</v>
      </c>
      <c r="D173" s="78">
        <f>VLOOKUP(A173,'CHK Técnico-SQL'!$A$18:$I$88,9,FALSE)</f>
        <v>0</v>
      </c>
      <c r="E173" s="79">
        <f>VLOOKUP(A173,'CHK Técnico-SQL'!$A$18:$I$88,6,FALSE)</f>
        <v>0</v>
      </c>
      <c r="F173" s="79">
        <f>VLOOKUP(A173,'CHK Técnico-SQL'!$A$18:$I$88,5,FALSE)</f>
        <v>0</v>
      </c>
      <c r="G173" s="80" t="s">
        <v>66</v>
      </c>
    </row>
    <row r="174" spans="1:7" ht="102">
      <c r="A174" s="76">
        <f t="shared" si="3"/>
        <v>166</v>
      </c>
      <c r="B174" s="77" t="str">
        <f>VLOOKUP(A174,'CHK Técnico-SQL'!$A$18:$I$88,4,FALSE)</f>
        <v>Estandarización</v>
      </c>
      <c r="C174" s="77" t="str">
        <f>VLOOKUP(A174,'CHK Técnico-SQL'!$A$18:$I$88,3,FALSE)</f>
        <v>¿Se ha colocado la Nomenclatura de acuerdo a: 
Nombre del sinónimo  [ESQUEMA].[BD_ORIGEN]_[NOMBRE_OBJETO] 
Nombre del script  [ESQUEMA].[BD_ORIGEN]_[NOMBRE_OBJETO].sql ?</v>
      </c>
      <c r="D174" s="78">
        <f>VLOOKUP(A174,'CHK Técnico-SQL'!$A$18:$I$88,9,FALSE)</f>
        <v>44900</v>
      </c>
      <c r="E174" s="79">
        <f>VLOOKUP(A174,'CHK Técnico-SQL'!$A$18:$I$88,6,FALSE)</f>
        <v>0</v>
      </c>
      <c r="F174" s="79" t="str">
        <f>VLOOKUP(A174,'CHK Técnico-SQL'!$A$18:$I$88,5,FALSE)</f>
        <v>No Aplica</v>
      </c>
      <c r="G174" s="80" t="s">
        <v>66</v>
      </c>
    </row>
    <row r="175" spans="1:7" ht="51">
      <c r="A175" s="76">
        <f t="shared" si="3"/>
        <v>167</v>
      </c>
      <c r="B175" s="77" t="str">
        <f>VLOOKUP(A175,'CHK Técnico-SQL'!$A$18:$I$88,4,FALSE)</f>
        <v>Estandarización</v>
      </c>
      <c r="C175" s="77" t="str">
        <f>VLOOKUP(A175,'CHK Técnico-SQL'!$A$18:$I$88,3,FALSE)</f>
        <v xml:space="preserve">¿El sinónimo hace referencia a un objeto en producción?
</v>
      </c>
      <c r="D175" s="78">
        <f>VLOOKUP(A175,'CHK Técnico-SQL'!$A$18:$I$88,9,FALSE)</f>
        <v>44900</v>
      </c>
      <c r="E175" s="79">
        <f>VLOOKUP(A175,'CHK Técnico-SQL'!$A$18:$I$88,6,FALSE)</f>
        <v>0</v>
      </c>
      <c r="F175" s="79" t="str">
        <f>VLOOKUP(A175,'CHK Técnico-SQL'!$A$18:$I$88,5,FALSE)</f>
        <v>No Aplica</v>
      </c>
      <c r="G175" s="80" t="s">
        <v>66</v>
      </c>
    </row>
    <row r="176" spans="1:7">
      <c r="A176" s="76">
        <f t="shared" si="3"/>
        <v>168</v>
      </c>
      <c r="B176" s="77">
        <f>VLOOKUP(A176,'CHK Técnico-SQL'!$A$18:$I$88,4,FALSE)</f>
        <v>0</v>
      </c>
      <c r="C176" s="77">
        <f>VLOOKUP(A176,'CHK Técnico-SQL'!$A$18:$I$88,3,FALSE)</f>
        <v>0</v>
      </c>
      <c r="D176" s="78">
        <f>VLOOKUP(A176,'CHK Técnico-SQL'!$A$18:$I$88,9,FALSE)</f>
        <v>0</v>
      </c>
      <c r="E176" s="79">
        <f>VLOOKUP(A176,'CHK Técnico-SQL'!$A$18:$I$88,6,FALSE)</f>
        <v>0</v>
      </c>
      <c r="F176" s="79">
        <f>VLOOKUP(A176,'CHK Técnico-SQL'!$A$18:$I$88,5,FALSE)</f>
        <v>0</v>
      </c>
      <c r="G176" s="80" t="s">
        <v>66</v>
      </c>
    </row>
    <row r="177" spans="1:7">
      <c r="A177" s="76">
        <f t="shared" si="3"/>
        <v>169</v>
      </c>
      <c r="B177" s="77">
        <f>VLOOKUP(A177,'CHK Técnico-SQL'!$A$18:$I$88,4,FALSE)</f>
        <v>0</v>
      </c>
      <c r="C177" s="77">
        <f>VLOOKUP(A177,'CHK Técnico-SQL'!$A$18:$I$88,3,FALSE)</f>
        <v>0</v>
      </c>
      <c r="D177" s="78">
        <f>VLOOKUP(A177,'CHK Técnico-SQL'!$A$18:$I$88,9,FALSE)</f>
        <v>0</v>
      </c>
      <c r="E177" s="79">
        <f>VLOOKUP(A177,'CHK Técnico-SQL'!$A$18:$I$88,6,FALSE)</f>
        <v>0</v>
      </c>
      <c r="F177" s="79">
        <f>VLOOKUP(A177,'CHK Técnico-SQL'!$A$18:$I$88,5,FALSE)</f>
        <v>0</v>
      </c>
      <c r="G177" s="80" t="s">
        <v>66</v>
      </c>
    </row>
    <row r="178" spans="1:7">
      <c r="A178" s="76">
        <f t="shared" si="3"/>
        <v>170</v>
      </c>
      <c r="B178" s="77">
        <f>VLOOKUP(A178,'CHK Técnico-SQL'!$A$18:$I$88,4,FALSE)</f>
        <v>0</v>
      </c>
      <c r="C178" s="77">
        <f>VLOOKUP(A178,'CHK Técnico-SQL'!$A$18:$I$88,3,FALSE)</f>
        <v>0</v>
      </c>
      <c r="D178" s="78">
        <f>VLOOKUP(A178,'CHK Técnico-SQL'!$A$18:$I$88,9,FALSE)</f>
        <v>0</v>
      </c>
      <c r="E178" s="79">
        <f>VLOOKUP(A178,'CHK Técnico-SQL'!$A$18:$I$88,6,FALSE)</f>
        <v>0</v>
      </c>
      <c r="F178" s="79">
        <f>VLOOKUP(A178,'CHK Técnico-SQL'!$A$18:$I$88,5,FALSE)</f>
        <v>0</v>
      </c>
      <c r="G178" s="80" t="s">
        <v>66</v>
      </c>
    </row>
    <row r="179" spans="1:7">
      <c r="A179" s="76">
        <f t="shared" si="3"/>
        <v>171</v>
      </c>
      <c r="B179" s="77" t="e">
        <f>VLOOKUP(A179,'CHK Técnico-SQL'!$A$18:$I$88,4,FALSE)</f>
        <v>#N/A</v>
      </c>
      <c r="C179" s="77" t="e">
        <f>VLOOKUP(A179,'CHK Técnico-SQL'!$A$18:$I$88,3,FALSE)</f>
        <v>#N/A</v>
      </c>
      <c r="D179" s="78" t="e">
        <f>VLOOKUP(A179,'CHK Técnico-SQL'!$A$18:$I$88,9,FALSE)</f>
        <v>#N/A</v>
      </c>
      <c r="E179" s="79" t="e">
        <f>VLOOKUP(A179,'CHK Técnico-SQL'!$A$18:$I$88,6,FALSE)</f>
        <v>#N/A</v>
      </c>
      <c r="F179" s="79" t="e">
        <f>VLOOKUP(A179,'CHK Técnico-SQL'!$A$18:$I$88,5,FALSE)</f>
        <v>#N/A</v>
      </c>
      <c r="G179" s="80" t="s">
        <v>66</v>
      </c>
    </row>
    <row r="180" spans="1:7">
      <c r="A180" s="76">
        <f t="shared" si="3"/>
        <v>172</v>
      </c>
      <c r="B180" s="77" t="e">
        <f>VLOOKUP(A180,'CHK Técnico-SQL'!$A$18:$I$88,4,FALSE)</f>
        <v>#N/A</v>
      </c>
      <c r="C180" s="77" t="e">
        <f>VLOOKUP(A180,'CHK Técnico-SQL'!$A$18:$I$88,3,FALSE)</f>
        <v>#N/A</v>
      </c>
      <c r="D180" s="78" t="e">
        <f>VLOOKUP(A180,'CHK Técnico-SQL'!$A$18:$I$88,9,FALSE)</f>
        <v>#N/A</v>
      </c>
      <c r="E180" s="79" t="e">
        <f>VLOOKUP(A180,'CHK Técnico-SQL'!$A$18:$I$88,6,FALSE)</f>
        <v>#N/A</v>
      </c>
      <c r="F180" s="79" t="e">
        <f>VLOOKUP(A180,'CHK Técnico-SQL'!$A$18:$I$88,5,FALSE)</f>
        <v>#N/A</v>
      </c>
      <c r="G180" s="80" t="s">
        <v>66</v>
      </c>
    </row>
    <row r="181" spans="1:7">
      <c r="A181" s="76">
        <f t="shared" si="3"/>
        <v>173</v>
      </c>
      <c r="B181" s="77" t="e">
        <f>VLOOKUP(A181,'CHK Técnico-SQL'!$A$18:$I$88,4,FALSE)</f>
        <v>#N/A</v>
      </c>
      <c r="C181" s="77" t="e">
        <f>VLOOKUP(A181,'CHK Técnico-SQL'!$A$18:$I$88,3,FALSE)</f>
        <v>#N/A</v>
      </c>
      <c r="D181" s="78" t="e">
        <f>VLOOKUP(A181,'CHK Técnico-SQL'!$A$18:$I$88,9,FALSE)</f>
        <v>#N/A</v>
      </c>
      <c r="E181" s="79" t="e">
        <f>VLOOKUP(A181,'CHK Técnico-SQL'!$A$18:$I$88,6,FALSE)</f>
        <v>#N/A</v>
      </c>
      <c r="F181" s="79" t="e">
        <f>VLOOKUP(A181,'CHK Técnico-SQL'!$A$18:$I$88,5,FALSE)</f>
        <v>#N/A</v>
      </c>
      <c r="G181" s="80" t="s">
        <v>66</v>
      </c>
    </row>
    <row r="182" spans="1:7">
      <c r="A182" s="76">
        <f t="shared" si="3"/>
        <v>174</v>
      </c>
      <c r="B182" s="77" t="e">
        <f>VLOOKUP(A182,'CHK Técnico-SQL'!$A$18:$I$88,4,FALSE)</f>
        <v>#N/A</v>
      </c>
      <c r="C182" s="77" t="e">
        <f>VLOOKUP(A182,'CHK Técnico-SQL'!$A$18:$I$88,3,FALSE)</f>
        <v>#N/A</v>
      </c>
      <c r="D182" s="78" t="e">
        <f>VLOOKUP(A182,'CHK Técnico-SQL'!$A$18:$I$88,9,FALSE)</f>
        <v>#N/A</v>
      </c>
      <c r="E182" s="79" t="e">
        <f>VLOOKUP(A182,'CHK Técnico-SQL'!$A$18:$I$88,6,FALSE)</f>
        <v>#N/A</v>
      </c>
      <c r="F182" s="79" t="e">
        <f>VLOOKUP(A182,'CHK Técnico-SQL'!$A$18:$I$88,5,FALSE)</f>
        <v>#N/A</v>
      </c>
      <c r="G182" s="80" t="s">
        <v>66</v>
      </c>
    </row>
    <row r="183" spans="1:7">
      <c r="A183" s="76">
        <f t="shared" si="3"/>
        <v>175</v>
      </c>
      <c r="B183" s="77" t="e">
        <f>VLOOKUP(A183,'CHK Técnico-SQL'!$A$18:$I$88,4,FALSE)</f>
        <v>#N/A</v>
      </c>
      <c r="C183" s="77" t="e">
        <f>VLOOKUP(A183,'CHK Técnico-SQL'!$A$18:$I$88,3,FALSE)</f>
        <v>#N/A</v>
      </c>
      <c r="D183" s="78" t="e">
        <f>VLOOKUP(A183,'CHK Técnico-SQL'!$A$18:$I$88,9,FALSE)</f>
        <v>#N/A</v>
      </c>
      <c r="E183" s="79" t="e">
        <f>VLOOKUP(A183,'CHK Técnico-SQL'!$A$18:$I$88,6,FALSE)</f>
        <v>#N/A</v>
      </c>
      <c r="F183" s="79" t="e">
        <f>VLOOKUP(A183,'CHK Técnico-SQL'!$A$18:$I$88,5,FALSE)</f>
        <v>#N/A</v>
      </c>
      <c r="G183" s="80" t="s">
        <v>66</v>
      </c>
    </row>
    <row r="184" spans="1:7">
      <c r="A184" s="76">
        <f t="shared" si="3"/>
        <v>176</v>
      </c>
      <c r="B184" s="77" t="e">
        <f>VLOOKUP(A184,'CHK Técnico-VB'!$A$18:$I$114,4,FALSE)</f>
        <v>#N/A</v>
      </c>
      <c r="C184" s="77" t="e">
        <f>VLOOKUP(A184,'CHK Técnico-VB'!$A$18:$I$114,3,FALSE)</f>
        <v>#N/A</v>
      </c>
      <c r="D184" s="78" t="e">
        <f>VLOOKUP(A184,'CHK Técnico-VB'!$A$18:$I$114,9,FALSE)</f>
        <v>#N/A</v>
      </c>
      <c r="E184" s="79" t="e">
        <f>VLOOKUP(A184,'CHK Técnico-VB'!$A$18:$I$114,6,FALSE)</f>
        <v>#N/A</v>
      </c>
      <c r="F184" s="79" t="e">
        <f>VLOOKUP(A184,'CHK Técnico-VB'!$A$18:$I$114,5,FALSE)</f>
        <v>#N/A</v>
      </c>
      <c r="G184" s="80" t="s">
        <v>66</v>
      </c>
    </row>
    <row r="185" spans="1:7">
      <c r="A185" s="76">
        <f t="shared" si="3"/>
        <v>177</v>
      </c>
      <c r="B185" s="77" t="e">
        <f>VLOOKUP(A185,'CHK Técnico-VB'!$A$18:$I$114,4,FALSE)</f>
        <v>#N/A</v>
      </c>
      <c r="C185" s="77" t="e">
        <f>VLOOKUP(A185,'CHK Técnico-VB'!$A$18:$I$114,3,FALSE)</f>
        <v>#N/A</v>
      </c>
      <c r="D185" s="78" t="e">
        <f>VLOOKUP(A185,'CHK Técnico-VB'!$A$18:$I$114,9,FALSE)</f>
        <v>#N/A</v>
      </c>
      <c r="E185" s="79" t="e">
        <f>VLOOKUP(A185,'CHK Técnico-VB'!$A$18:$I$114,6,FALSE)</f>
        <v>#N/A</v>
      </c>
      <c r="F185" s="79" t="e">
        <f>VLOOKUP(A185,'CHK Técnico-VB'!$A$18:$I$114,5,FALSE)</f>
        <v>#N/A</v>
      </c>
      <c r="G185" s="80" t="s">
        <v>66</v>
      </c>
    </row>
    <row r="186" spans="1:7">
      <c r="A186" s="76">
        <f t="shared" si="3"/>
        <v>178</v>
      </c>
      <c r="B186" s="77" t="e">
        <f>VLOOKUP(A186,'CHK Técnico-VB'!$A$18:$I$114,4,FALSE)</f>
        <v>#N/A</v>
      </c>
      <c r="C186" s="77" t="e">
        <f>VLOOKUP(A186,'CHK Técnico-VB'!$A$18:$I$114,3,FALSE)</f>
        <v>#N/A</v>
      </c>
      <c r="D186" s="78" t="e">
        <f>VLOOKUP(A186,'CHK Técnico-VB'!$A$18:$I$114,9,FALSE)</f>
        <v>#N/A</v>
      </c>
      <c r="E186" s="79" t="e">
        <f>VLOOKUP(A186,'CHK Técnico-VB'!$A$18:$I$114,6,FALSE)</f>
        <v>#N/A</v>
      </c>
      <c r="F186" s="79" t="e">
        <f>VLOOKUP(A186,'CHK Técnico-VB'!$A$18:$I$114,5,FALSE)</f>
        <v>#N/A</v>
      </c>
      <c r="G186" s="80" t="s">
        <v>66</v>
      </c>
    </row>
    <row r="187" spans="1:7">
      <c r="A187" s="137">
        <f t="shared" si="3"/>
        <v>179</v>
      </c>
      <c r="B187" s="138" t="e">
        <f>VLOOKUP(A187,'CHK Técnico-VB'!$A$18:$I$114,4,FALSE)</f>
        <v>#N/A</v>
      </c>
      <c r="C187" s="138" t="e">
        <f>VLOOKUP(A187,'CHK Técnico-VB'!$A$18:$I$114,3,FALSE)</f>
        <v>#N/A</v>
      </c>
      <c r="D187" s="139" t="e">
        <f>VLOOKUP(A187,'CHK Técnico-VB'!$A$18:$I$114,9,FALSE)</f>
        <v>#N/A</v>
      </c>
      <c r="E187" s="140" t="e">
        <f>VLOOKUP(A187,'CHK Técnico-VB'!$A$18:$I$114,6,FALSE)</f>
        <v>#N/A</v>
      </c>
      <c r="F187" s="141" t="e">
        <f>VLOOKUP(A187,'CHK Técnico-VB'!$A$18:$I$114,5,FALSE)</f>
        <v>#N/A</v>
      </c>
      <c r="G187" s="141" t="s">
        <v>66</v>
      </c>
    </row>
    <row r="188" spans="1:7">
      <c r="A188" s="137">
        <f t="shared" si="3"/>
        <v>180</v>
      </c>
      <c r="B188" s="138">
        <f>VLOOKUP(A188,'CHK Técnico-VB'!$A$18:$I$114,4,FALSE)</f>
        <v>0</v>
      </c>
      <c r="C188" s="138">
        <f>VLOOKUP(A188,'CHK Técnico-VB'!$A$18:$I$114,3,FALSE)</f>
        <v>0</v>
      </c>
      <c r="D188" s="139">
        <f>VLOOKUP(A188,'CHK Técnico-VB'!$A$18:$I$114,9,FALSE)</f>
        <v>0</v>
      </c>
      <c r="E188" s="140">
        <f>VLOOKUP(A188,'CHK Técnico-VB'!$A$18:$I$114,6,FALSE)</f>
        <v>0</v>
      </c>
      <c r="F188" s="141">
        <f>VLOOKUP(A188,'CHK Técnico-VB'!$A$18:$I$114,5,FALSE)</f>
        <v>0</v>
      </c>
      <c r="G188" s="141" t="s">
        <v>66</v>
      </c>
    </row>
    <row r="189" spans="1:7" ht="51">
      <c r="A189" s="137">
        <f t="shared" si="3"/>
        <v>181</v>
      </c>
      <c r="B189" s="138" t="str">
        <f>VLOOKUP(A189,'CHK Técnico-VB'!$A$18:$I$114,4,FALSE)</f>
        <v>Documentación</v>
      </c>
      <c r="C189" s="138" t="str">
        <f>VLOOKUP(A189,'CHK Técnico-VB'!$A$18:$I$114,3,FALSE)</f>
        <v xml:space="preserve">Incluye Nombre Instalador O sección de objetos a instalar O componente(s) para el pase automático </v>
      </c>
      <c r="D189" s="139">
        <f>VLOOKUP(A189,'CHK Técnico-VB'!$A$18:$I$114,9,FALSE)</f>
        <v>0</v>
      </c>
      <c r="E189" s="140">
        <f>VLOOKUP(A189,'CHK Técnico-VB'!$A$18:$I$114,6,FALSE)</f>
        <v>0</v>
      </c>
      <c r="F189" s="141">
        <f>VLOOKUP(A189,'CHK Técnico-VB'!$A$18:$I$114,5,FALSE)</f>
        <v>0</v>
      </c>
      <c r="G189" s="141" t="s">
        <v>66</v>
      </c>
    </row>
    <row r="190" spans="1:7" ht="51">
      <c r="A190" s="137">
        <f t="shared" si="3"/>
        <v>182</v>
      </c>
      <c r="B190" s="138" t="str">
        <f>VLOOKUP(A190,'CHK Técnico-VB'!$A$18:$I$114,4,FALSE)</f>
        <v>Documentación</v>
      </c>
      <c r="C190" s="138" t="str">
        <f>VLOOKUP(A190,'CHK Técnico-VB'!$A$18:$I$114,3,FALSE)</f>
        <v>Se hace referencia a un Manual de Instalación o se incluye sección de Instrucciones de Instalación</v>
      </c>
      <c r="D190" s="139" t="str">
        <f>VLOOKUP(A190,'CHK Técnico-VB'!$A$18:$I$114,9,FALSE)</f>
        <v xml:space="preserve">  </v>
      </c>
      <c r="E190" s="140">
        <f>VLOOKUP(A190,'CHK Técnico-VB'!$A$18:$I$114,6,FALSE)</f>
        <v>0</v>
      </c>
      <c r="F190" s="141">
        <f>VLOOKUP(A190,'CHK Técnico-VB'!$A$18:$I$114,5,FALSE)</f>
        <v>0</v>
      </c>
      <c r="G190" s="141" t="s">
        <v>66</v>
      </c>
    </row>
    <row r="191" spans="1:7" ht="51">
      <c r="A191" s="137">
        <f t="shared" si="3"/>
        <v>183</v>
      </c>
      <c r="B191" s="138" t="str">
        <f>VLOOKUP(A191,'CHK Técnico-VB'!$A$18:$I$114,4,FALSE)</f>
        <v>Homologación/ Versionamiento</v>
      </c>
      <c r="C191" s="138" t="str">
        <f>VLOOKUP(A191,'CHK Técnico-VB'!$A$18:$I$114,3,FALSE)</f>
        <v>¿La cantidad de objetos indicados en PR corresponde a los subidos en el Harvest y viceversa?</v>
      </c>
      <c r="D191" s="139" t="str">
        <f>VLOOKUP(A191,'CHK Técnico-VB'!$A$18:$I$114,9,FALSE)</f>
        <v xml:space="preserve">  </v>
      </c>
      <c r="E191" s="140">
        <f>VLOOKUP(A191,'CHK Técnico-VB'!$A$18:$I$114,6,FALSE)</f>
        <v>0</v>
      </c>
      <c r="F191" s="141">
        <f>VLOOKUP(A191,'CHK Técnico-VB'!$A$18:$I$114,5,FALSE)</f>
        <v>0</v>
      </c>
      <c r="G191" s="141" t="s">
        <v>66</v>
      </c>
    </row>
    <row r="192" spans="1:7" ht="38.25">
      <c r="A192" s="137">
        <f t="shared" si="3"/>
        <v>184</v>
      </c>
      <c r="B192" s="138" t="str">
        <f>VLOOKUP(A192,'CHK Técnico-VB'!$A$18:$I$114,4,FALSE)</f>
        <v>Homologación/ Versionamiento</v>
      </c>
      <c r="C192" s="138" t="str">
        <f>VLOOKUP(A192,'CHK Técnico-VB'!$A$18:$I$114,3,FALSE)</f>
        <v>¿Las rutas indicadas para los objetos corresponde a la ruta del Harvest?</v>
      </c>
      <c r="D192" s="139" t="str">
        <f>VLOOKUP(A192,'CHK Técnico-VB'!$A$18:$I$114,9,FALSE)</f>
        <v xml:space="preserve">  </v>
      </c>
      <c r="E192" s="140">
        <f>VLOOKUP(A192,'CHK Técnico-VB'!$A$18:$I$114,6,FALSE)</f>
        <v>0</v>
      </c>
      <c r="F192" s="141">
        <f>VLOOKUP(A192,'CHK Técnico-VB'!$A$18:$I$114,5,FALSE)</f>
        <v>0</v>
      </c>
      <c r="G192" s="141" t="s">
        <v>66</v>
      </c>
    </row>
    <row r="193" spans="1:7" ht="51">
      <c r="A193" s="137">
        <f t="shared" si="3"/>
        <v>185</v>
      </c>
      <c r="B193" s="138" t="str">
        <f>VLOOKUP(A193,'CHK Técnico-VB'!$A$18:$I$114,4,FALSE)</f>
        <v>Homologación/ Versionamiento</v>
      </c>
      <c r="C193" s="138" t="str">
        <f>VLOOKUP(A193,'CHK Técnico-VB'!$A$18:$I$114,3,FALSE)</f>
        <v>La versión del Ejecutable indicada en el PR coincide con la versión del ejecutable subido al Harvest</v>
      </c>
      <c r="D193" s="139" t="str">
        <f>VLOOKUP(A193,'CHK Técnico-VB'!$A$18:$I$114,9,FALSE)</f>
        <v xml:space="preserve">  </v>
      </c>
      <c r="E193" s="140">
        <f>VLOOKUP(A193,'CHK Técnico-VB'!$A$18:$I$114,6,FALSE)</f>
        <v>0</v>
      </c>
      <c r="F193" s="141">
        <f>VLOOKUP(A193,'CHK Técnico-VB'!$A$18:$I$114,5,FALSE)</f>
        <v>0</v>
      </c>
      <c r="G193" s="141" t="s">
        <v>66</v>
      </c>
    </row>
    <row r="194" spans="1:7" ht="76.5">
      <c r="A194" s="137">
        <f t="shared" si="3"/>
        <v>186</v>
      </c>
      <c r="B194" s="138" t="str">
        <f>VLOOKUP(A194,'CHK Técnico-VB'!$A$18:$I$114,4,FALSE)</f>
        <v>Documentación</v>
      </c>
      <c r="C194" s="138" t="str">
        <f>VLOOKUP(A194,'CHK Técnico-VB'!$A$18:$I$114,3,FALSE)</f>
        <v>Solo para Premium: En la sección Comentarios del PR, para los pasos de instalación, se debe indicar únicamente la de tipo manual.</v>
      </c>
      <c r="D194" s="139" t="str">
        <f>VLOOKUP(A194,'CHK Técnico-VB'!$A$18:$I$114,9,FALSE)</f>
        <v xml:space="preserve">  </v>
      </c>
      <c r="E194" s="140">
        <f>VLOOKUP(A194,'CHK Técnico-VB'!$A$18:$I$114,6,FALSE)</f>
        <v>0</v>
      </c>
      <c r="F194" s="141">
        <f>VLOOKUP(A194,'CHK Técnico-VB'!$A$18:$I$114,5,FALSE)</f>
        <v>0</v>
      </c>
      <c r="G194" s="141" t="s">
        <v>66</v>
      </c>
    </row>
    <row r="195" spans="1:7">
      <c r="A195" s="137">
        <f t="shared" si="3"/>
        <v>187</v>
      </c>
      <c r="B195" s="138">
        <f>VLOOKUP(A195,'CHK Técnico-VB'!$A$18:$I$114,4,FALSE)</f>
        <v>0</v>
      </c>
      <c r="C195" s="138">
        <f>VLOOKUP(A195,'CHK Técnico-VB'!$A$18:$I$114,3,FALSE)</f>
        <v>0</v>
      </c>
      <c r="D195" s="139">
        <f>VLOOKUP(A195,'CHK Técnico-VB'!$A$18:$I$114,9,FALSE)</f>
        <v>0</v>
      </c>
      <c r="E195" s="140">
        <f>VLOOKUP(A195,'CHK Técnico-VB'!$A$18:$I$114,6,FALSE)</f>
        <v>0</v>
      </c>
      <c r="F195" s="141">
        <f>VLOOKUP(A195,'CHK Técnico-VB'!$A$18:$I$114,5,FALSE)</f>
        <v>0</v>
      </c>
      <c r="G195" s="141" t="s">
        <v>66</v>
      </c>
    </row>
    <row r="196" spans="1:7" ht="38.25">
      <c r="A196" s="137">
        <f t="shared" si="3"/>
        <v>188</v>
      </c>
      <c r="B196" s="138" t="str">
        <f>VLOOKUP(A196,'CHK Técnico-VB'!$A$18:$I$114,4,FALSE)</f>
        <v>Estandarización</v>
      </c>
      <c r="C196" s="138" t="str">
        <f>VLOOKUP(A196,'CHK Técnico-VB'!$A$18:$I$114,3,FALSE)</f>
        <v>Para nuevas variables se ha seguido la nomenclatura estándar &lt;prefijo&gt;&lt;nombre&gt;</v>
      </c>
      <c r="D196" s="139" t="str">
        <f>VLOOKUP(A196,'CHK Técnico-VB'!$A$18:$I$114,9,FALSE)</f>
        <v xml:space="preserve">  </v>
      </c>
      <c r="E196" s="140">
        <f>VLOOKUP(A196,'CHK Técnico-VB'!$A$18:$I$114,6,FALSE)</f>
        <v>0</v>
      </c>
      <c r="F196" s="141">
        <f>VLOOKUP(A196,'CHK Técnico-VB'!$A$18:$I$114,5,FALSE)</f>
        <v>0</v>
      </c>
      <c r="G196" s="141" t="s">
        <v>66</v>
      </c>
    </row>
    <row r="197" spans="1:7" ht="51">
      <c r="A197" s="137">
        <f t="shared" si="3"/>
        <v>189</v>
      </c>
      <c r="B197" s="138" t="str">
        <f>VLOOKUP(A197,'CHK Técnico-VB'!$A$18:$I$114,4,FALSE)</f>
        <v>Estandarización</v>
      </c>
      <c r="C197" s="138" t="str">
        <f>VLOOKUP(A197,'CHK Técnico-VB'!$A$18:$I$114,3,FALSE)</f>
        <v>Para nuevos controles se ha modificado el nombre por defecto y usado &lt;prefijo&gt;&lt;nombre&gt;</v>
      </c>
      <c r="D197" s="139" t="str">
        <f>VLOOKUP(A197,'CHK Técnico-VB'!$A$18:$I$114,9,FALSE)</f>
        <v xml:space="preserve">  </v>
      </c>
      <c r="E197" s="140">
        <f>VLOOKUP(A197,'CHK Técnico-VB'!$A$18:$I$114,6,FALSE)</f>
        <v>0</v>
      </c>
      <c r="F197" s="141">
        <f>VLOOKUP(A197,'CHK Técnico-VB'!$A$18:$I$114,5,FALSE)</f>
        <v>0</v>
      </c>
      <c r="G197" s="141" t="s">
        <v>66</v>
      </c>
    </row>
    <row r="198" spans="1:7" ht="38.25">
      <c r="A198" s="137">
        <f t="shared" si="3"/>
        <v>190</v>
      </c>
      <c r="B198" s="138" t="str">
        <f>VLOOKUP(A198,'CHK Técnico-VB'!$A$18:$I$114,4,FALSE)</f>
        <v>Estandarización</v>
      </c>
      <c r="C198" s="138" t="str">
        <f>VLOOKUP(A198,'CHK Técnico-VB'!$A$18:$I$114,3,FALSE)</f>
        <v>Para nuevas constantes se ha usado el formato estándar</v>
      </c>
      <c r="D198" s="139" t="str">
        <f>VLOOKUP(A198,'CHK Técnico-VB'!$A$18:$I$114,9,FALSE)</f>
        <v xml:space="preserve">  </v>
      </c>
      <c r="E198" s="140">
        <f>VLOOKUP(A198,'CHK Técnico-VB'!$A$18:$I$114,6,FALSE)</f>
        <v>0</v>
      </c>
      <c r="F198" s="141">
        <f>VLOOKUP(A198,'CHK Técnico-VB'!$A$18:$I$114,5,FALSE)</f>
        <v>0</v>
      </c>
      <c r="G198" s="141" t="s">
        <v>66</v>
      </c>
    </row>
    <row r="199" spans="1:7" ht="51">
      <c r="A199" s="137">
        <f t="shared" si="3"/>
        <v>191</v>
      </c>
      <c r="B199" s="138" t="str">
        <f>VLOOKUP(A199,'CHK Técnico-VB'!$A$18:$I$114,4,FALSE)</f>
        <v>Estandarización</v>
      </c>
      <c r="C199" s="138" t="str">
        <f>VLOOKUP(A199,'CHK Técnico-VB'!$A$18:$I$114,3,FALSE)</f>
        <v>Se ha cumplido las convenciones para nombres de nuevos menús (Secuencia y nombre)</v>
      </c>
      <c r="D199" s="139" t="str">
        <f>VLOOKUP(A199,'CHK Técnico-VB'!$A$18:$I$114,9,FALSE)</f>
        <v xml:space="preserve">  </v>
      </c>
      <c r="E199" s="140">
        <f>VLOOKUP(A199,'CHK Técnico-VB'!$A$18:$I$114,6,FALSE)</f>
        <v>0</v>
      </c>
      <c r="F199" s="141">
        <f>VLOOKUP(A199,'CHK Técnico-VB'!$A$18:$I$114,5,FALSE)</f>
        <v>0</v>
      </c>
      <c r="G199" s="141" t="s">
        <v>66</v>
      </c>
    </row>
    <row r="200" spans="1:7" ht="38.25">
      <c r="A200" s="137">
        <f t="shared" si="3"/>
        <v>192</v>
      </c>
      <c r="B200" s="138" t="str">
        <f>VLOOKUP(A200,'CHK Técnico-VB'!$A$18:$I$114,4,FALSE)</f>
        <v>Estandarización</v>
      </c>
      <c r="C200" s="138" t="str">
        <f>VLOOKUP(A200,'CHK Técnico-VB'!$A$18:$I$114,3,FALSE)</f>
        <v>Para nuevas rutinas se han usado verbos y forma estándar (ej: MostrarTotal)</v>
      </c>
      <c r="D200" s="139" t="str">
        <f>VLOOKUP(A200,'CHK Técnico-VB'!$A$18:$I$114,9,FALSE)</f>
        <v xml:space="preserve">  </v>
      </c>
      <c r="E200" s="140">
        <f>VLOOKUP(A200,'CHK Técnico-VB'!$A$18:$I$114,6,FALSE)</f>
        <v>0</v>
      </c>
      <c r="F200" s="141">
        <f>VLOOKUP(A200,'CHK Técnico-VB'!$A$18:$I$114,5,FALSE)</f>
        <v>0</v>
      </c>
      <c r="G200" s="141" t="s">
        <v>66</v>
      </c>
    </row>
    <row r="201" spans="1:7">
      <c r="A201" s="137">
        <f t="shared" si="3"/>
        <v>193</v>
      </c>
      <c r="B201" s="138">
        <f>VLOOKUP(A201,'CHK Técnico-VB'!$A$18:$I$114,4,FALSE)</f>
        <v>0</v>
      </c>
      <c r="C201" s="138">
        <f>VLOOKUP(A201,'CHK Técnico-VB'!$A$18:$I$114,3,FALSE)</f>
        <v>0</v>
      </c>
      <c r="D201" s="139">
        <f>VLOOKUP(A201,'CHK Técnico-VB'!$A$18:$I$114,9,FALSE)</f>
        <v>0</v>
      </c>
      <c r="E201" s="140">
        <f>VLOOKUP(A201,'CHK Técnico-VB'!$A$18:$I$114,6,FALSE)</f>
        <v>0</v>
      </c>
      <c r="F201" s="141">
        <f>VLOOKUP(A201,'CHK Técnico-VB'!$A$18:$I$114,5,FALSE)</f>
        <v>0</v>
      </c>
      <c r="G201" s="141" t="s">
        <v>66</v>
      </c>
    </row>
    <row r="202" spans="1:7" ht="38.25">
      <c r="A202" s="137">
        <f t="shared" si="3"/>
        <v>194</v>
      </c>
      <c r="B202" s="138" t="str">
        <f>VLOOKUP(A202,'CHK Técnico-VB'!$A$18:$I$114,4,FALSE)</f>
        <v>Estandarización</v>
      </c>
      <c r="C202" s="138" t="str">
        <f>VLOOKUP(A202,'CHK Técnico-VB'!$A$18:$I$114,3,FALSE)</f>
        <v>Cada una de las variables nuevas ha sido declarada en una línea diferente</v>
      </c>
      <c r="D202" s="139" t="str">
        <f>VLOOKUP(A202,'CHK Técnico-VB'!$A$18:$I$114,9,FALSE)</f>
        <v xml:space="preserve">  </v>
      </c>
      <c r="E202" s="140">
        <f>VLOOKUP(A202,'CHK Técnico-VB'!$A$18:$I$114,6,FALSE)</f>
        <v>0</v>
      </c>
      <c r="F202" s="141">
        <f>VLOOKUP(A202,'CHK Técnico-VB'!$A$18:$I$114,5,FALSE)</f>
        <v>0</v>
      </c>
      <c r="G202" s="141" t="s">
        <v>66</v>
      </c>
    </row>
    <row r="203" spans="1:7" ht="25.5">
      <c r="A203" s="137">
        <f t="shared" si="3"/>
        <v>195</v>
      </c>
      <c r="B203" s="138" t="str">
        <f>VLOOKUP(A203,'CHK Técnico-VB'!$A$18:$I$114,4,FALSE)</f>
        <v>Estandarización</v>
      </c>
      <c r="C203" s="138" t="str">
        <f>VLOOKUP(A203,'CHK Técnico-VB'!$A$18:$I$114,3,FALSE)</f>
        <v>Se ha usado el Option Base 0 para los nuevos arreglos</v>
      </c>
      <c r="D203" s="139" t="str">
        <f>VLOOKUP(A203,'CHK Técnico-VB'!$A$18:$I$114,9,FALSE)</f>
        <v xml:space="preserve">  </v>
      </c>
      <c r="E203" s="140">
        <f>VLOOKUP(A203,'CHK Técnico-VB'!$A$18:$I$114,6,FALSE)</f>
        <v>0</v>
      </c>
      <c r="F203" s="141">
        <f>VLOOKUP(A203,'CHK Técnico-VB'!$A$18:$I$114,5,FALSE)</f>
        <v>0</v>
      </c>
      <c r="G203" s="141" t="s">
        <v>66</v>
      </c>
    </row>
    <row r="204" spans="1:7" ht="51">
      <c r="A204" s="137">
        <f t="shared" si="3"/>
        <v>196</v>
      </c>
      <c r="B204" s="138" t="str">
        <f>VLOOKUP(A204,'CHK Técnico-VB'!$A$18:$I$114,4,FALSE)</f>
        <v>Estandarización</v>
      </c>
      <c r="C204" s="138" t="str">
        <f>VLOOKUP(A204,'CHK Técnico-VB'!$A$18:$I$114,3,FALSE)</f>
        <v>Para nuevos desarrollos la conexión a Base de Datos es mediante ADO, utilizando ODBC</v>
      </c>
      <c r="D204" s="139" t="str">
        <f>VLOOKUP(A204,'CHK Técnico-VB'!$A$18:$I$114,9,FALSE)</f>
        <v xml:space="preserve">  </v>
      </c>
      <c r="E204" s="140">
        <f>VLOOKUP(A204,'CHK Técnico-VB'!$A$18:$I$114,6,FALSE)</f>
        <v>0</v>
      </c>
      <c r="F204" s="141">
        <f>VLOOKUP(A204,'CHK Técnico-VB'!$A$18:$I$114,5,FALSE)</f>
        <v>0</v>
      </c>
      <c r="G204" s="141" t="s">
        <v>66</v>
      </c>
    </row>
    <row r="205" spans="1:7" ht="51">
      <c r="A205" s="137">
        <f t="shared" si="3"/>
        <v>197</v>
      </c>
      <c r="B205" s="138" t="str">
        <f>VLOOKUP(A205,'CHK Técnico-VB'!$A$18:$I$114,4,FALSE)</f>
        <v>Estandarización</v>
      </c>
      <c r="C205" s="138" t="str">
        <f>VLOOKUP(A205,'CHK Técnico-VB'!$A$18:$I$114,3,FALSE)</f>
        <v>No se ha usado el objeto UserConnection para nuevas llamadas a procedimientos en Base de Datos</v>
      </c>
      <c r="D205" s="139" t="str">
        <f>VLOOKUP(A205,'CHK Técnico-VB'!$A$18:$I$114,9,FALSE)</f>
        <v xml:space="preserve">  </v>
      </c>
      <c r="E205" s="140">
        <f>VLOOKUP(A205,'CHK Técnico-VB'!$A$18:$I$114,6,FALSE)</f>
        <v>0</v>
      </c>
      <c r="F205" s="141">
        <f>VLOOKUP(A205,'CHK Técnico-VB'!$A$18:$I$114,5,FALSE)</f>
        <v>0</v>
      </c>
      <c r="G205" s="141" t="s">
        <v>66</v>
      </c>
    </row>
    <row r="206" spans="1:7" ht="38.25">
      <c r="A206" s="137">
        <f t="shared" si="3"/>
        <v>198</v>
      </c>
      <c r="B206" s="138" t="str">
        <f>VLOOKUP(A206,'CHK Técnico-VB'!$A$18:$I$114,4,FALSE)</f>
        <v>Estandarización</v>
      </c>
      <c r="C206" s="138" t="str">
        <f>VLOOKUP(A206,'CHK Técnico-VB'!$A$18:$I$114,3,FALSE)</f>
        <v xml:space="preserve">Cada rutina nueva contiene un comentario sobre lo que hace la misma </v>
      </c>
      <c r="D206" s="139" t="str">
        <f>VLOOKUP(A206,'CHK Técnico-VB'!$A$18:$I$114,9,FALSE)</f>
        <v xml:space="preserve">  </v>
      </c>
      <c r="E206" s="140">
        <f>VLOOKUP(A206,'CHK Técnico-VB'!$A$18:$I$114,6,FALSE)</f>
        <v>0</v>
      </c>
      <c r="F206" s="141">
        <f>VLOOKUP(A206,'CHK Técnico-VB'!$A$18:$I$114,5,FALSE)</f>
        <v>0</v>
      </c>
      <c r="G206" s="141" t="s">
        <v>66</v>
      </c>
    </row>
    <row r="207" spans="1:7" ht="51">
      <c r="A207" s="137">
        <f t="shared" si="3"/>
        <v>199</v>
      </c>
      <c r="B207" s="138" t="str">
        <f>VLOOKUP(A207,'CHK Técnico-VB'!$A$18:$I$114,4,FALSE)</f>
        <v>Estandarización</v>
      </c>
      <c r="C207" s="138" t="str">
        <f>VLOOKUP(A207,'CHK Técnico-VB'!$A$18:$I$114,3,FALSE)</f>
        <v>La declaración de las variables nuevas de uso no trivial tiene un comentario descriptivo</v>
      </c>
      <c r="D207" s="139" t="str">
        <f>VLOOKUP(A207,'CHK Técnico-VB'!$A$18:$I$114,9,FALSE)</f>
        <v xml:space="preserve">  </v>
      </c>
      <c r="E207" s="140">
        <f>VLOOKUP(A207,'CHK Técnico-VB'!$A$18:$I$114,6,FALSE)</f>
        <v>0</v>
      </c>
      <c r="F207" s="141">
        <f>VLOOKUP(A207,'CHK Técnico-VB'!$A$18:$I$114,5,FALSE)</f>
        <v>0</v>
      </c>
      <c r="G207" s="141" t="s">
        <v>66</v>
      </c>
    </row>
    <row r="208" spans="1:7" ht="51">
      <c r="A208" s="137">
        <f t="shared" si="3"/>
        <v>200</v>
      </c>
      <c r="B208" s="138" t="str">
        <f>VLOOKUP(A208,'CHK Técnico-VB'!$A$18:$I$114,4,FALSE)</f>
        <v>Estandarización</v>
      </c>
      <c r="C208" s="138" t="str">
        <f>VLOOKUP(A208,'CHK Técnico-VB'!$A$18:$I$114,3,FALSE)</f>
        <v>Se ha incluido en la parte superior el comentario estándar sobre los cambios efectuados</v>
      </c>
      <c r="D208" s="139" t="str">
        <f>VLOOKUP(A208,'CHK Técnico-VB'!$A$18:$I$114,9,FALSE)</f>
        <v xml:space="preserve">  </v>
      </c>
      <c r="E208" s="140">
        <f>VLOOKUP(A208,'CHK Técnico-VB'!$A$18:$I$114,6,FALSE)</f>
        <v>0</v>
      </c>
      <c r="F208" s="141">
        <f>VLOOKUP(A208,'CHK Técnico-VB'!$A$18:$I$114,5,FALSE)</f>
        <v>0</v>
      </c>
      <c r="G208" s="141" t="s">
        <v>66</v>
      </c>
    </row>
    <row r="209" spans="1:7" ht="51">
      <c r="A209" s="137">
        <f t="shared" si="3"/>
        <v>201</v>
      </c>
      <c r="B209" s="138" t="str">
        <f>VLOOKUP(A209,'CHK Técnico-VB'!$A$18:$I$114,4,FALSE)</f>
        <v>Estandarización</v>
      </c>
      <c r="C209" s="138" t="str">
        <f>VLOOKUP(A209,'CHK Técnico-VB'!$A$18:$I$114,3,FALSE)</f>
        <v>Se ha evitado codificar al interior de los controles cualquier código diferente a una llamada a procedimiento</v>
      </c>
      <c r="D209" s="139" t="str">
        <f>VLOOKUP(A209,'CHK Técnico-VB'!$A$18:$I$114,9,FALSE)</f>
        <v xml:space="preserve">  </v>
      </c>
      <c r="E209" s="140">
        <f>VLOOKUP(A209,'CHK Técnico-VB'!$A$18:$I$114,6,FALSE)</f>
        <v>0</v>
      </c>
      <c r="F209" s="141">
        <f>VLOOKUP(A209,'CHK Técnico-VB'!$A$18:$I$114,5,FALSE)</f>
        <v>0</v>
      </c>
      <c r="G209" s="141" t="s">
        <v>66</v>
      </c>
    </row>
    <row r="210" spans="1:7" ht="51">
      <c r="A210" s="137">
        <f t="shared" si="3"/>
        <v>202</v>
      </c>
      <c r="B210" s="138" t="str">
        <f>VLOOKUP(A210,'CHK Técnico-VB'!$A$18:$I$114,4,FALSE)</f>
        <v>Estandarización</v>
      </c>
      <c r="C210" s="138" t="str">
        <f>VLOOKUP(A210,'CHK Técnico-VB'!$A$18:$I$114,3,FALSE)</f>
        <v>¿Toda lógica de negocio está programada en la Base de Datos bajo procedimientos o funciones?</v>
      </c>
      <c r="D210" s="139" t="str">
        <f>VLOOKUP(A210,'CHK Técnico-VB'!$A$18:$I$114,9,FALSE)</f>
        <v xml:space="preserve">  </v>
      </c>
      <c r="E210" s="140">
        <f>VLOOKUP(A210,'CHK Técnico-VB'!$A$18:$I$114,6,FALSE)</f>
        <v>0</v>
      </c>
      <c r="F210" s="141">
        <f>VLOOKUP(A210,'CHK Técnico-VB'!$A$18:$I$114,5,FALSE)</f>
        <v>0</v>
      </c>
      <c r="G210" s="141" t="s">
        <v>66</v>
      </c>
    </row>
    <row r="211" spans="1:7" ht="38.25">
      <c r="A211" s="137">
        <f t="shared" si="3"/>
        <v>203</v>
      </c>
      <c r="B211" s="138" t="str">
        <f>VLOOKUP(A211,'CHK Técnico-VB'!$A$18:$I$114,4,FALSE)</f>
        <v>Estandarización</v>
      </c>
      <c r="C211" s="138" t="str">
        <f>VLOOKUP(A211,'CHK Técnico-VB'!$A$18:$I$114,3,FALSE)</f>
        <v>Se ha usado indentación al interior de las rutinas para mejor legibilidad del código</v>
      </c>
      <c r="D211" s="139" t="str">
        <f>VLOOKUP(A211,'CHK Técnico-VB'!$A$18:$I$114,9,FALSE)</f>
        <v xml:space="preserve">  </v>
      </c>
      <c r="E211" s="140">
        <f>VLOOKUP(A211,'CHK Técnico-VB'!$A$18:$I$114,6,FALSE)</f>
        <v>0</v>
      </c>
      <c r="F211" s="141">
        <f>VLOOKUP(A211,'CHK Técnico-VB'!$A$18:$I$114,5,FALSE)</f>
        <v>0</v>
      </c>
      <c r="G211" s="141" t="s">
        <v>66</v>
      </c>
    </row>
    <row r="212" spans="1:7" ht="38.25">
      <c r="A212" s="137">
        <f t="shared" si="3"/>
        <v>204</v>
      </c>
      <c r="B212" s="138" t="str">
        <f>VLOOKUP(A212,'CHK Técnico-VB'!$A$18:$I$114,4,FALSE)</f>
        <v>Estandarización</v>
      </c>
      <c r="C212" s="138" t="str">
        <f>VLOOKUP(A212,'CHK Técnico-VB'!$A$18:$I$114,3,FALSE)</f>
        <v>Para el caso de ventanas nuevas siguen estás los estándares de la aplicación</v>
      </c>
      <c r="D212" s="139" t="str">
        <f>VLOOKUP(A212,'CHK Técnico-VB'!$A$18:$I$114,9,FALSE)</f>
        <v xml:space="preserve">  </v>
      </c>
      <c r="E212" s="140">
        <f>VLOOKUP(A212,'CHK Técnico-VB'!$A$18:$I$114,6,FALSE)</f>
        <v>0</v>
      </c>
      <c r="F212" s="141">
        <f>VLOOKUP(A212,'CHK Técnico-VB'!$A$18:$I$114,5,FALSE)</f>
        <v>0</v>
      </c>
      <c r="G212" s="141" t="s">
        <v>66</v>
      </c>
    </row>
    <row r="213" spans="1:7">
      <c r="A213" s="137">
        <f t="shared" si="3"/>
        <v>205</v>
      </c>
      <c r="B213" s="138">
        <f>VLOOKUP(A213,'CHK Técnico-VB'!$A$18:$I$114,4,FALSE)</f>
        <v>0</v>
      </c>
      <c r="C213" s="138">
        <f>VLOOKUP(A213,'CHK Técnico-VB'!$A$18:$I$114,3,FALSE)</f>
        <v>0</v>
      </c>
      <c r="D213" s="139">
        <f>VLOOKUP(A213,'CHK Técnico-VB'!$A$18:$I$114,9,FALSE)</f>
        <v>0</v>
      </c>
      <c r="E213" s="140">
        <f>VLOOKUP(A213,'CHK Técnico-VB'!$A$18:$I$114,6,FALSE)</f>
        <v>0</v>
      </c>
      <c r="F213" s="141">
        <f>VLOOKUP(A213,'CHK Técnico-VB'!$A$18:$I$114,5,FALSE)</f>
        <v>0</v>
      </c>
      <c r="G213" s="141" t="s">
        <v>66</v>
      </c>
    </row>
    <row r="214" spans="1:7" ht="51">
      <c r="A214" s="137">
        <f t="shared" ref="A214:A233" si="4">A213+1</f>
        <v>206</v>
      </c>
      <c r="B214" s="138" t="str">
        <f>VLOOKUP(A214,'CHK Técnico-VB'!$A$18:$I$114,4,FALSE)</f>
        <v>Estandarización</v>
      </c>
      <c r="C214" s="138" t="str">
        <f>VLOOKUP(A214,'CHK Técnico-VB'!$A$18:$I$114,3,FALSE)</f>
        <v>Para grandes cambios o nuevas aplicaciones se ha realizado el checklist de seguridad</v>
      </c>
      <c r="D214" s="139" t="str">
        <f>VLOOKUP(A214,'CHK Técnico-VB'!$A$18:$I$114,9,FALSE)</f>
        <v xml:space="preserve">  </v>
      </c>
      <c r="E214" s="140">
        <f>VLOOKUP(A214,'CHK Técnico-VB'!$A$18:$I$114,6,FALSE)</f>
        <v>0</v>
      </c>
      <c r="F214" s="141">
        <f>VLOOKUP(A214,'CHK Técnico-VB'!$A$18:$I$114,5,FALSE)</f>
        <v>0</v>
      </c>
      <c r="G214" s="141" t="s">
        <v>66</v>
      </c>
    </row>
    <row r="215" spans="1:7" ht="51">
      <c r="A215" s="137">
        <f t="shared" si="4"/>
        <v>207</v>
      </c>
      <c r="B215" s="138" t="str">
        <f>VLOOKUP(A215,'CHK Técnico-VB'!$A$18:$I$114,4,FALSE)</f>
        <v>Estandarización</v>
      </c>
      <c r="C215" s="138" t="str">
        <f>VLOOKUP(A215,'CHK Técnico-VB'!$A$18:$I$114,3,FALSE)</f>
        <v>Para aplicaciones Cliente-Servidor la seguridad esta basado en el usuario Windows y Grupo</v>
      </c>
      <c r="D215" s="139" t="str">
        <f>VLOOKUP(A215,'CHK Técnico-VB'!$A$18:$I$114,9,FALSE)</f>
        <v xml:space="preserve">  </v>
      </c>
      <c r="E215" s="140">
        <f>VLOOKUP(A215,'CHK Técnico-VB'!$A$18:$I$114,6,FALSE)</f>
        <v>0</v>
      </c>
      <c r="F215" s="141">
        <f>VLOOKUP(A215,'CHK Técnico-VB'!$A$18:$I$114,5,FALSE)</f>
        <v>0</v>
      </c>
      <c r="G215" s="141" t="s">
        <v>66</v>
      </c>
    </row>
    <row r="216" spans="1:7">
      <c r="A216" s="137">
        <f t="shared" si="4"/>
        <v>208</v>
      </c>
      <c r="B216" s="138">
        <f>VLOOKUP(A216,'CHK Técnico-VB'!$A$18:$I$114,4,FALSE)</f>
        <v>0</v>
      </c>
      <c r="C216" s="138">
        <f>VLOOKUP(A216,'CHK Técnico-VB'!$A$18:$I$114,3,FALSE)</f>
        <v>0</v>
      </c>
      <c r="D216" s="139">
        <f>VLOOKUP(A216,'CHK Técnico-VB'!$A$18:$I$114,9,FALSE)</f>
        <v>0</v>
      </c>
      <c r="E216" s="140">
        <f>VLOOKUP(A216,'CHK Técnico-VB'!$A$18:$I$114,6,FALSE)</f>
        <v>0</v>
      </c>
      <c r="F216" s="141">
        <f>VLOOKUP(A216,'CHK Técnico-VB'!$A$18:$I$114,5,FALSE)</f>
        <v>0</v>
      </c>
      <c r="G216" s="141" t="s">
        <v>66</v>
      </c>
    </row>
    <row r="217" spans="1:7" ht="38.25">
      <c r="A217" s="137">
        <f t="shared" si="4"/>
        <v>209</v>
      </c>
      <c r="B217" s="138" t="str">
        <f>VLOOKUP(A217,'CHK Técnico-VB'!$A$18:$I$114,4,FALSE)</f>
        <v>Homologación/ Versionamiento</v>
      </c>
      <c r="C217" s="138" t="str">
        <f>VLOOKUP(A217,'CHK Técnico-VB'!$A$18:$I$114,3,FALSE)</f>
        <v>Cuando se cambian fuentes se ha entregado una nueva versión del ejecutable</v>
      </c>
      <c r="D217" s="139" t="str">
        <f>VLOOKUP(A217,'CHK Técnico-VB'!$A$18:$I$114,9,FALSE)</f>
        <v xml:space="preserve">  </v>
      </c>
      <c r="E217" s="140">
        <f>VLOOKUP(A217,'CHK Técnico-VB'!$A$18:$I$114,6,FALSE)</f>
        <v>0</v>
      </c>
      <c r="F217" s="141">
        <f>VLOOKUP(A217,'CHK Técnico-VB'!$A$18:$I$114,5,FALSE)</f>
        <v>0</v>
      </c>
      <c r="G217" s="141" t="s">
        <v>66</v>
      </c>
    </row>
    <row r="218" spans="1:7" ht="51">
      <c r="A218" s="137">
        <f t="shared" si="4"/>
        <v>210</v>
      </c>
      <c r="B218" s="138" t="str">
        <f>VLOOKUP(A218,'CHK Técnico-VB'!$A$18:$I$114,4,FALSE)</f>
        <v>Homologación/ Versionamiento</v>
      </c>
      <c r="C218" s="138" t="str">
        <f>VLOOKUP(A218,'CHK Técnico-VB'!$A$18:$I$114,3,FALSE)</f>
        <v>Cuando se entrega una nueva versión del ejecutable se ha entregado cambios de fuentes</v>
      </c>
      <c r="D218" s="139" t="str">
        <f>VLOOKUP(A218,'CHK Técnico-VB'!$A$18:$I$114,9,FALSE)</f>
        <v xml:space="preserve">  </v>
      </c>
      <c r="E218" s="140">
        <f>VLOOKUP(A218,'CHK Técnico-VB'!$A$18:$I$114,6,FALSE)</f>
        <v>0</v>
      </c>
      <c r="F218" s="141">
        <f>VLOOKUP(A218,'CHK Técnico-VB'!$A$18:$I$114,5,FALSE)</f>
        <v>0</v>
      </c>
      <c r="G218" s="141" t="s">
        <v>66</v>
      </c>
    </row>
    <row r="219" spans="1:7" ht="38.25">
      <c r="A219" s="137">
        <f t="shared" si="4"/>
        <v>211</v>
      </c>
      <c r="B219" s="138" t="str">
        <f>VLOOKUP(A219,'CHK Técnico-VB'!$A$18:$I$114,4,FALSE)</f>
        <v>Homologación/ Versionamiento</v>
      </c>
      <c r="C219" s="138" t="str">
        <f>VLOOKUP(A219,'CHK Técnico-VB'!$A$18:$I$114,3,FALSE)</f>
        <v>Se ha entregado un nuevo instalador cuando se entrega un nuevo ejecutable</v>
      </c>
      <c r="D219" s="139" t="str">
        <f>VLOOKUP(A219,'CHK Técnico-VB'!$A$18:$I$114,9,FALSE)</f>
        <v xml:space="preserve">  </v>
      </c>
      <c r="E219" s="140">
        <f>VLOOKUP(A219,'CHK Técnico-VB'!$A$18:$I$114,6,FALSE)</f>
        <v>0</v>
      </c>
      <c r="F219" s="141">
        <f>VLOOKUP(A219,'CHK Técnico-VB'!$A$18:$I$114,5,FALSE)</f>
        <v>0</v>
      </c>
      <c r="G219" s="141" t="s">
        <v>66</v>
      </c>
    </row>
    <row r="220" spans="1:7" ht="51">
      <c r="A220" s="137">
        <f t="shared" si="4"/>
        <v>212</v>
      </c>
      <c r="B220" s="138" t="str">
        <f>VLOOKUP(A220,'CHK Técnico-VB'!$A$18:$I$114,4,FALSE)</f>
        <v>Documentación</v>
      </c>
      <c r="C220" s="138" t="str">
        <f>VLOOKUP(A220,'CHK Técnico-VB'!$A$18:$I$114,3,FALSE)</f>
        <v>Se ha actualizado la documentación prevista en la evaluación de la orden de trabajo o proyecto</v>
      </c>
      <c r="D220" s="139" t="str">
        <f>VLOOKUP(A220,'CHK Técnico-VB'!$A$18:$I$114,9,FALSE)</f>
        <v xml:space="preserve">  </v>
      </c>
      <c r="E220" s="140">
        <f>VLOOKUP(A220,'CHK Técnico-VB'!$A$18:$I$114,6,FALSE)</f>
        <v>0</v>
      </c>
      <c r="F220" s="141">
        <f>VLOOKUP(A220,'CHK Técnico-VB'!$A$18:$I$114,5,FALSE)</f>
        <v>0</v>
      </c>
      <c r="G220" s="141" t="s">
        <v>66</v>
      </c>
    </row>
    <row r="221" spans="1:7" ht="38.25">
      <c r="A221" s="137">
        <f t="shared" si="4"/>
        <v>213</v>
      </c>
      <c r="B221" s="138" t="str">
        <f>VLOOKUP(A221,'CHK Técnico-VB'!$A$18:$I$114,4,FALSE)</f>
        <v>Documentación</v>
      </c>
      <c r="C221" s="138" t="str">
        <f>VLOOKUP(A221,'CHK Técnico-VB'!$A$18:$I$114,3,FALSE)</f>
        <v>Se ha incluido el documento de casos de pruebas con los escenarios previstos</v>
      </c>
      <c r="D221" s="139" t="str">
        <f>VLOOKUP(A221,'CHK Técnico-VB'!$A$18:$I$114,9,FALSE)</f>
        <v xml:space="preserve">  </v>
      </c>
      <c r="E221" s="140">
        <f>VLOOKUP(A221,'CHK Técnico-VB'!$A$18:$I$114,6,FALSE)</f>
        <v>0</v>
      </c>
      <c r="F221" s="141">
        <f>VLOOKUP(A221,'CHK Técnico-VB'!$A$18:$I$114,5,FALSE)</f>
        <v>0</v>
      </c>
      <c r="G221" s="141" t="s">
        <v>66</v>
      </c>
    </row>
    <row r="222" spans="1:7">
      <c r="A222" s="137">
        <f t="shared" si="4"/>
        <v>214</v>
      </c>
      <c r="B222" s="138">
        <f>VLOOKUP(A222,'CHK Técnico-VB'!$A$18:$I$114,4,FALSE)</f>
        <v>0</v>
      </c>
      <c r="C222" s="138">
        <f>VLOOKUP(A222,'CHK Técnico-VB'!$A$18:$I$114,3,FALSE)</f>
        <v>0</v>
      </c>
      <c r="D222" s="139">
        <f>VLOOKUP(A222,'CHK Técnico-VB'!$A$18:$I$114,9,FALSE)</f>
        <v>0</v>
      </c>
      <c r="E222" s="140">
        <f>VLOOKUP(A222,'CHK Técnico-VB'!$A$18:$I$114,6,FALSE)</f>
        <v>0</v>
      </c>
      <c r="F222" s="141">
        <f>VLOOKUP(A222,'CHK Técnico-VB'!$A$18:$I$114,5,FALSE)</f>
        <v>0</v>
      </c>
      <c r="G222" s="141" t="s">
        <v>66</v>
      </c>
    </row>
    <row r="223" spans="1:7" ht="51">
      <c r="A223" s="137">
        <f t="shared" si="4"/>
        <v>215</v>
      </c>
      <c r="B223" s="138" t="str">
        <f>VLOOKUP(A223,'CHK Técnico-VB'!$A$18:$I$114,4,FALSE)</f>
        <v>Homologación/ Versionamiento</v>
      </c>
      <c r="C223" s="138" t="str">
        <f>VLOOKUP(A223,'CHK Técnico-VB'!$A$18:$I$114,3,FALSE)</f>
        <v>Una persona distinta al programador ha realizado comparación de fuentes modificados</v>
      </c>
      <c r="D223" s="139" t="str">
        <f>VLOOKUP(A223,'CHK Técnico-VB'!$A$18:$I$114,9,FALSE)</f>
        <v xml:space="preserve">  </v>
      </c>
      <c r="E223" s="140">
        <f>VLOOKUP(A223,'CHK Técnico-VB'!$A$18:$I$114,6,FALSE)</f>
        <v>0</v>
      </c>
      <c r="F223" s="141">
        <f>VLOOKUP(A223,'CHK Técnico-VB'!$A$18:$I$114,5,FALSE)</f>
        <v>0</v>
      </c>
      <c r="G223" s="141" t="s">
        <v>66</v>
      </c>
    </row>
    <row r="224" spans="1:7" ht="51">
      <c r="A224" s="137">
        <f t="shared" si="4"/>
        <v>216</v>
      </c>
      <c r="B224" s="138" t="str">
        <f>VLOOKUP(A224,'CHK Técnico-VB'!$A$18:$I$114,4,FALSE)</f>
        <v>Funcionalidad</v>
      </c>
      <c r="C224" s="138" t="str">
        <f>VLOOKUP(A224,'CHK Técnico-VB'!$A$18:$I$114,3,FALSE)</f>
        <v>Los cambios de fuente se muestran relacionados con las especificaciones funcionales</v>
      </c>
      <c r="D224" s="139" t="str">
        <f>VLOOKUP(A224,'CHK Técnico-VB'!$A$18:$I$114,9,FALSE)</f>
        <v xml:space="preserve">  </v>
      </c>
      <c r="E224" s="140">
        <f>VLOOKUP(A224,'CHK Técnico-VB'!$A$18:$I$114,6,FALSE)</f>
        <v>0</v>
      </c>
      <c r="F224" s="141">
        <f>VLOOKUP(A224,'CHK Técnico-VB'!$A$18:$I$114,5,FALSE)</f>
        <v>0</v>
      </c>
      <c r="G224" s="141" t="s">
        <v>66</v>
      </c>
    </row>
    <row r="225" spans="1:7" ht="25.5">
      <c r="A225" s="137">
        <f t="shared" si="4"/>
        <v>217</v>
      </c>
      <c r="B225" s="138" t="str">
        <f>VLOOKUP(A225,'CHK Técnico-VB'!$A$18:$I$114,4,FALSE)</f>
        <v>Estandarización</v>
      </c>
      <c r="C225" s="138" t="str">
        <f>VLOOKUP(A225,'CHK Técnico-VB'!$A$18:$I$114,3,FALSE)</f>
        <v>Se ha evitado la introducción de hardcodes</v>
      </c>
      <c r="D225" s="139" t="str">
        <f>VLOOKUP(A225,'CHK Técnico-VB'!$A$18:$I$114,9,FALSE)</f>
        <v xml:space="preserve">  </v>
      </c>
      <c r="E225" s="140">
        <f>VLOOKUP(A225,'CHK Técnico-VB'!$A$18:$I$114,6,FALSE)</f>
        <v>0</v>
      </c>
      <c r="F225" s="141">
        <f>VLOOKUP(A225,'CHK Técnico-VB'!$A$18:$I$114,5,FALSE)</f>
        <v>0</v>
      </c>
      <c r="G225" s="141" t="s">
        <v>66</v>
      </c>
    </row>
    <row r="226" spans="1:7" ht="38.25">
      <c r="A226" s="137">
        <f t="shared" si="4"/>
        <v>218</v>
      </c>
      <c r="B226" s="138" t="str">
        <f>VLOOKUP(A226,'CHK Técnico-VB'!$A$18:$I$114,4,FALSE)</f>
        <v>Estandarización</v>
      </c>
      <c r="C226" s="138" t="str">
        <f>VLOOKUP(A226,'CHK Técnico-VB'!$A$18:$I$114,3,FALSE)</f>
        <v>Se ha hecho revisión buscando posible código fraudulento</v>
      </c>
      <c r="D226" s="139" t="str">
        <f>VLOOKUP(A226,'CHK Técnico-VB'!$A$18:$I$114,9,FALSE)</f>
        <v xml:space="preserve">  </v>
      </c>
      <c r="E226" s="140">
        <f>VLOOKUP(A226,'CHK Técnico-VB'!$A$18:$I$114,6,FALSE)</f>
        <v>0</v>
      </c>
      <c r="F226" s="141">
        <f>VLOOKUP(A226,'CHK Técnico-VB'!$A$18:$I$114,5,FALSE)</f>
        <v>0</v>
      </c>
      <c r="G226" s="141" t="s">
        <v>66</v>
      </c>
    </row>
    <row r="227" spans="1:7">
      <c r="A227" s="137">
        <f t="shared" si="4"/>
        <v>219</v>
      </c>
      <c r="B227" s="138">
        <f>VLOOKUP(A227,'CHK Técnico-VB'!$A$18:$I$114,4,FALSE)</f>
        <v>0</v>
      </c>
      <c r="C227" s="138">
        <f>VLOOKUP(A227,'CHK Técnico-VB'!$A$18:$I$114,3,FALSE)</f>
        <v>0</v>
      </c>
      <c r="D227" s="139">
        <f>VLOOKUP(A227,'CHK Técnico-VB'!$A$18:$I$114,9,FALSE)</f>
        <v>0</v>
      </c>
      <c r="E227" s="140">
        <f>VLOOKUP(A227,'CHK Técnico-VB'!$A$18:$I$114,6,FALSE)</f>
        <v>0</v>
      </c>
      <c r="F227" s="141">
        <f>VLOOKUP(A227,'CHK Técnico-VB'!$A$18:$I$114,5,FALSE)</f>
        <v>0</v>
      </c>
      <c r="G227" s="141" t="s">
        <v>66</v>
      </c>
    </row>
    <row r="228" spans="1:7" ht="102">
      <c r="A228" s="137">
        <f t="shared" si="4"/>
        <v>220</v>
      </c>
      <c r="B228" s="138" t="str">
        <f>VLOOKUP(A228,'CHK Técnico-VB'!$A$18:$I$114,4,FALSE)</f>
        <v>Estandarización</v>
      </c>
      <c r="C228" s="138" t="str">
        <f>VLOOKUP(A228,'CHK Técnico-VB'!$A$18:$I$114,3,FALSE)</f>
        <v>¿Para el caso de reportes nuevos, éstos han sido realizado a través de un Crystal Report y no desde el código VB?. Salvo excepciones (P.E. Si se requiere tener control sobre la impresora)</v>
      </c>
      <c r="D228" s="139" t="str">
        <f>VLOOKUP(A228,'CHK Técnico-VB'!$A$18:$I$114,9,FALSE)</f>
        <v xml:space="preserve">  </v>
      </c>
      <c r="E228" s="140">
        <f>VLOOKUP(A228,'CHK Técnico-VB'!$A$18:$I$114,6,FALSE)</f>
        <v>0</v>
      </c>
      <c r="F228" s="141">
        <f>VLOOKUP(A228,'CHK Técnico-VB'!$A$18:$I$114,5,FALSE)</f>
        <v>0</v>
      </c>
      <c r="G228" s="141" t="s">
        <v>66</v>
      </c>
    </row>
    <row r="229" spans="1:7" ht="51">
      <c r="A229" s="137">
        <f t="shared" si="4"/>
        <v>221</v>
      </c>
      <c r="B229" s="138" t="str">
        <f>VLOOKUP(A229,'CHK Técnico-VB'!$A$18:$I$114,4,FALSE)</f>
        <v>Estandarización</v>
      </c>
      <c r="C229" s="138" t="str">
        <f>VLOOKUP(A229,'CHK Técnico-VB'!$A$18:$I$114,3,FALSE)</f>
        <v>¿El reporte en Crystal Report tiene su fuente de datos en un Stored Procedure?</v>
      </c>
      <c r="D229" s="139" t="str">
        <f>VLOOKUP(A229,'CHK Técnico-VB'!$A$18:$I$114,9,FALSE)</f>
        <v xml:space="preserve">  </v>
      </c>
      <c r="E229" s="140">
        <f>VLOOKUP(A229,'CHK Técnico-VB'!$A$18:$I$114,6,FALSE)</f>
        <v>0</v>
      </c>
      <c r="F229" s="141">
        <f>VLOOKUP(A229,'CHK Técnico-VB'!$A$18:$I$114,5,FALSE)</f>
        <v>0</v>
      </c>
      <c r="G229" s="141" t="s">
        <v>66</v>
      </c>
    </row>
    <row r="230" spans="1:7" ht="51">
      <c r="A230" s="137">
        <f t="shared" si="4"/>
        <v>222</v>
      </c>
      <c r="B230" s="138" t="str">
        <f>VLOOKUP(A230,'CHK Técnico-VB'!$A$18:$I$114,4,FALSE)</f>
        <v>Estandarización</v>
      </c>
      <c r="C230" s="138" t="str">
        <f>VLOOKUP(A230,'CHK Técnico-VB'!$A$18:$I$114,3,FALSE)</f>
        <v>Todo reporte Crystal Report debe estar en Harvest en las rutas Fuentes y Ejecutables.</v>
      </c>
      <c r="D230" s="139" t="str">
        <f>VLOOKUP(A230,'CHK Técnico-VB'!$A$18:$I$114,9,FALSE)</f>
        <v xml:space="preserve">  </v>
      </c>
      <c r="E230" s="140">
        <f>VLOOKUP(A230,'CHK Técnico-VB'!$A$18:$I$114,6,FALSE)</f>
        <v>0</v>
      </c>
      <c r="F230" s="141">
        <f>VLOOKUP(A230,'CHK Técnico-VB'!$A$18:$I$114,5,FALSE)</f>
        <v>0</v>
      </c>
      <c r="G230" s="141" t="s">
        <v>66</v>
      </c>
    </row>
    <row r="231" spans="1:7">
      <c r="A231" s="137">
        <f t="shared" si="4"/>
        <v>223</v>
      </c>
      <c r="B231" s="138">
        <f>VLOOKUP(A231,'CHK Técnico-VB'!$A$18:$I$114,4,FALSE)</f>
        <v>0</v>
      </c>
      <c r="C231" s="138">
        <f>VLOOKUP(A231,'CHK Técnico-VB'!$A$18:$I$114,3,FALSE)</f>
        <v>0</v>
      </c>
      <c r="D231" s="139">
        <f>VLOOKUP(A231,'CHK Técnico-VB'!$A$18:$I$114,9,FALSE)</f>
        <v>0</v>
      </c>
      <c r="E231" s="140">
        <f>VLOOKUP(A231,'CHK Técnico-VB'!$A$18:$I$114,6,FALSE)</f>
        <v>0</v>
      </c>
      <c r="F231" s="141">
        <f>VLOOKUP(A231,'CHK Técnico-VB'!$A$18:$I$114,5,FALSE)</f>
        <v>0</v>
      </c>
      <c r="G231" s="141" t="s">
        <v>66</v>
      </c>
    </row>
    <row r="232" spans="1:7">
      <c r="A232" s="137">
        <f t="shared" si="4"/>
        <v>224</v>
      </c>
      <c r="B232" s="138">
        <f>VLOOKUP(A232,'CHK Técnico-VB'!$A$18:$I$114,4,FALSE)</f>
        <v>0</v>
      </c>
      <c r="C232" s="138">
        <f>VLOOKUP(A232,'CHK Técnico-VB'!$A$18:$I$114,3,FALSE)</f>
        <v>0</v>
      </c>
      <c r="D232" s="139">
        <f>VLOOKUP(A232,'CHK Técnico-VB'!$A$18:$I$114,9,FALSE)</f>
        <v>0</v>
      </c>
      <c r="E232" s="140">
        <f>VLOOKUP(A232,'CHK Técnico-VB'!$A$18:$I$114,6,FALSE)</f>
        <v>0</v>
      </c>
      <c r="F232" s="141">
        <f>VLOOKUP(A232,'CHK Técnico-VB'!$A$18:$I$114,5,FALSE)</f>
        <v>0</v>
      </c>
      <c r="G232" s="141" t="s">
        <v>66</v>
      </c>
    </row>
    <row r="233" spans="1:7">
      <c r="A233" s="137">
        <f t="shared" si="4"/>
        <v>225</v>
      </c>
      <c r="B233" s="138" t="e">
        <f>VLOOKUP(A233,'CHK Técnico-VB'!$A$18:$I$114,4,FALSE)</f>
        <v>#N/A</v>
      </c>
      <c r="C233" s="138" t="e">
        <f>VLOOKUP(A233,'CHK Técnico-VB'!$A$18:$I$114,3,FALSE)</f>
        <v>#N/A</v>
      </c>
      <c r="D233" s="139" t="e">
        <f>VLOOKUP(A233,'CHK Técnico-VB'!$A$18:$I$114,9,FALSE)</f>
        <v>#N/A</v>
      </c>
      <c r="E233" s="140" t="e">
        <f>VLOOKUP(A233,'CHK Técnico-VB'!$A$18:$I$114,6,FALSE)</f>
        <v>#N/A</v>
      </c>
      <c r="F233" s="141" t="e">
        <f>VLOOKUP(A233,'CHK Técnico-VB'!$A$18:$I$114,5,FALSE)</f>
        <v>#N/A</v>
      </c>
      <c r="G233" s="141" t="s">
        <v>66</v>
      </c>
    </row>
    <row r="234" spans="1:7">
      <c r="A234" s="137">
        <f t="shared" ref="A234:A254" si="5">A233+1</f>
        <v>226</v>
      </c>
      <c r="B234" s="138" t="e">
        <f>VLOOKUP(A234,'CHK Técnico-JAVA'!$A$18:$I$105,4,FALSE)</f>
        <v>#N/A</v>
      </c>
      <c r="C234" s="138" t="e">
        <f>VLOOKUP(A234,'CHK Técnico-JAVA'!$A$18:$I$105,3,FALSE)</f>
        <v>#N/A</v>
      </c>
      <c r="D234" s="139" t="e">
        <f>VLOOKUP(A234,'CHK Técnico-JAVA'!$A$18:$I$105,9,FALSE)</f>
        <v>#N/A</v>
      </c>
      <c r="E234" s="140" t="e">
        <f>VLOOKUP(A234,'CHK Técnico-JAVA'!$A$18:$I$105,6,FALSE)</f>
        <v>#N/A</v>
      </c>
      <c r="F234" s="141" t="e">
        <f>VLOOKUP(A234,'CHK Técnico-JAVA'!$A$18:$I$105,5,FALSE)</f>
        <v>#N/A</v>
      </c>
      <c r="G234" s="141" t="s">
        <v>66</v>
      </c>
    </row>
    <row r="235" spans="1:7">
      <c r="A235" s="137">
        <f t="shared" si="5"/>
        <v>227</v>
      </c>
      <c r="B235" s="138" t="e">
        <f>VLOOKUP(A235,'CHK Técnico-JAVA'!$A$18:$I$105,4,FALSE)</f>
        <v>#N/A</v>
      </c>
      <c r="C235" s="138" t="e">
        <f>VLOOKUP(A235,'CHK Técnico-JAVA'!$A$18:$I$105,3,FALSE)</f>
        <v>#N/A</v>
      </c>
      <c r="D235" s="139" t="e">
        <f>VLOOKUP(A235,'CHK Técnico-JAVA'!$A$18:$I$105,9,FALSE)</f>
        <v>#N/A</v>
      </c>
      <c r="E235" s="140" t="e">
        <f>VLOOKUP(A235,'CHK Técnico-JAVA'!$A$18:$I$105,6,FALSE)</f>
        <v>#N/A</v>
      </c>
      <c r="F235" s="141" t="e">
        <f>VLOOKUP(A235,'CHK Técnico-JAVA'!$A$18:$I$105,5,FALSE)</f>
        <v>#N/A</v>
      </c>
      <c r="G235" s="141" t="s">
        <v>66</v>
      </c>
    </row>
    <row r="236" spans="1:7">
      <c r="A236" s="137">
        <f t="shared" si="5"/>
        <v>228</v>
      </c>
      <c r="B236" s="138" t="e">
        <f>VLOOKUP(A236,'CHK Técnico-JAVA'!$A$18:$I$105,4,FALSE)</f>
        <v>#N/A</v>
      </c>
      <c r="C236" s="138" t="e">
        <f>VLOOKUP(A236,'CHK Técnico-JAVA'!$A$18:$I$105,3,FALSE)</f>
        <v>#N/A</v>
      </c>
      <c r="D236" s="139" t="e">
        <f>VLOOKUP(A236,'CHK Técnico-JAVA'!$A$18:$I$105,9,FALSE)</f>
        <v>#N/A</v>
      </c>
      <c r="E236" s="140" t="e">
        <f>VLOOKUP(A236,'CHK Técnico-JAVA'!$A$18:$I$105,6,FALSE)</f>
        <v>#N/A</v>
      </c>
      <c r="F236" s="141" t="e">
        <f>VLOOKUP(A236,'CHK Técnico-JAVA'!$A$18:$I$105,5,FALSE)</f>
        <v>#N/A</v>
      </c>
      <c r="G236" s="141" t="s">
        <v>66</v>
      </c>
    </row>
    <row r="237" spans="1:7">
      <c r="A237" s="137">
        <f t="shared" si="5"/>
        <v>229</v>
      </c>
      <c r="B237" s="138" t="e">
        <f>VLOOKUP(A237,'CHK Técnico-JAVA'!$A$18:$I$105,4,FALSE)</f>
        <v>#N/A</v>
      </c>
      <c r="C237" s="138" t="e">
        <f>VLOOKUP(A237,'CHK Técnico-JAVA'!$A$18:$I$105,3,FALSE)</f>
        <v>#N/A</v>
      </c>
      <c r="D237" s="139" t="e">
        <f>VLOOKUP(A237,'CHK Técnico-JAVA'!$A$18:$I$105,9,FALSE)</f>
        <v>#N/A</v>
      </c>
      <c r="E237" s="140" t="e">
        <f>VLOOKUP(A237,'CHK Técnico-JAVA'!$A$18:$I$105,6,FALSE)</f>
        <v>#N/A</v>
      </c>
      <c r="F237" s="141" t="e">
        <f>VLOOKUP(A237,'CHK Técnico-JAVA'!$A$18:$I$105,5,FALSE)</f>
        <v>#N/A</v>
      </c>
      <c r="G237" s="141" t="s">
        <v>66</v>
      </c>
    </row>
    <row r="238" spans="1:7">
      <c r="A238" s="137">
        <f t="shared" si="5"/>
        <v>230</v>
      </c>
      <c r="B238" s="138" t="e">
        <f>VLOOKUP(A238,'CHK Técnico-JAVA'!$A$18:$I$105,4,FALSE)</f>
        <v>#N/A</v>
      </c>
      <c r="C238" s="138" t="e">
        <f>VLOOKUP(A238,'CHK Técnico-JAVA'!$A$18:$I$105,3,FALSE)</f>
        <v>#N/A</v>
      </c>
      <c r="D238" s="139" t="e">
        <f>VLOOKUP(A238,'CHK Técnico-JAVA'!$A$18:$I$105,9,FALSE)</f>
        <v>#N/A</v>
      </c>
      <c r="E238" s="140" t="e">
        <f>VLOOKUP(A238,'CHK Técnico-JAVA'!$A$18:$I$105,6,FALSE)</f>
        <v>#N/A</v>
      </c>
      <c r="F238" s="141" t="e">
        <f>VLOOKUP(A238,'CHK Técnico-JAVA'!$A$18:$I$105,5,FALSE)</f>
        <v>#N/A</v>
      </c>
      <c r="G238" s="141" t="s">
        <v>66</v>
      </c>
    </row>
    <row r="239" spans="1:7">
      <c r="A239" s="137">
        <f t="shared" si="5"/>
        <v>231</v>
      </c>
      <c r="B239" s="138" t="e">
        <f>VLOOKUP(A239,'CHK Técnico-JAVA'!$A$18:$I$105,4,FALSE)</f>
        <v>#N/A</v>
      </c>
      <c r="C239" s="138" t="e">
        <f>VLOOKUP(A239,'CHK Técnico-JAVA'!$A$18:$I$105,3,FALSE)</f>
        <v>#N/A</v>
      </c>
      <c r="D239" s="139" t="e">
        <f>VLOOKUP(A239,'CHK Técnico-JAVA'!$A$18:$I$105,9,FALSE)</f>
        <v>#N/A</v>
      </c>
      <c r="E239" s="140" t="e">
        <f>VLOOKUP(A239,'CHK Técnico-JAVA'!$A$18:$I$105,6,FALSE)</f>
        <v>#N/A</v>
      </c>
      <c r="F239" s="141" t="e">
        <f>VLOOKUP(A239,'CHK Técnico-JAVA'!$A$18:$I$105,5,FALSE)</f>
        <v>#N/A</v>
      </c>
      <c r="G239" s="141" t="s">
        <v>66</v>
      </c>
    </row>
    <row r="240" spans="1:7">
      <c r="A240" s="137">
        <f t="shared" si="5"/>
        <v>232</v>
      </c>
      <c r="B240" s="138" t="e">
        <f>VLOOKUP(A240,'CHK Técnico-JAVA'!$A$18:$I$105,4,FALSE)</f>
        <v>#N/A</v>
      </c>
      <c r="C240" s="138" t="e">
        <f>VLOOKUP(A240,'CHK Técnico-JAVA'!$A$18:$I$105,3,FALSE)</f>
        <v>#N/A</v>
      </c>
      <c r="D240" s="139" t="e">
        <f>VLOOKUP(A240,'CHK Técnico-JAVA'!$A$18:$I$105,9,FALSE)</f>
        <v>#N/A</v>
      </c>
      <c r="E240" s="140" t="e">
        <f>VLOOKUP(A240,'CHK Técnico-JAVA'!$A$18:$I$105,6,FALSE)</f>
        <v>#N/A</v>
      </c>
      <c r="F240" s="141" t="e">
        <f>VLOOKUP(A240,'CHK Técnico-JAVA'!$A$18:$I$105,5,FALSE)</f>
        <v>#N/A</v>
      </c>
      <c r="G240" s="141" t="s">
        <v>66</v>
      </c>
    </row>
    <row r="241" spans="1:7">
      <c r="A241" s="137">
        <f t="shared" si="5"/>
        <v>233</v>
      </c>
      <c r="B241" s="138" t="e">
        <f>VLOOKUP(A241,'CHK Técnico-JAVA'!$A$18:$I$105,4,FALSE)</f>
        <v>#N/A</v>
      </c>
      <c r="C241" s="138" t="e">
        <f>VLOOKUP(A241,'CHK Técnico-JAVA'!$A$18:$I$105,3,FALSE)</f>
        <v>#N/A</v>
      </c>
      <c r="D241" s="139" t="e">
        <f>VLOOKUP(A241,'CHK Técnico-JAVA'!$A$18:$I$105,9,FALSE)</f>
        <v>#N/A</v>
      </c>
      <c r="E241" s="140" t="e">
        <f>VLOOKUP(A241,'CHK Técnico-JAVA'!$A$18:$I$105,6,FALSE)</f>
        <v>#N/A</v>
      </c>
      <c r="F241" s="141" t="e">
        <f>VLOOKUP(A241,'CHK Técnico-JAVA'!$A$18:$I$105,5,FALSE)</f>
        <v>#N/A</v>
      </c>
      <c r="G241" s="141" t="s">
        <v>66</v>
      </c>
    </row>
    <row r="242" spans="1:7">
      <c r="A242" s="149">
        <f t="shared" si="5"/>
        <v>234</v>
      </c>
      <c r="B242" s="150">
        <f>VLOOKUP(A242,'CHK Técnico-JAVA'!$A$18:$I$105,4,FALSE)</f>
        <v>0</v>
      </c>
      <c r="C242" s="150">
        <f>VLOOKUP(A242,'CHK Técnico-JAVA'!$A$18:$I$105,3,FALSE)</f>
        <v>0</v>
      </c>
      <c r="D242" s="151">
        <f>VLOOKUP(A242,'CHK Técnico-JAVA'!$A$18:$I$105,9,FALSE)</f>
        <v>0</v>
      </c>
      <c r="E242" s="152">
        <f>VLOOKUP(A242,'CHK Técnico-JAVA'!$A$18:$I$105,6,FALSE)</f>
        <v>0</v>
      </c>
      <c r="F242" s="153">
        <f>VLOOKUP(A242,'CHK Técnico-JAVA'!$A$18:$I$105,5,FALSE)</f>
        <v>0</v>
      </c>
      <c r="G242" s="153" t="s">
        <v>66</v>
      </c>
    </row>
    <row r="243" spans="1:7" ht="51">
      <c r="A243" s="149">
        <f t="shared" si="5"/>
        <v>235</v>
      </c>
      <c r="B243" s="150" t="str">
        <f>VLOOKUP(A243,'CHK Técnico-JAVA'!$A$18:$I$105,4,FALSE)</f>
        <v>Estandarización</v>
      </c>
      <c r="C243" s="150" t="str">
        <f>VLOOKUP(A243,'CHK Técnico-JAVA'!$A$18:$I$105,3,FALSE)</f>
        <v>Se ha seguido el Patrón MVC (Modelo - Vista - Controlador) para aplicaciones nuevas</v>
      </c>
      <c r="D243" s="151">
        <f>VLOOKUP(A243,'CHK Técnico-JAVA'!$A$18:$I$105,9,FALSE)</f>
        <v>0</v>
      </c>
      <c r="E243" s="152">
        <f>VLOOKUP(A243,'CHK Técnico-JAVA'!$A$18:$I$105,6,FALSE)</f>
        <v>0</v>
      </c>
      <c r="F243" s="153">
        <f>VLOOKUP(A243,'CHK Técnico-JAVA'!$A$18:$I$105,5,FALSE)</f>
        <v>0</v>
      </c>
      <c r="G243" s="153" t="s">
        <v>66</v>
      </c>
    </row>
    <row r="244" spans="1:7" ht="38.25">
      <c r="A244" s="149">
        <f t="shared" si="5"/>
        <v>236</v>
      </c>
      <c r="B244" s="150" t="str">
        <f>VLOOKUP(A244,'CHK Técnico-JAVA'!$A$18:$I$105,4,FALSE)</f>
        <v>Estandarización</v>
      </c>
      <c r="C244" s="150" t="str">
        <f>VLOOKUP(A244,'CHK Técnico-JAVA'!$A$18:$I$105,3,FALSE)</f>
        <v>Se ha usado STRUTS (con JSTL o TILES) para la lógica de Presentación</v>
      </c>
      <c r="D244" s="151" t="str">
        <f>VLOOKUP(A244,'CHK Técnico-JAVA'!$A$18:$I$105,9,FALSE)</f>
        <v xml:space="preserve">  </v>
      </c>
      <c r="E244" s="152">
        <f>VLOOKUP(A244,'CHK Técnico-JAVA'!$A$18:$I$105,6,FALSE)</f>
        <v>0</v>
      </c>
      <c r="F244" s="153">
        <f>VLOOKUP(A244,'CHK Técnico-JAVA'!$A$18:$I$105,5,FALSE)</f>
        <v>0</v>
      </c>
      <c r="G244" s="153" t="s">
        <v>66</v>
      </c>
    </row>
    <row r="245" spans="1:7" ht="25.5">
      <c r="A245" s="149">
        <f t="shared" si="5"/>
        <v>237</v>
      </c>
      <c r="B245" s="150" t="str">
        <f>VLOOKUP(A245,'CHK Técnico-JAVA'!$A$18:$I$105,4,FALSE)</f>
        <v>Estandarización</v>
      </c>
      <c r="C245" s="150" t="str">
        <f>VLOOKUP(A245,'CHK Técnico-JAVA'!$A$18:$I$105,3,FALSE)</f>
        <v>Se ha usado STRUTS para la lógica de control</v>
      </c>
      <c r="D245" s="151" t="str">
        <f>VLOOKUP(A245,'CHK Técnico-JAVA'!$A$18:$I$105,9,FALSE)</f>
        <v xml:space="preserve">  </v>
      </c>
      <c r="E245" s="152">
        <f>VLOOKUP(A245,'CHK Técnico-JAVA'!$A$18:$I$105,6,FALSE)</f>
        <v>0</v>
      </c>
      <c r="F245" s="153">
        <f>VLOOKUP(A245,'CHK Técnico-JAVA'!$A$18:$I$105,5,FALSE)</f>
        <v>0</v>
      </c>
      <c r="G245" s="153" t="s">
        <v>66</v>
      </c>
    </row>
    <row r="246" spans="1:7" ht="38.25">
      <c r="A246" s="149">
        <f t="shared" si="5"/>
        <v>238</v>
      </c>
      <c r="B246" s="150" t="str">
        <f>VLOOKUP(A246,'CHK Técnico-JAVA'!$A$18:$I$105,4,FALSE)</f>
        <v>Estandarización</v>
      </c>
      <c r="C246" s="150" t="str">
        <f>VLOOKUP(A246,'CHK Técnico-JAVA'!$A$18:$I$105,3,FALSE)</f>
        <v>Para nuevas aplicaciones se ha usado SPRING para la lógica de negocio</v>
      </c>
      <c r="D246" s="151" t="str">
        <f>VLOOKUP(A246,'CHK Técnico-JAVA'!$A$18:$I$105,9,FALSE)</f>
        <v xml:space="preserve">  </v>
      </c>
      <c r="E246" s="152">
        <f>VLOOKUP(A246,'CHK Técnico-JAVA'!$A$18:$I$105,6,FALSE)</f>
        <v>0</v>
      </c>
      <c r="F246" s="153">
        <f>VLOOKUP(A246,'CHK Técnico-JAVA'!$A$18:$I$105,5,FALSE)</f>
        <v>0</v>
      </c>
      <c r="G246" s="153" t="s">
        <v>66</v>
      </c>
    </row>
    <row r="247" spans="1:7" ht="51">
      <c r="A247" s="149">
        <f t="shared" si="5"/>
        <v>239</v>
      </c>
      <c r="B247" s="150" t="str">
        <f>VLOOKUP(A247,'CHK Técnico-JAVA'!$A$18:$I$105,4,FALSE)</f>
        <v>Estandarización</v>
      </c>
      <c r="C247" s="150" t="str">
        <f>VLOOKUP(A247,'CHK Técnico-JAVA'!$A$18:$I$105,3,FALSE)</f>
        <v>Se ha usado el patrón DAO para la programación del acceso a datos usando JDBC</v>
      </c>
      <c r="D247" s="151" t="str">
        <f>VLOOKUP(A247,'CHK Técnico-JAVA'!$A$18:$I$105,9,FALSE)</f>
        <v xml:space="preserve">  </v>
      </c>
      <c r="E247" s="152">
        <f>VLOOKUP(A247,'CHK Técnico-JAVA'!$A$18:$I$105,6,FALSE)</f>
        <v>0</v>
      </c>
      <c r="F247" s="153">
        <f>VLOOKUP(A247,'CHK Técnico-JAVA'!$A$18:$I$105,5,FALSE)</f>
        <v>0</v>
      </c>
      <c r="G247" s="153" t="s">
        <v>66</v>
      </c>
    </row>
    <row r="248" spans="1:7" ht="38.25">
      <c r="A248" s="149">
        <f t="shared" si="5"/>
        <v>240</v>
      </c>
      <c r="B248" s="150" t="str">
        <f>VLOOKUP(A248,'CHK Técnico-JAVA'!$A$18:$I$105,4,FALSE)</f>
        <v>Estandarización</v>
      </c>
      <c r="C248" s="150" t="str">
        <f>VLOOKUP(A248,'CHK Técnico-JAVA'!$A$18:$I$105,3,FALSE)</f>
        <v>Todos los accesos a bases de datos son vía Stored Procedures</v>
      </c>
      <c r="D248" s="151" t="str">
        <f>VLOOKUP(A248,'CHK Técnico-JAVA'!$A$18:$I$105,9,FALSE)</f>
        <v xml:space="preserve">  </v>
      </c>
      <c r="E248" s="152">
        <f>VLOOKUP(A248,'CHK Técnico-JAVA'!$A$18:$I$105,6,FALSE)</f>
        <v>0</v>
      </c>
      <c r="F248" s="153">
        <f>VLOOKUP(A248,'CHK Técnico-JAVA'!$A$18:$I$105,5,FALSE)</f>
        <v>0</v>
      </c>
      <c r="G248" s="153" t="s">
        <v>66</v>
      </c>
    </row>
    <row r="249" spans="1:7">
      <c r="A249" s="149">
        <f t="shared" si="5"/>
        <v>241</v>
      </c>
      <c r="B249" s="150">
        <f>VLOOKUP(A249,'CHK Técnico-JAVA'!$A$18:$I$105,4,FALSE)</f>
        <v>0</v>
      </c>
      <c r="C249" s="150">
        <f>VLOOKUP(A249,'CHK Técnico-JAVA'!$A$18:$I$105,3,FALSE)</f>
        <v>0</v>
      </c>
      <c r="D249" s="151">
        <f>VLOOKUP(A249,'CHK Técnico-JAVA'!$A$18:$I$105,9,FALSE)</f>
        <v>0</v>
      </c>
      <c r="E249" s="152">
        <f>VLOOKUP(A249,'CHK Técnico-JAVA'!$A$18:$I$105,6,FALSE)</f>
        <v>0</v>
      </c>
      <c r="F249" s="153">
        <f>VLOOKUP(A249,'CHK Técnico-JAVA'!$A$18:$I$105,5,FALSE)</f>
        <v>0</v>
      </c>
      <c r="G249" s="153" t="s">
        <v>66</v>
      </c>
    </row>
    <row r="250" spans="1:7" ht="51">
      <c r="A250" s="149">
        <f t="shared" si="5"/>
        <v>242</v>
      </c>
      <c r="B250" s="150" t="str">
        <f>VLOOKUP(A250,'CHK Técnico-JAVA'!$A$18:$I$105,4,FALSE)</f>
        <v>Documentación</v>
      </c>
      <c r="C250" s="150" t="str">
        <f>VLOOKUP(A250,'CHK Técnico-JAVA'!$A$18:$I$105,3,FALSE)</f>
        <v>Incluye sección de objetos para websphere O EAR O componente(s) para el pase automático</v>
      </c>
      <c r="D250" s="151" t="str">
        <f>VLOOKUP(A250,'CHK Técnico-JAVA'!$A$18:$I$105,9,FALSE)</f>
        <v xml:space="preserve">  </v>
      </c>
      <c r="E250" s="152">
        <f>VLOOKUP(A250,'CHK Técnico-JAVA'!$A$18:$I$105,6,FALSE)</f>
        <v>0</v>
      </c>
      <c r="F250" s="153">
        <f>VLOOKUP(A250,'CHK Técnico-JAVA'!$A$18:$I$105,5,FALSE)</f>
        <v>0</v>
      </c>
      <c r="G250" s="153" t="s">
        <v>66</v>
      </c>
    </row>
    <row r="251" spans="1:7" ht="38.25">
      <c r="A251" s="149">
        <f t="shared" si="5"/>
        <v>243</v>
      </c>
      <c r="B251" s="150" t="str">
        <f>VLOOKUP(A251,'CHK Técnico-JAVA'!$A$18:$I$105,4,FALSE)</f>
        <v>Documentación</v>
      </c>
      <c r="C251" s="150" t="str">
        <f>VLOOKUP(A251,'CHK Técnico-JAVA'!$A$18:$I$105,3,FALSE)</f>
        <v>Las instrucciones permiten realizar el pase a Testing y a Producción</v>
      </c>
      <c r="D251" s="151" t="str">
        <f>VLOOKUP(A251,'CHK Técnico-JAVA'!$A$18:$I$105,9,FALSE)</f>
        <v xml:space="preserve">  </v>
      </c>
      <c r="E251" s="152">
        <f>VLOOKUP(A251,'CHK Técnico-JAVA'!$A$18:$I$105,6,FALSE)</f>
        <v>0</v>
      </c>
      <c r="F251" s="153">
        <f>VLOOKUP(A251,'CHK Técnico-JAVA'!$A$18:$I$105,5,FALSE)</f>
        <v>0</v>
      </c>
      <c r="G251" s="153" t="s">
        <v>66</v>
      </c>
    </row>
    <row r="252" spans="1:7" ht="51">
      <c r="A252" s="149">
        <f t="shared" si="5"/>
        <v>244</v>
      </c>
      <c r="B252" s="150" t="str">
        <f>VLOOKUP(A252,'CHK Técnico-JAVA'!$A$18:$I$105,4,FALSE)</f>
        <v>Homologación/Versionamiento</v>
      </c>
      <c r="C252" s="150" t="str">
        <f>VLOOKUP(A252,'CHK Técnico-JAVA'!$A$18:$I$105,3,FALSE)</f>
        <v>¿La cantidad de objetos indicados en PR corresponde a los subidos en el Harvest?</v>
      </c>
      <c r="D252" s="151" t="str">
        <f>VLOOKUP(A252,'CHK Técnico-JAVA'!$A$18:$I$105,9,FALSE)</f>
        <v xml:space="preserve">  </v>
      </c>
      <c r="E252" s="152">
        <f>VLOOKUP(A252,'CHK Técnico-JAVA'!$A$18:$I$105,6,FALSE)</f>
        <v>0</v>
      </c>
      <c r="F252" s="153">
        <f>VLOOKUP(A252,'CHK Técnico-JAVA'!$A$18:$I$105,5,FALSE)</f>
        <v>0</v>
      </c>
      <c r="G252" s="153" t="s">
        <v>66</v>
      </c>
    </row>
    <row r="253" spans="1:7" ht="38.25">
      <c r="A253" s="149">
        <f t="shared" si="5"/>
        <v>245</v>
      </c>
      <c r="B253" s="150" t="str">
        <f>VLOOKUP(A253,'CHK Técnico-JAVA'!$A$18:$I$105,4,FALSE)</f>
        <v>Homologación/Versionamiento</v>
      </c>
      <c r="C253" s="150" t="str">
        <f>VLOOKUP(A253,'CHK Técnico-JAVA'!$A$18:$I$105,3,FALSE)</f>
        <v>¿Las rutas indicadas para los objetos corresponde a la ruta del Harvest?</v>
      </c>
      <c r="D253" s="151" t="str">
        <f>VLOOKUP(A253,'CHK Técnico-JAVA'!$A$18:$I$105,9,FALSE)</f>
        <v xml:space="preserve">  </v>
      </c>
      <c r="E253" s="152">
        <f>VLOOKUP(A253,'CHK Técnico-JAVA'!$A$18:$I$105,6,FALSE)</f>
        <v>0</v>
      </c>
      <c r="F253" s="153">
        <f>VLOOKUP(A253,'CHK Técnico-JAVA'!$A$18:$I$105,5,FALSE)</f>
        <v>0</v>
      </c>
      <c r="G253" s="153" t="s">
        <v>66</v>
      </c>
    </row>
    <row r="254" spans="1:7">
      <c r="A254" s="149">
        <f t="shared" si="5"/>
        <v>246</v>
      </c>
      <c r="B254" s="150">
        <f>VLOOKUP(A254,'CHK Técnico-JAVA'!$A$18:$I$105,4,FALSE)</f>
        <v>0</v>
      </c>
      <c r="C254" s="150">
        <f>VLOOKUP(A254,'CHK Técnico-JAVA'!$A$18:$I$105,3,FALSE)</f>
        <v>0</v>
      </c>
      <c r="D254" s="151">
        <f>VLOOKUP(A254,'CHK Técnico-JAVA'!$A$18:$I$105,9,FALSE)</f>
        <v>0</v>
      </c>
      <c r="E254" s="152">
        <f>VLOOKUP(A254,'CHK Técnico-JAVA'!$A$18:$I$105,6,FALSE)</f>
        <v>0</v>
      </c>
      <c r="F254" s="153">
        <f>VLOOKUP(A254,'CHK Técnico-JAVA'!$A$18:$I$105,5,FALSE)</f>
        <v>0</v>
      </c>
      <c r="G254" s="153" t="s">
        <v>66</v>
      </c>
    </row>
    <row r="255" spans="1:7" ht="38.25">
      <c r="A255" s="149">
        <f t="shared" ref="A255:A318" si="6">A254+1</f>
        <v>247</v>
      </c>
      <c r="B255" s="150" t="str">
        <f>VLOOKUP(A255,'CHK Técnico-JAVA'!$A$18:$I$105,4,FALSE)</f>
        <v xml:space="preserve">Estandarización </v>
      </c>
      <c r="C255" s="150" t="str">
        <f>VLOOKUP(A255,'CHK Técnico-JAVA'!$A$18:$I$105,3,FALSE)</f>
        <v>Nombres de variables nemotécnico y con prefijos según tipo de dato</v>
      </c>
      <c r="D255" s="151" t="str">
        <f>VLOOKUP(A255,'CHK Técnico-JAVA'!$A$18:$I$105,9,FALSE)</f>
        <v xml:space="preserve">  </v>
      </c>
      <c r="E255" s="152">
        <f>VLOOKUP(A255,'CHK Técnico-JAVA'!$A$18:$I$105,6,FALSE)</f>
        <v>0</v>
      </c>
      <c r="F255" s="153">
        <f>VLOOKUP(A255,'CHK Técnico-JAVA'!$A$18:$I$105,5,FALSE)</f>
        <v>0</v>
      </c>
      <c r="G255" s="153" t="s">
        <v>66</v>
      </c>
    </row>
    <row r="256" spans="1:7" ht="25.5">
      <c r="A256" s="149">
        <f t="shared" si="6"/>
        <v>248</v>
      </c>
      <c r="B256" s="150" t="str">
        <f>VLOOKUP(A256,'CHK Técnico-JAVA'!$A$18:$I$105,4,FALSE)</f>
        <v xml:space="preserve">Estandarización </v>
      </c>
      <c r="C256" s="150" t="str">
        <f>VLOOKUP(A256,'CHK Técnico-JAVA'!$A$18:$I$105,3,FALSE)</f>
        <v>Nombres de constantes en Mayúsculas</v>
      </c>
      <c r="D256" s="151" t="str">
        <f>VLOOKUP(A256,'CHK Técnico-JAVA'!$A$18:$I$105,9,FALSE)</f>
        <v xml:space="preserve">  </v>
      </c>
      <c r="E256" s="152">
        <f>VLOOKUP(A256,'CHK Técnico-JAVA'!$A$18:$I$105,6,FALSE)</f>
        <v>0</v>
      </c>
      <c r="F256" s="153">
        <f>VLOOKUP(A256,'CHK Técnico-JAVA'!$A$18:$I$105,5,FALSE)</f>
        <v>0</v>
      </c>
      <c r="G256" s="153" t="s">
        <v>66</v>
      </c>
    </row>
    <row r="257" spans="1:7" ht="38.25">
      <c r="A257" s="149">
        <f t="shared" si="6"/>
        <v>249</v>
      </c>
      <c r="B257" s="150" t="str">
        <f>VLOOKUP(A257,'CHK Técnico-JAVA'!$A$18:$I$105,4,FALSE)</f>
        <v xml:space="preserve">Estandarización </v>
      </c>
      <c r="C257" s="150" t="str">
        <f>VLOOKUP(A257,'CHK Técnico-JAVA'!$A$18:$I$105,3,FALSE)</f>
        <v>Nombres de clases según estándar SUN (ej: NombreClase)</v>
      </c>
      <c r="D257" s="151" t="str">
        <f>VLOOKUP(A257,'CHK Técnico-JAVA'!$A$18:$I$105,9,FALSE)</f>
        <v xml:space="preserve">  </v>
      </c>
      <c r="E257" s="152">
        <f>VLOOKUP(A257,'CHK Técnico-JAVA'!$A$18:$I$105,6,FALSE)</f>
        <v>0</v>
      </c>
      <c r="F257" s="153">
        <f>VLOOKUP(A257,'CHK Técnico-JAVA'!$A$18:$I$105,5,FALSE)</f>
        <v>0</v>
      </c>
      <c r="G257" s="153" t="s">
        <v>66</v>
      </c>
    </row>
    <row r="258" spans="1:7" ht="51">
      <c r="A258" s="149">
        <f t="shared" si="6"/>
        <v>250</v>
      </c>
      <c r="B258" s="150" t="str">
        <f>VLOOKUP(A258,'CHK Técnico-JAVA'!$A$18:$I$105,4,FALSE)</f>
        <v xml:space="preserve">Estandarización </v>
      </c>
      <c r="C258" s="150" t="str">
        <f>VLOOKUP(A258,'CHK Técnico-JAVA'!$A$18:$I$105,3,FALSE)</f>
        <v>Nombres de métodos según estándar SUN, inicio con minúscula (ej: getBackground)</v>
      </c>
      <c r="D258" s="151" t="str">
        <f>VLOOKUP(A258,'CHK Técnico-JAVA'!$A$18:$I$105,9,FALSE)</f>
        <v xml:space="preserve">  </v>
      </c>
      <c r="E258" s="152">
        <f>VLOOKUP(A258,'CHK Técnico-JAVA'!$A$18:$I$105,6,FALSE)</f>
        <v>0</v>
      </c>
      <c r="F258" s="153">
        <f>VLOOKUP(A258,'CHK Técnico-JAVA'!$A$18:$I$105,5,FALSE)</f>
        <v>0</v>
      </c>
      <c r="G258" s="153" t="s">
        <v>66</v>
      </c>
    </row>
    <row r="259" spans="1:7" ht="38.25">
      <c r="A259" s="149">
        <f t="shared" si="6"/>
        <v>251</v>
      </c>
      <c r="B259" s="150" t="str">
        <f>VLOOKUP(A259,'CHK Técnico-JAVA'!$A$18:$I$105,4,FALSE)</f>
        <v xml:space="preserve">Estandarización </v>
      </c>
      <c r="C259" s="150" t="str">
        <f>VLOOKUP(A259,'CHK Técnico-JAVA'!$A$18:$I$105,3,FALSE)</f>
        <v>Nombre de paquete con forma estándar (ej: com.integra.apli.modulo1….)</v>
      </c>
      <c r="D259" s="151" t="str">
        <f>VLOOKUP(A259,'CHK Técnico-JAVA'!$A$18:$I$105,9,FALSE)</f>
        <v xml:space="preserve">  </v>
      </c>
      <c r="E259" s="152">
        <f>VLOOKUP(A259,'CHK Técnico-JAVA'!$A$18:$I$105,6,FALSE)</f>
        <v>0</v>
      </c>
      <c r="F259" s="153">
        <f>VLOOKUP(A259,'CHK Técnico-JAVA'!$A$18:$I$105,5,FALSE)</f>
        <v>0</v>
      </c>
      <c r="G259" s="153" t="s">
        <v>66</v>
      </c>
    </row>
    <row r="260" spans="1:7">
      <c r="A260" s="149">
        <f t="shared" si="6"/>
        <v>252</v>
      </c>
      <c r="B260" s="150">
        <f>VLOOKUP(A260,'CHK Técnico-JAVA'!$A$18:$I$105,4,FALSE)</f>
        <v>0</v>
      </c>
      <c r="C260" s="150">
        <f>VLOOKUP(A260,'CHK Técnico-JAVA'!$A$18:$I$105,3,FALSE)</f>
        <v>0</v>
      </c>
      <c r="D260" s="151">
        <f>VLOOKUP(A260,'CHK Técnico-JAVA'!$A$18:$I$105,9,FALSE)</f>
        <v>0</v>
      </c>
      <c r="E260" s="152">
        <f>VLOOKUP(A260,'CHK Técnico-JAVA'!$A$18:$I$105,6,FALSE)</f>
        <v>0</v>
      </c>
      <c r="F260" s="153">
        <f>VLOOKUP(A260,'CHK Técnico-JAVA'!$A$18:$I$105,5,FALSE)</f>
        <v>0</v>
      </c>
      <c r="G260" s="153" t="s">
        <v>66</v>
      </c>
    </row>
    <row r="261" spans="1:7" ht="25.5">
      <c r="A261" s="149">
        <f t="shared" si="6"/>
        <v>253</v>
      </c>
      <c r="B261" s="150" t="str">
        <f>VLOOKUP(A261,'CHK Técnico-JAVA'!$A$18:$I$105,4,FALSE)</f>
        <v xml:space="preserve">Estandarización </v>
      </c>
      <c r="C261" s="150" t="str">
        <f>VLOOKUP(A261,'CHK Técnico-JAVA'!$A$18:$I$105,3,FALSE)</f>
        <v>Se declara cada variable en su propia línea</v>
      </c>
      <c r="D261" s="151" t="str">
        <f>VLOOKUP(A261,'CHK Técnico-JAVA'!$A$18:$I$105,9,FALSE)</f>
        <v xml:space="preserve">  </v>
      </c>
      <c r="E261" s="152">
        <f>VLOOKUP(A261,'CHK Técnico-JAVA'!$A$18:$I$105,6,FALSE)</f>
        <v>0</v>
      </c>
      <c r="F261" s="153">
        <f>VLOOKUP(A261,'CHK Técnico-JAVA'!$A$18:$I$105,5,FALSE)</f>
        <v>0</v>
      </c>
      <c r="G261" s="153" t="s">
        <v>66</v>
      </c>
    </row>
    <row r="262" spans="1:7" ht="38.25">
      <c r="A262" s="149">
        <f t="shared" si="6"/>
        <v>254</v>
      </c>
      <c r="B262" s="150" t="str">
        <f>VLOOKUP(A262,'CHK Técnico-JAVA'!$A$18:$I$105,4,FALSE)</f>
        <v xml:space="preserve">Estandarización </v>
      </c>
      <c r="C262" s="150" t="str">
        <f>VLOOKUP(A262,'CHK Técnico-JAVA'!$A$18:$I$105,3,FALSE)</f>
        <v>Se evita la coma para declaraciones o instrucciones múltiples</v>
      </c>
      <c r="D262" s="151" t="str">
        <f>VLOOKUP(A262,'CHK Técnico-JAVA'!$A$18:$I$105,9,FALSE)</f>
        <v xml:space="preserve">  </v>
      </c>
      <c r="E262" s="152">
        <f>VLOOKUP(A262,'CHK Técnico-JAVA'!$A$18:$I$105,6,FALSE)</f>
        <v>0</v>
      </c>
      <c r="F262" s="153">
        <f>VLOOKUP(A262,'CHK Técnico-JAVA'!$A$18:$I$105,5,FALSE)</f>
        <v>0</v>
      </c>
      <c r="G262" s="153" t="s">
        <v>66</v>
      </c>
    </row>
    <row r="263" spans="1:7" ht="25.5">
      <c r="A263" s="149">
        <f t="shared" si="6"/>
        <v>255</v>
      </c>
      <c r="B263" s="150" t="str">
        <f>VLOOKUP(A263,'CHK Técnico-JAVA'!$A$18:$I$105,4,FALSE)</f>
        <v xml:space="preserve">Estandarización </v>
      </c>
      <c r="C263" s="150" t="str">
        <f>VLOOKUP(A263,'CHK Técnico-JAVA'!$A$18:$I$105,3,FALSE)</f>
        <v>Los IF tienen la forma estándar</v>
      </c>
      <c r="D263" s="151" t="str">
        <f>VLOOKUP(A263,'CHK Técnico-JAVA'!$A$18:$I$105,9,FALSE)</f>
        <v xml:space="preserve">  </v>
      </c>
      <c r="E263" s="152">
        <f>VLOOKUP(A263,'CHK Técnico-JAVA'!$A$18:$I$105,6,FALSE)</f>
        <v>0</v>
      </c>
      <c r="F263" s="153">
        <f>VLOOKUP(A263,'CHK Técnico-JAVA'!$A$18:$I$105,5,FALSE)</f>
        <v>0</v>
      </c>
      <c r="G263" s="153" t="s">
        <v>66</v>
      </c>
    </row>
    <row r="264" spans="1:7" ht="38.25">
      <c r="A264" s="149">
        <f t="shared" si="6"/>
        <v>256</v>
      </c>
      <c r="B264" s="150" t="str">
        <f>VLOOKUP(A264,'CHK Técnico-JAVA'!$A$18:$I$105,4,FALSE)</f>
        <v xml:space="preserve">Estandarización </v>
      </c>
      <c r="C264" s="150" t="str">
        <f>VLOOKUP(A264,'CHK Técnico-JAVA'!$A$18:$I$105,3,FALSE)</f>
        <v>Las sentencias FOR, WHILE y SWITCH tienen la forma estándar</v>
      </c>
      <c r="D264" s="151" t="str">
        <f>VLOOKUP(A264,'CHK Técnico-JAVA'!$A$18:$I$105,9,FALSE)</f>
        <v xml:space="preserve">  </v>
      </c>
      <c r="E264" s="152">
        <f>VLOOKUP(A264,'CHK Técnico-JAVA'!$A$18:$I$105,6,FALSE)</f>
        <v>0</v>
      </c>
      <c r="F264" s="153">
        <f>VLOOKUP(A264,'CHK Técnico-JAVA'!$A$18:$I$105,5,FALSE)</f>
        <v>0</v>
      </c>
      <c r="G264" s="153" t="s">
        <v>66</v>
      </c>
    </row>
    <row r="265" spans="1:7" ht="38.25">
      <c r="A265" s="149">
        <f t="shared" si="6"/>
        <v>257</v>
      </c>
      <c r="B265" s="150" t="str">
        <f>VLOOKUP(A265,'CHK Técnico-JAVA'!$A$18:$I$105,4,FALSE)</f>
        <v xml:space="preserve">Estandarización </v>
      </c>
      <c r="C265" s="150" t="str">
        <f>VLOOKUP(A265,'CHK Técnico-JAVA'!$A$18:$I$105,3,FALSE)</f>
        <v>Se usa sentencia finally en statements que manejan conexión a BD</v>
      </c>
      <c r="D265" s="151" t="str">
        <f>VLOOKUP(A265,'CHK Técnico-JAVA'!$A$18:$I$105,9,FALSE)</f>
        <v xml:space="preserve">  </v>
      </c>
      <c r="E265" s="152">
        <f>VLOOKUP(A265,'CHK Técnico-JAVA'!$A$18:$I$105,6,FALSE)</f>
        <v>0</v>
      </c>
      <c r="F265" s="153">
        <f>VLOOKUP(A265,'CHK Técnico-JAVA'!$A$18:$I$105,5,FALSE)</f>
        <v>0</v>
      </c>
      <c r="G265" s="153" t="s">
        <v>66</v>
      </c>
    </row>
    <row r="266" spans="1:7" ht="38.25">
      <c r="A266" s="149">
        <f t="shared" si="6"/>
        <v>258</v>
      </c>
      <c r="B266" s="150" t="str">
        <f>VLOOKUP(A266,'CHK Técnico-JAVA'!$A$18:$I$105,4,FALSE)</f>
        <v xml:space="preserve">Estandarización </v>
      </c>
      <c r="C266" s="150" t="str">
        <f>VLOOKUP(A266,'CHK Técnico-JAVA'!$A$18:$I$105,3,FALSE)</f>
        <v>Se ha documentado en la parte superior el cambio según el formato estándar</v>
      </c>
      <c r="D266" s="151" t="str">
        <f>VLOOKUP(A266,'CHK Técnico-JAVA'!$A$18:$I$105,9,FALSE)</f>
        <v xml:space="preserve">  </v>
      </c>
      <c r="E266" s="152">
        <f>VLOOKUP(A266,'CHK Técnico-JAVA'!$A$18:$I$105,6,FALSE)</f>
        <v>0</v>
      </c>
      <c r="F266" s="153">
        <f>VLOOKUP(A266,'CHK Técnico-JAVA'!$A$18:$I$105,5,FALSE)</f>
        <v>0</v>
      </c>
      <c r="G266" s="153" t="s">
        <v>66</v>
      </c>
    </row>
    <row r="267" spans="1:7" ht="51">
      <c r="A267" s="149">
        <f t="shared" si="6"/>
        <v>259</v>
      </c>
      <c r="B267" s="150" t="str">
        <f>VLOOKUP(A267,'CHK Técnico-JAVA'!$A$18:$I$105,4,FALSE)</f>
        <v xml:space="preserve">Estandarización </v>
      </c>
      <c r="C267" s="150" t="str">
        <f>VLOOKUP(A267,'CHK Técnico-JAVA'!$A$18:$I$105,3,FALSE)</f>
        <v>Las nuevas clases, métodos y atributos se encuentran autodocumentadas según Javadoc</v>
      </c>
      <c r="D267" s="151" t="str">
        <f>VLOOKUP(A267,'CHK Técnico-JAVA'!$A$18:$I$105,9,FALSE)</f>
        <v xml:space="preserve">  </v>
      </c>
      <c r="E267" s="152">
        <f>VLOOKUP(A267,'CHK Técnico-JAVA'!$A$18:$I$105,6,FALSE)</f>
        <v>0</v>
      </c>
      <c r="F267" s="153">
        <f>VLOOKUP(A267,'CHK Técnico-JAVA'!$A$18:$I$105,5,FALSE)</f>
        <v>0</v>
      </c>
      <c r="G267" s="153" t="s">
        <v>66</v>
      </c>
    </row>
    <row r="268" spans="1:7" ht="51">
      <c r="A268" s="149">
        <f t="shared" si="6"/>
        <v>260</v>
      </c>
      <c r="B268" s="150" t="str">
        <f>VLOOKUP(A268,'CHK Técnico-JAVA'!$A$18:$I$105,4,FALSE)</f>
        <v xml:space="preserve">Estandarización </v>
      </c>
      <c r="C268" s="150" t="str">
        <f>VLOOKUP(A268,'CHK Técnico-JAVA'!$A$18:$I$105,3,FALSE)</f>
        <v>Se incluyen bloques de comentarios para lógica compleja o Bloques de instrucciones</v>
      </c>
      <c r="D268" s="151" t="str">
        <f>VLOOKUP(A268,'CHK Técnico-JAVA'!$A$18:$I$105,9,FALSE)</f>
        <v xml:space="preserve">  </v>
      </c>
      <c r="E268" s="152">
        <f>VLOOKUP(A268,'CHK Técnico-JAVA'!$A$18:$I$105,6,FALSE)</f>
        <v>0</v>
      </c>
      <c r="F268" s="153">
        <f>VLOOKUP(A268,'CHK Técnico-JAVA'!$A$18:$I$105,5,FALSE)</f>
        <v>0</v>
      </c>
      <c r="G268" s="153" t="s">
        <v>66</v>
      </c>
    </row>
    <row r="269" spans="1:7" ht="38.25">
      <c r="A269" s="149">
        <f t="shared" si="6"/>
        <v>261</v>
      </c>
      <c r="B269" s="150" t="str">
        <f>VLOOKUP(A269,'CHK Técnico-JAVA'!$A$18:$I$105,4,FALSE)</f>
        <v xml:space="preserve">Estandarización </v>
      </c>
      <c r="C269" s="150" t="str">
        <f>VLOOKUP(A269,'CHK Técnico-JAVA'!$A$18:$I$105,3,FALSE)</f>
        <v>Se usa el tipo Big Decimal para información de montos monetarios</v>
      </c>
      <c r="D269" s="151" t="str">
        <f>VLOOKUP(A269,'CHK Técnico-JAVA'!$A$18:$I$105,9,FALSE)</f>
        <v xml:space="preserve">  </v>
      </c>
      <c r="E269" s="152">
        <f>VLOOKUP(A269,'CHK Técnico-JAVA'!$A$18:$I$105,6,FALSE)</f>
        <v>0</v>
      </c>
      <c r="F269" s="153">
        <f>VLOOKUP(A269,'CHK Técnico-JAVA'!$A$18:$I$105,5,FALSE)</f>
        <v>0</v>
      </c>
      <c r="G269" s="153" t="s">
        <v>66</v>
      </c>
    </row>
    <row r="270" spans="1:7">
      <c r="A270" s="149">
        <f t="shared" si="6"/>
        <v>262</v>
      </c>
      <c r="B270" s="150">
        <f>VLOOKUP(A270,'CHK Técnico-JAVA'!$A$18:$I$105,4,FALSE)</f>
        <v>0</v>
      </c>
      <c r="C270" s="150">
        <f>VLOOKUP(A270,'CHK Técnico-JAVA'!$A$18:$I$105,3,FALSE)</f>
        <v>0</v>
      </c>
      <c r="D270" s="151">
        <f>VLOOKUP(A270,'CHK Técnico-JAVA'!$A$18:$I$105,9,FALSE)</f>
        <v>0</v>
      </c>
      <c r="E270" s="152">
        <f>VLOOKUP(A270,'CHK Técnico-JAVA'!$A$18:$I$105,6,FALSE)</f>
        <v>0</v>
      </c>
      <c r="F270" s="153">
        <f>VLOOKUP(A270,'CHK Técnico-JAVA'!$A$18:$I$105,5,FALSE)</f>
        <v>0</v>
      </c>
      <c r="G270" s="153" t="s">
        <v>66</v>
      </c>
    </row>
    <row r="271" spans="1:7" ht="38.25">
      <c r="A271" s="149">
        <f t="shared" si="6"/>
        <v>263</v>
      </c>
      <c r="B271" s="150" t="str">
        <f>VLOOKUP(A271,'CHK Técnico-JAVA'!$A$18:$I$105,4,FALSE)</f>
        <v xml:space="preserve">Estandarización </v>
      </c>
      <c r="C271" s="150" t="str">
        <f>VLOOKUP(A271,'CHK Técnico-JAVA'!$A$18:$I$105,3,FALSE)</f>
        <v>Se usa includes para cabecera, pie, frame izquierdo</v>
      </c>
      <c r="D271" s="151" t="str">
        <f>VLOOKUP(A271,'CHK Técnico-JAVA'!$A$18:$I$105,9,FALSE)</f>
        <v xml:space="preserve">  </v>
      </c>
      <c r="E271" s="152">
        <f>VLOOKUP(A271,'CHK Técnico-JAVA'!$A$18:$I$105,6,FALSE)</f>
        <v>0</v>
      </c>
      <c r="F271" s="153">
        <f>VLOOKUP(A271,'CHK Técnico-JAVA'!$A$18:$I$105,5,FALSE)</f>
        <v>0</v>
      </c>
      <c r="G271" s="153" t="s">
        <v>66</v>
      </c>
    </row>
    <row r="272" spans="1:7" ht="51">
      <c r="A272" s="149">
        <f t="shared" si="6"/>
        <v>264</v>
      </c>
      <c r="B272" s="150" t="str">
        <f>VLOOKUP(A272,'CHK Técnico-JAVA'!$A$18:$I$105,4,FALSE)</f>
        <v xml:space="preserve">Estandarización </v>
      </c>
      <c r="C272" s="150" t="str">
        <f>VLOOKUP(A272,'CHK Técnico-JAVA'!$A$18:$I$105,3,FALSE)</f>
        <v>Se usa includes de Javascript para rutinas de validación fecha, e-mails y otros comunes</v>
      </c>
      <c r="D272" s="151" t="str">
        <f>VLOOKUP(A272,'CHK Técnico-JAVA'!$A$18:$I$105,9,FALSE)</f>
        <v xml:space="preserve">  </v>
      </c>
      <c r="E272" s="152">
        <f>VLOOKUP(A272,'CHK Técnico-JAVA'!$A$18:$I$105,6,FALSE)</f>
        <v>0</v>
      </c>
      <c r="F272" s="153">
        <f>VLOOKUP(A272,'CHK Técnico-JAVA'!$A$18:$I$105,5,FALSE)</f>
        <v>0</v>
      </c>
      <c r="G272" s="153" t="s">
        <v>66</v>
      </c>
    </row>
    <row r="273" spans="1:7">
      <c r="A273" s="149">
        <f t="shared" si="6"/>
        <v>265</v>
      </c>
      <c r="B273" s="150" t="str">
        <f>VLOOKUP(A273,'CHK Técnico-JAVA'!$A$18:$I$105,4,FALSE)</f>
        <v xml:space="preserve">Estandarización </v>
      </c>
      <c r="C273" s="150" t="str">
        <f>VLOOKUP(A273,'CHK Técnico-JAVA'!$A$18:$I$105,3,FALSE)</f>
        <v>Se usa Style Sheet</v>
      </c>
      <c r="D273" s="151" t="str">
        <f>VLOOKUP(A273,'CHK Técnico-JAVA'!$A$18:$I$105,9,FALSE)</f>
        <v xml:space="preserve">  </v>
      </c>
      <c r="E273" s="152">
        <f>VLOOKUP(A273,'CHK Técnico-JAVA'!$A$18:$I$105,6,FALSE)</f>
        <v>0</v>
      </c>
      <c r="F273" s="153">
        <f>VLOOKUP(A273,'CHK Técnico-JAVA'!$A$18:$I$105,5,FALSE)</f>
        <v>0</v>
      </c>
      <c r="G273" s="153" t="s">
        <v>66</v>
      </c>
    </row>
    <row r="274" spans="1:7" ht="63.75">
      <c r="A274" s="149">
        <f t="shared" si="6"/>
        <v>266</v>
      </c>
      <c r="B274" s="150" t="str">
        <f>VLOOKUP(A274,'CHK Técnico-JAVA'!$A$18:$I$105,4,FALSE)</f>
        <v xml:space="preserve">Estandarización </v>
      </c>
      <c r="C274" s="150" t="str">
        <f>VLOOKUP(A274,'CHK Técnico-JAVA'!$A$18:$I$105,3,FALSE)</f>
        <v>En caso de nuevos desarrollos no existe codificación de reglas de negocio o de acceso a Base de datos</v>
      </c>
      <c r="D274" s="151" t="str">
        <f>VLOOKUP(A274,'CHK Técnico-JAVA'!$A$18:$I$105,9,FALSE)</f>
        <v xml:space="preserve">  </v>
      </c>
      <c r="E274" s="152">
        <f>VLOOKUP(A274,'CHK Técnico-JAVA'!$A$18:$I$105,6,FALSE)</f>
        <v>0</v>
      </c>
      <c r="F274" s="153">
        <f>VLOOKUP(A274,'CHK Técnico-JAVA'!$A$18:$I$105,5,FALSE)</f>
        <v>0</v>
      </c>
      <c r="G274" s="153" t="s">
        <v>66</v>
      </c>
    </row>
    <row r="275" spans="1:7" ht="102">
      <c r="A275" s="149">
        <f t="shared" si="6"/>
        <v>267</v>
      </c>
      <c r="B275" s="150" t="str">
        <f>VLOOKUP(A275,'CHK Técnico-JAVA'!$A$18:$I$105,4,FALSE)</f>
        <v xml:space="preserve">Estandarización </v>
      </c>
      <c r="C275" s="150" t="str">
        <f>VLOOKUP(A275,'CHK Técnico-JAVA'!$A$18:$I$105,3,FALSE)</f>
        <v>Se utiliza código de importación de JavaScript y Style Sheet que permita su versionamiento automático (ej: /style/integra.css?&lt;%=(new java.util.Date()).getTime()%&gt;)</v>
      </c>
      <c r="D275" s="151" t="str">
        <f>VLOOKUP(A275,'CHK Técnico-JAVA'!$A$18:$I$105,9,FALSE)</f>
        <v xml:space="preserve">  </v>
      </c>
      <c r="E275" s="152">
        <f>VLOOKUP(A275,'CHK Técnico-JAVA'!$A$18:$I$105,6,FALSE)</f>
        <v>0</v>
      </c>
      <c r="F275" s="153">
        <f>VLOOKUP(A275,'CHK Técnico-JAVA'!$A$18:$I$105,5,FALSE)</f>
        <v>0</v>
      </c>
      <c r="G275" s="153" t="s">
        <v>66</v>
      </c>
    </row>
    <row r="276" spans="1:7">
      <c r="A276" s="149">
        <f t="shared" si="6"/>
        <v>268</v>
      </c>
      <c r="B276" s="150">
        <f>VLOOKUP(A276,'CHK Técnico-JAVA'!$A$18:$I$105,4,FALSE)</f>
        <v>0</v>
      </c>
      <c r="C276" s="150">
        <f>VLOOKUP(A276,'CHK Técnico-JAVA'!$A$18:$I$105,3,FALSE)</f>
        <v>0</v>
      </c>
      <c r="D276" s="151">
        <f>VLOOKUP(A276,'CHK Técnico-JAVA'!$A$18:$I$105,9,FALSE)</f>
        <v>0</v>
      </c>
      <c r="E276" s="152">
        <f>VLOOKUP(A276,'CHK Técnico-JAVA'!$A$18:$I$105,6,FALSE)</f>
        <v>0</v>
      </c>
      <c r="F276" s="153">
        <f>VLOOKUP(A276,'CHK Técnico-JAVA'!$A$18:$I$105,5,FALSE)</f>
        <v>0</v>
      </c>
      <c r="G276" s="153" t="s">
        <v>66</v>
      </c>
    </row>
    <row r="277" spans="1:7" ht="38.25">
      <c r="A277" s="149">
        <f t="shared" si="6"/>
        <v>269</v>
      </c>
      <c r="B277" s="150" t="str">
        <f>VLOOKUP(A277,'CHK Técnico-JAVA'!$A$18:$I$105,4,FALSE)</f>
        <v>Estandarización</v>
      </c>
      <c r="C277" s="150" t="str">
        <f>VLOOKUP(A277,'CHK Técnico-JAVA'!$A$18:$I$105,3,FALSE)</f>
        <v>Descripción de errores esperados en archivo properties</v>
      </c>
      <c r="D277" s="151" t="str">
        <f>VLOOKUP(A277,'CHK Técnico-JAVA'!$A$18:$I$105,9,FALSE)</f>
        <v xml:space="preserve">  </v>
      </c>
      <c r="E277" s="152">
        <f>VLOOKUP(A277,'CHK Técnico-JAVA'!$A$18:$I$105,6,FALSE)</f>
        <v>0</v>
      </c>
      <c r="F277" s="153">
        <f>VLOOKUP(A277,'CHK Técnico-JAVA'!$A$18:$I$105,5,FALSE)</f>
        <v>0</v>
      </c>
      <c r="G277" s="153" t="s">
        <v>66</v>
      </c>
    </row>
    <row r="278" spans="1:7" ht="51">
      <c r="A278" s="149">
        <f t="shared" si="6"/>
        <v>270</v>
      </c>
      <c r="B278" s="150" t="str">
        <f>VLOOKUP(A278,'CHK Técnico-JAVA'!$A$18:$I$105,4,FALSE)</f>
        <v>Estandarización</v>
      </c>
      <c r="C278" s="150" t="str">
        <f>VLOOKUP(A278,'CHK Técnico-JAVA'!$A$18:$I$105,3,FALSE)</f>
        <v>Manejo centralizado de errores en tiempo de ejecución con envío de mensajes al system.err</v>
      </c>
      <c r="D278" s="151" t="str">
        <f>VLOOKUP(A278,'CHK Técnico-JAVA'!$A$18:$I$105,9,FALSE)</f>
        <v xml:space="preserve">  </v>
      </c>
      <c r="E278" s="152">
        <f>VLOOKUP(A278,'CHK Técnico-JAVA'!$A$18:$I$105,6,FALSE)</f>
        <v>0</v>
      </c>
      <c r="F278" s="153">
        <f>VLOOKUP(A278,'CHK Técnico-JAVA'!$A$18:$I$105,5,FALSE)</f>
        <v>0</v>
      </c>
      <c r="G278" s="153" t="s">
        <v>66</v>
      </c>
    </row>
    <row r="279" spans="1:7" ht="51">
      <c r="A279" s="149">
        <f t="shared" si="6"/>
        <v>271</v>
      </c>
      <c r="B279" s="150" t="str">
        <f>VLOOKUP(A279,'CHK Técnico-JAVA'!$A$18:$I$105,4,FALSE)</f>
        <v>Estandarización</v>
      </c>
      <c r="C279" s="150" t="str">
        <f>VLOOKUP(A279,'CHK Técnico-JAVA'!$A$18:$I$105,3,FALSE)</f>
        <v>Mensaje de error en el system.err tiene formato estándar (Fecha, hora, usuario, sesión, error, etc.)</v>
      </c>
      <c r="D279" s="151" t="str">
        <f>VLOOKUP(A279,'CHK Técnico-JAVA'!$A$18:$I$105,9,FALSE)</f>
        <v xml:space="preserve">  </v>
      </c>
      <c r="E279" s="152">
        <f>VLOOKUP(A279,'CHK Técnico-JAVA'!$A$18:$I$105,6,FALSE)</f>
        <v>0</v>
      </c>
      <c r="F279" s="153">
        <f>VLOOKUP(A279,'CHK Técnico-JAVA'!$A$18:$I$105,5,FALSE)</f>
        <v>0</v>
      </c>
      <c r="G279" s="153" t="s">
        <v>66</v>
      </c>
    </row>
    <row r="280" spans="1:7" ht="38.25">
      <c r="A280" s="149">
        <f t="shared" si="6"/>
        <v>272</v>
      </c>
      <c r="B280" s="150" t="str">
        <f>VLOOKUP(A280,'CHK Técnico-JAVA'!$A$18:$I$105,4,FALSE)</f>
        <v>Técnico</v>
      </c>
      <c r="C280" s="150" t="str">
        <f>VLOOKUP(A280,'CHK Técnico-JAVA'!$A$18:$I$105,3,FALSE)</f>
        <v>Se evita dejar impresión en el system.out o system.err para debug o seguimiento</v>
      </c>
      <c r="D280" s="151" t="str">
        <f>VLOOKUP(A280,'CHK Técnico-JAVA'!$A$18:$I$105,9,FALSE)</f>
        <v xml:space="preserve">  </v>
      </c>
      <c r="E280" s="152">
        <f>VLOOKUP(A280,'CHK Técnico-JAVA'!$A$18:$I$105,6,FALSE)</f>
        <v>0</v>
      </c>
      <c r="F280" s="153">
        <f>VLOOKUP(A280,'CHK Técnico-JAVA'!$A$18:$I$105,5,FALSE)</f>
        <v>0</v>
      </c>
      <c r="G280" s="153" t="s">
        <v>66</v>
      </c>
    </row>
    <row r="281" spans="1:7" ht="51">
      <c r="A281" s="149">
        <f t="shared" si="6"/>
        <v>273</v>
      </c>
      <c r="B281" s="150" t="str">
        <f>VLOOKUP(A281,'CHK Técnico-JAVA'!$A$18:$I$105,4,FALSE)</f>
        <v>Técnico</v>
      </c>
      <c r="C281" s="150" t="str">
        <f>VLOOKUP(A281,'CHK Técnico-JAVA'!$A$18:$I$105,3,FALSE)</f>
        <v>Una vez ocurrido un error no recuperable, se deja de procesar los requests subsecuentes</v>
      </c>
      <c r="D281" s="151" t="str">
        <f>VLOOKUP(A281,'CHK Técnico-JAVA'!$A$18:$I$105,9,FALSE)</f>
        <v xml:space="preserve">  </v>
      </c>
      <c r="E281" s="152">
        <f>VLOOKUP(A281,'CHK Técnico-JAVA'!$A$18:$I$105,6,FALSE)</f>
        <v>0</v>
      </c>
      <c r="F281" s="153">
        <f>VLOOKUP(A281,'CHK Técnico-JAVA'!$A$18:$I$105,5,FALSE)</f>
        <v>0</v>
      </c>
      <c r="G281" s="153" t="s">
        <v>66</v>
      </c>
    </row>
    <row r="282" spans="1:7" ht="51">
      <c r="A282" s="149">
        <f t="shared" si="6"/>
        <v>274</v>
      </c>
      <c r="B282" s="150" t="str">
        <f>VLOOKUP(A282,'CHK Técnico-JAVA'!$A$18:$I$105,4,FALSE)</f>
        <v>Técnico</v>
      </c>
      <c r="C282" s="150" t="str">
        <f>VLOOKUP(A282,'CHK Técnico-JAVA'!$A$18:$I$105,3,FALSE)</f>
        <v>Tiene un manejo único para mostrar la página de error ante errores en tiempo de ejecución</v>
      </c>
      <c r="D282" s="151" t="str">
        <f>VLOOKUP(A282,'CHK Técnico-JAVA'!$A$18:$I$105,9,FALSE)</f>
        <v xml:space="preserve">  </v>
      </c>
      <c r="E282" s="152">
        <f>VLOOKUP(A282,'CHK Técnico-JAVA'!$A$18:$I$105,6,FALSE)</f>
        <v>0</v>
      </c>
      <c r="F282" s="153">
        <f>VLOOKUP(A282,'CHK Técnico-JAVA'!$A$18:$I$105,5,FALSE)</f>
        <v>0</v>
      </c>
      <c r="G282" s="153" t="s">
        <v>66</v>
      </c>
    </row>
    <row r="283" spans="1:7">
      <c r="A283" s="149">
        <f t="shared" si="6"/>
        <v>275</v>
      </c>
      <c r="B283" s="150">
        <f>VLOOKUP(A283,'CHK Técnico-JAVA'!$A$18:$I$105,4,FALSE)</f>
        <v>0</v>
      </c>
      <c r="C283" s="150">
        <f>VLOOKUP(A283,'CHK Técnico-JAVA'!$A$18:$I$105,3,FALSE)</f>
        <v>0</v>
      </c>
      <c r="D283" s="151">
        <f>VLOOKUP(A283,'CHK Técnico-JAVA'!$A$18:$I$105,9,FALSE)</f>
        <v>0</v>
      </c>
      <c r="E283" s="152">
        <f>VLOOKUP(A283,'CHK Técnico-JAVA'!$A$18:$I$105,6,FALSE)</f>
        <v>0</v>
      </c>
      <c r="F283" s="153">
        <f>VLOOKUP(A283,'CHK Técnico-JAVA'!$A$18:$I$105,5,FALSE)</f>
        <v>0</v>
      </c>
      <c r="G283" s="153" t="s">
        <v>66</v>
      </c>
    </row>
    <row r="284" spans="1:7" ht="51">
      <c r="A284" s="149">
        <f t="shared" si="6"/>
        <v>276</v>
      </c>
      <c r="B284" s="150" t="str">
        <f>VLOOKUP(A284,'CHK Técnico-JAVA'!$A$18:$I$105,4,FALSE)</f>
        <v>Estandarización</v>
      </c>
      <c r="C284" s="150" t="str">
        <f>VLOOKUP(A284,'CHK Técnico-JAVA'!$A$18:$I$105,3,FALSE)</f>
        <v>Para grandes cambios o nuevas aplicaciones se ha realizado el checklist de seguridad</v>
      </c>
      <c r="D284" s="151" t="str">
        <f>VLOOKUP(A284,'CHK Técnico-JAVA'!$A$18:$I$105,9,FALSE)</f>
        <v xml:space="preserve">  </v>
      </c>
      <c r="E284" s="152">
        <f>VLOOKUP(A284,'CHK Técnico-JAVA'!$A$18:$I$105,6,FALSE)</f>
        <v>0</v>
      </c>
      <c r="F284" s="153">
        <f>VLOOKUP(A284,'CHK Técnico-JAVA'!$A$18:$I$105,5,FALSE)</f>
        <v>0</v>
      </c>
      <c r="G284" s="153" t="s">
        <v>66</v>
      </c>
    </row>
    <row r="285" spans="1:7" ht="51">
      <c r="A285" s="149">
        <f t="shared" si="6"/>
        <v>277</v>
      </c>
      <c r="B285" s="150" t="str">
        <f>VLOOKUP(A285,'CHK Técnico-JAVA'!$A$18:$I$105,4,FALSE)</f>
        <v>Estandarización</v>
      </c>
      <c r="C285" s="150" t="str">
        <f>VLOOKUP(A285,'CHK Técnico-JAVA'!$A$18:$I$105,3,FALSE)</f>
        <v>Validación de campos inputs y outputs en forms: tipo de datos, longitud, obligatoriedad, charset</v>
      </c>
      <c r="D285" s="151" t="str">
        <f>VLOOKUP(A285,'CHK Técnico-JAVA'!$A$18:$I$105,9,FALSE)</f>
        <v xml:space="preserve">  </v>
      </c>
      <c r="E285" s="152">
        <f>VLOOKUP(A285,'CHK Técnico-JAVA'!$A$18:$I$105,6,FALSE)</f>
        <v>0</v>
      </c>
      <c r="F285" s="153">
        <f>VLOOKUP(A285,'CHK Técnico-JAVA'!$A$18:$I$105,5,FALSE)</f>
        <v>0</v>
      </c>
      <c r="G285" s="153" t="s">
        <v>66</v>
      </c>
    </row>
    <row r="286" spans="1:7" ht="51">
      <c r="A286" s="149">
        <f t="shared" si="6"/>
        <v>278</v>
      </c>
      <c r="B286" s="150" t="str">
        <f>VLOOKUP(A286,'CHK Técnico-JAVA'!$A$18:$I$105,4,FALSE)</f>
        <v>Estandarización</v>
      </c>
      <c r="C286" s="150" t="str">
        <f>VLOOKUP(A286,'CHK Técnico-JAVA'!$A$18:$I$105,3,FALSE)</f>
        <v>Para accesos a aplicaciones internas, se valida acceso con rutina general usando LDAP</v>
      </c>
      <c r="D286" s="151" t="str">
        <f>VLOOKUP(A286,'CHK Técnico-JAVA'!$A$18:$I$105,9,FALSE)</f>
        <v xml:space="preserve">  </v>
      </c>
      <c r="E286" s="152">
        <f>VLOOKUP(A286,'CHK Técnico-JAVA'!$A$18:$I$105,6,FALSE)</f>
        <v>0</v>
      </c>
      <c r="F286" s="153">
        <f>VLOOKUP(A286,'CHK Técnico-JAVA'!$A$18:$I$105,5,FALSE)</f>
        <v>0</v>
      </c>
      <c r="G286" s="153" t="s">
        <v>66</v>
      </c>
    </row>
    <row r="287" spans="1:7" ht="38.25">
      <c r="A287" s="149">
        <f t="shared" si="6"/>
        <v>279</v>
      </c>
      <c r="B287" s="150" t="str">
        <f>VLOOKUP(A287,'CHK Técnico-JAVA'!$A$18:$I$105,4,FALSE)</f>
        <v>Estandarización</v>
      </c>
      <c r="C287" s="150" t="str">
        <f>VLOOKUP(A287,'CHK Técnico-JAVA'!$A$18:$I$105,3,FALSE)</f>
        <v>Se ha evitado el envío de parámetros como parte del request</v>
      </c>
      <c r="D287" s="151" t="str">
        <f>VLOOKUP(A287,'CHK Técnico-JAVA'!$A$18:$I$105,9,FALSE)</f>
        <v xml:space="preserve">  </v>
      </c>
      <c r="E287" s="152">
        <f>VLOOKUP(A287,'CHK Técnico-JAVA'!$A$18:$I$105,6,FALSE)</f>
        <v>0</v>
      </c>
      <c r="F287" s="153">
        <f>VLOOKUP(A287,'CHK Técnico-JAVA'!$A$18:$I$105,5,FALSE)</f>
        <v>0</v>
      </c>
      <c r="G287" s="153" t="s">
        <v>66</v>
      </c>
    </row>
    <row r="288" spans="1:7" ht="51">
      <c r="A288" s="149">
        <f t="shared" si="6"/>
        <v>280</v>
      </c>
      <c r="B288" s="150" t="str">
        <f>VLOOKUP(A288,'CHK Técnico-JAVA'!$A$18:$I$105,4,FALSE)</f>
        <v>Estandarización</v>
      </c>
      <c r="C288" s="150" t="str">
        <f>VLOOKUP(A288,'CHK Técnico-JAVA'!$A$18:$I$105,3,FALSE)</f>
        <v>Se ha usado filtro para usar charset seguro antes de mostrar la página (ej: &amp;lt en lugar de &lt;)</v>
      </c>
      <c r="D288" s="151" t="str">
        <f>VLOOKUP(A288,'CHK Técnico-JAVA'!$A$18:$I$105,9,FALSE)</f>
        <v xml:space="preserve">  </v>
      </c>
      <c r="E288" s="152">
        <f>VLOOKUP(A288,'CHK Técnico-JAVA'!$A$18:$I$105,6,FALSE)</f>
        <v>0</v>
      </c>
      <c r="F288" s="153">
        <f>VLOOKUP(A288,'CHK Técnico-JAVA'!$A$18:$I$105,5,FALSE)</f>
        <v>0</v>
      </c>
      <c r="G288" s="153" t="s">
        <v>66</v>
      </c>
    </row>
    <row r="289" spans="1:7" ht="25.5">
      <c r="A289" s="149">
        <f t="shared" si="6"/>
        <v>281</v>
      </c>
      <c r="B289" s="150" t="str">
        <f>VLOOKUP(A289,'CHK Técnico-JAVA'!$A$18:$I$105,4,FALSE)</f>
        <v>Estandarización</v>
      </c>
      <c r="C289" s="150" t="str">
        <f>VLOOKUP(A289,'CHK Técnico-JAVA'!$A$18:$I$105,3,FALSE)</f>
        <v>El tamaño de los URLs no exceden los 120 caracteres</v>
      </c>
      <c r="D289" s="151" t="str">
        <f>VLOOKUP(A289,'CHK Técnico-JAVA'!$A$18:$I$105,9,FALSE)</f>
        <v xml:space="preserve">  </v>
      </c>
      <c r="E289" s="152">
        <f>VLOOKUP(A289,'CHK Técnico-JAVA'!$A$18:$I$105,6,FALSE)</f>
        <v>0</v>
      </c>
      <c r="F289" s="153">
        <f>VLOOKUP(A289,'CHK Técnico-JAVA'!$A$18:$I$105,5,FALSE)</f>
        <v>0</v>
      </c>
      <c r="G289" s="153" t="s">
        <v>66</v>
      </c>
    </row>
    <row r="290" spans="1:7" ht="38.25">
      <c r="A290" s="149">
        <f t="shared" si="6"/>
        <v>282</v>
      </c>
      <c r="B290" s="150" t="str">
        <f>VLOOKUP(A290,'CHK Técnico-JAVA'!$A$18:$I$105,4,FALSE)</f>
        <v>Técnico</v>
      </c>
      <c r="C290" s="150" t="str">
        <f>VLOOKUP(A290,'CHK Técnico-JAVA'!$A$18:$I$105,3,FALSE)</f>
        <v>Se ha evitado bypassear el uso de una clave cuando esta se requiera</v>
      </c>
      <c r="D290" s="151" t="str">
        <f>VLOOKUP(A290,'CHK Técnico-JAVA'!$A$18:$I$105,9,FALSE)</f>
        <v xml:space="preserve">  </v>
      </c>
      <c r="E290" s="152">
        <f>VLOOKUP(A290,'CHK Técnico-JAVA'!$A$18:$I$105,6,FALSE)</f>
        <v>0</v>
      </c>
      <c r="F290" s="153">
        <f>VLOOKUP(A290,'CHK Técnico-JAVA'!$A$18:$I$105,5,FALSE)</f>
        <v>0</v>
      </c>
      <c r="G290" s="153" t="s">
        <v>66</v>
      </c>
    </row>
    <row r="291" spans="1:7" ht="38.25">
      <c r="A291" s="149">
        <f t="shared" si="6"/>
        <v>283</v>
      </c>
      <c r="B291" s="150" t="str">
        <f>VLOOKUP(A291,'CHK Técnico-JAVA'!$A$18:$I$105,4,FALSE)</f>
        <v>Estandarización</v>
      </c>
      <c r="C291" s="150" t="str">
        <f>VLOOKUP(A291,'CHK Técnico-JAVA'!$A$18:$I$105,3,FALSE)</f>
        <v>Se ha evitado el acceso de directorio de servidores mediante URLs</v>
      </c>
      <c r="D291" s="151" t="str">
        <f>VLOOKUP(A291,'CHK Técnico-JAVA'!$A$18:$I$105,9,FALSE)</f>
        <v xml:space="preserve">  </v>
      </c>
      <c r="E291" s="152">
        <f>VLOOKUP(A291,'CHK Técnico-JAVA'!$A$18:$I$105,6,FALSE)</f>
        <v>0</v>
      </c>
      <c r="F291" s="153">
        <f>VLOOKUP(A291,'CHK Técnico-JAVA'!$A$18:$I$105,5,FALSE)</f>
        <v>0</v>
      </c>
      <c r="G291" s="153" t="s">
        <v>66</v>
      </c>
    </row>
    <row r="292" spans="1:7" ht="51">
      <c r="A292" s="149">
        <f t="shared" si="6"/>
        <v>284</v>
      </c>
      <c r="B292" s="150" t="str">
        <f>VLOOKUP(A292,'CHK Técnico-JAVA'!$A$18:$I$105,4,FALSE)</f>
        <v>Estandarización</v>
      </c>
      <c r="C292" s="150" t="str">
        <f>VLOOKUP(A292,'CHK Técnico-JAVA'!$A$18:$I$105,3,FALSE)</f>
        <v>Las transacción completa de login para aplicaciones fuera de la red se debe hacer usando SSL</v>
      </c>
      <c r="D292" s="151" t="str">
        <f>VLOOKUP(A292,'CHK Técnico-JAVA'!$A$18:$I$105,9,FALSE)</f>
        <v xml:space="preserve">  </v>
      </c>
      <c r="E292" s="152">
        <f>VLOOKUP(A292,'CHK Técnico-JAVA'!$A$18:$I$105,6,FALSE)</f>
        <v>0</v>
      </c>
      <c r="F292" s="153">
        <f>VLOOKUP(A292,'CHK Técnico-JAVA'!$A$18:$I$105,5,FALSE)</f>
        <v>0</v>
      </c>
      <c r="G292" s="153" t="s">
        <v>66</v>
      </c>
    </row>
    <row r="293" spans="1:7" ht="38.25">
      <c r="A293" s="149">
        <f t="shared" si="6"/>
        <v>285</v>
      </c>
      <c r="B293" s="150" t="str">
        <f>VLOOKUP(A293,'CHK Técnico-JAVA'!$A$18:$I$105,4,FALSE)</f>
        <v>Estandarización</v>
      </c>
      <c r="C293" s="150" t="str">
        <f>VLOOKUP(A293,'CHK Técnico-JAVA'!$A$18:$I$105,3,FALSE)</f>
        <v>Se ha evitado el uso en el URL o descarga de .exe, .bat, .dll, .ocx, .com</v>
      </c>
      <c r="D293" s="151" t="str">
        <f>VLOOKUP(A293,'CHK Técnico-JAVA'!$A$18:$I$105,9,FALSE)</f>
        <v xml:space="preserve">  </v>
      </c>
      <c r="E293" s="152">
        <f>VLOOKUP(A293,'CHK Técnico-JAVA'!$A$18:$I$105,6,FALSE)</f>
        <v>0</v>
      </c>
      <c r="F293" s="153">
        <f>VLOOKUP(A293,'CHK Técnico-JAVA'!$A$18:$I$105,5,FALSE)</f>
        <v>0</v>
      </c>
      <c r="G293" s="153" t="s">
        <v>66</v>
      </c>
    </row>
    <row r="294" spans="1:7" ht="51">
      <c r="A294" s="149">
        <f t="shared" si="6"/>
        <v>286</v>
      </c>
      <c r="B294" s="150" t="str">
        <f>VLOOKUP(A294,'CHK Técnico-JAVA'!$A$18:$I$105,4,FALSE)</f>
        <v>Estandarización</v>
      </c>
      <c r="C294" s="150" t="str">
        <f>VLOOKUP(A294,'CHK Técnico-JAVA'!$A$18:$I$105,3,FALSE)</f>
        <v>Para desarrollo de nuevas opciones se ha hecho el seteo de PRAGMA-NOCACHE</v>
      </c>
      <c r="D294" s="151" t="str">
        <f>VLOOKUP(A294,'CHK Técnico-JAVA'!$A$18:$I$105,9,FALSE)</f>
        <v xml:space="preserve">  </v>
      </c>
      <c r="E294" s="152">
        <f>VLOOKUP(A294,'CHK Técnico-JAVA'!$A$18:$I$105,6,FALSE)</f>
        <v>0</v>
      </c>
      <c r="F294" s="153">
        <f>VLOOKUP(A294,'CHK Técnico-JAVA'!$A$18:$I$105,5,FALSE)</f>
        <v>0</v>
      </c>
      <c r="G294" s="153" t="s">
        <v>66</v>
      </c>
    </row>
    <row r="295" spans="1:7" ht="38.25">
      <c r="A295" s="149">
        <f t="shared" si="6"/>
        <v>287</v>
      </c>
      <c r="B295" s="150" t="str">
        <f>VLOOKUP(A295,'CHK Técnico-JAVA'!$A$18:$I$105,4,FALSE)</f>
        <v>Estandarización</v>
      </c>
      <c r="C295" s="150" t="str">
        <f>VLOOKUP(A295,'CHK Técnico-JAVA'!$A$18:$I$105,3,FALSE)</f>
        <v>Los cambios de e-mail se hacen por opciones con autenticación previa y SSL</v>
      </c>
      <c r="D295" s="151" t="str">
        <f>VLOOKUP(A295,'CHK Técnico-JAVA'!$A$18:$I$105,9,FALSE)</f>
        <v xml:space="preserve">  </v>
      </c>
      <c r="E295" s="152">
        <f>VLOOKUP(A295,'CHK Técnico-JAVA'!$A$18:$I$105,6,FALSE)</f>
        <v>0</v>
      </c>
      <c r="F295" s="153">
        <f>VLOOKUP(A295,'CHK Técnico-JAVA'!$A$18:$I$105,5,FALSE)</f>
        <v>0</v>
      </c>
      <c r="G295" s="153" t="s">
        <v>66</v>
      </c>
    </row>
    <row r="296" spans="1:7" ht="25.5">
      <c r="A296" s="149">
        <f t="shared" si="6"/>
        <v>288</v>
      </c>
      <c r="B296" s="150" t="str">
        <f>VLOOKUP(A296,'CHK Técnico-JAVA'!$A$18:$I$105,4,FALSE)</f>
        <v>Estandarización</v>
      </c>
      <c r="C296" s="150" t="str">
        <f>VLOOKUP(A296,'CHK Técnico-JAVA'!$A$18:$I$105,3,FALSE)</f>
        <v>Los passwords son manejados con encriptación</v>
      </c>
      <c r="D296" s="151" t="str">
        <f>VLOOKUP(A296,'CHK Técnico-JAVA'!$A$18:$I$105,9,FALSE)</f>
        <v xml:space="preserve">  </v>
      </c>
      <c r="E296" s="152">
        <f>VLOOKUP(A296,'CHK Técnico-JAVA'!$A$18:$I$105,6,FALSE)</f>
        <v>0</v>
      </c>
      <c r="F296" s="153">
        <f>VLOOKUP(A296,'CHK Técnico-JAVA'!$A$18:$I$105,5,FALSE)</f>
        <v>0</v>
      </c>
      <c r="G296" s="153" t="s">
        <v>66</v>
      </c>
    </row>
    <row r="297" spans="1:7" ht="38.25">
      <c r="A297" s="149">
        <f t="shared" si="6"/>
        <v>289</v>
      </c>
      <c r="B297" s="150" t="str">
        <f>VLOOKUP(A297,'CHK Técnico-JAVA'!$A$18:$I$105,4,FALSE)</f>
        <v>Estandarización</v>
      </c>
      <c r="C297" s="150" t="str">
        <f>VLOOKUP(A297,'CHK Técnico-JAVA'!$A$18:$I$105,3,FALSE)</f>
        <v>La aplicación corre con los privilegios mínimos que requiere para su ejecución</v>
      </c>
      <c r="D297" s="151" t="str">
        <f>VLOOKUP(A297,'CHK Técnico-JAVA'!$A$18:$I$105,9,FALSE)</f>
        <v xml:space="preserve">  </v>
      </c>
      <c r="E297" s="152">
        <f>VLOOKUP(A297,'CHK Técnico-JAVA'!$A$18:$I$105,6,FALSE)</f>
        <v>0</v>
      </c>
      <c r="F297" s="153">
        <f>VLOOKUP(A297,'CHK Técnico-JAVA'!$A$18:$I$105,5,FALSE)</f>
        <v>0</v>
      </c>
      <c r="G297" s="153" t="s">
        <v>66</v>
      </c>
    </row>
    <row r="298" spans="1:7">
      <c r="A298" s="149">
        <f t="shared" si="6"/>
        <v>290</v>
      </c>
      <c r="B298" s="150">
        <f>VLOOKUP(A298,'CHK Técnico-JAVA'!$A$18:$I$105,4,FALSE)</f>
        <v>0</v>
      </c>
      <c r="C298" s="150">
        <f>VLOOKUP(A298,'CHK Técnico-JAVA'!$A$18:$I$105,3,FALSE)</f>
        <v>0</v>
      </c>
      <c r="D298" s="151">
        <f>VLOOKUP(A298,'CHK Técnico-JAVA'!$A$18:$I$105,9,FALSE)</f>
        <v>0</v>
      </c>
      <c r="E298" s="152">
        <f>VLOOKUP(A298,'CHK Técnico-JAVA'!$A$18:$I$105,6,FALSE)</f>
        <v>0</v>
      </c>
      <c r="F298" s="153">
        <f>VLOOKUP(A298,'CHK Técnico-JAVA'!$A$18:$I$105,5,FALSE)</f>
        <v>0</v>
      </c>
      <c r="G298" s="153" t="s">
        <v>66</v>
      </c>
    </row>
    <row r="299" spans="1:7" ht="51">
      <c r="A299" s="149">
        <f t="shared" si="6"/>
        <v>291</v>
      </c>
      <c r="B299" s="150" t="str">
        <f>VLOOKUP(A299,'CHK Técnico-JAVA'!$A$18:$I$105,4,FALSE)</f>
        <v>Estandarización</v>
      </c>
      <c r="C299" s="150" t="str">
        <f>VLOOKUP(A299,'CHK Técnico-JAVA'!$A$18:$I$105,3,FALSE)</f>
        <v>Ha sido desarrollado en Websphere Studio Application Developer 5.1 o Superior</v>
      </c>
      <c r="D299" s="151" t="str">
        <f>VLOOKUP(A299,'CHK Técnico-JAVA'!$A$18:$I$105,9,FALSE)</f>
        <v xml:space="preserve">  </v>
      </c>
      <c r="E299" s="152">
        <f>VLOOKUP(A299,'CHK Técnico-JAVA'!$A$18:$I$105,6,FALSE)</f>
        <v>0</v>
      </c>
      <c r="F299" s="153">
        <f>VLOOKUP(A299,'CHK Técnico-JAVA'!$A$18:$I$105,5,FALSE)</f>
        <v>0</v>
      </c>
      <c r="G299" s="153" t="s">
        <v>66</v>
      </c>
    </row>
    <row r="300" spans="1:7" ht="51">
      <c r="A300" s="149">
        <f t="shared" si="6"/>
        <v>292</v>
      </c>
      <c r="B300" s="150" t="str">
        <f>VLOOKUP(A300,'CHK Técnico-JAVA'!$A$18:$I$105,4,FALSE)</f>
        <v>Técnico</v>
      </c>
      <c r="C300" s="150" t="str">
        <f>VLOOKUP(A300,'CHK Técnico-JAVA'!$A$18:$I$105,3,FALSE)</f>
        <v>El Workspace es completo, no es necesario levantar otros archivos para armar ambiente desarrollo</v>
      </c>
      <c r="D300" s="151" t="str">
        <f>VLOOKUP(A300,'CHK Técnico-JAVA'!$A$18:$I$105,9,FALSE)</f>
        <v xml:space="preserve">  </v>
      </c>
      <c r="E300" s="152">
        <f>VLOOKUP(A300,'CHK Técnico-JAVA'!$A$18:$I$105,6,FALSE)</f>
        <v>0</v>
      </c>
      <c r="F300" s="153">
        <f>VLOOKUP(A300,'CHK Técnico-JAVA'!$A$18:$I$105,5,FALSE)</f>
        <v>0</v>
      </c>
      <c r="G300" s="153" t="s">
        <v>66</v>
      </c>
    </row>
    <row r="301" spans="1:7" ht="51">
      <c r="A301" s="149">
        <f t="shared" si="6"/>
        <v>293</v>
      </c>
      <c r="B301" s="150" t="str">
        <f>VLOOKUP(A301,'CHK Técnico-JAVA'!$A$18:$I$105,4,FALSE)</f>
        <v>Técnico</v>
      </c>
      <c r="C301" s="150" t="str">
        <f>VLOOKUP(A301,'CHK Técnico-JAVA'!$A$18:$I$105,3,FALSE)</f>
        <v>Se ha privilegiado la ubicación de .jpg , .gif y similares en servidor de objetos estáticos</v>
      </c>
      <c r="D301" s="151" t="str">
        <f>VLOOKUP(A301,'CHK Técnico-JAVA'!$A$18:$I$105,9,FALSE)</f>
        <v xml:space="preserve">  </v>
      </c>
      <c r="E301" s="152">
        <f>VLOOKUP(A301,'CHK Técnico-JAVA'!$A$18:$I$105,6,FALSE)</f>
        <v>0</v>
      </c>
      <c r="F301" s="153">
        <f>VLOOKUP(A301,'CHK Técnico-JAVA'!$A$18:$I$105,5,FALSE)</f>
        <v>0</v>
      </c>
      <c r="G301" s="153" t="s">
        <v>66</v>
      </c>
    </row>
    <row r="302" spans="1:7" ht="25.5">
      <c r="A302" s="149">
        <f t="shared" si="6"/>
        <v>294</v>
      </c>
      <c r="B302" s="150" t="str">
        <f>VLOOKUP(A302,'CHK Técnico-JAVA'!$A$18:$I$105,4,FALSE)</f>
        <v>Estandarización</v>
      </c>
      <c r="C302" s="150" t="str">
        <f>VLOOKUP(A302,'CHK Técnico-JAVA'!$A$18:$I$105,3,FALSE)</f>
        <v>Se ha usado Servlet API 2.2 o superior</v>
      </c>
      <c r="D302" s="151" t="str">
        <f>VLOOKUP(A302,'CHK Técnico-JAVA'!$A$18:$I$105,9,FALSE)</f>
        <v xml:space="preserve">  </v>
      </c>
      <c r="E302" s="152">
        <f>VLOOKUP(A302,'CHK Técnico-JAVA'!$A$18:$I$105,6,FALSE)</f>
        <v>0</v>
      </c>
      <c r="F302" s="153">
        <f>VLOOKUP(A302,'CHK Técnico-JAVA'!$A$18:$I$105,5,FALSE)</f>
        <v>0</v>
      </c>
      <c r="G302" s="153" t="s">
        <v>66</v>
      </c>
    </row>
    <row r="303" spans="1:7">
      <c r="A303" s="149">
        <f t="shared" si="6"/>
        <v>295</v>
      </c>
      <c r="B303" s="150">
        <f>VLOOKUP(A303,'CHK Técnico-JAVA'!$A$18:$I$105,4,FALSE)</f>
        <v>0</v>
      </c>
      <c r="C303" s="150">
        <f>VLOOKUP(A303,'CHK Técnico-JAVA'!$A$18:$I$105,3,FALSE)</f>
        <v>0</v>
      </c>
      <c r="D303" s="151">
        <f>VLOOKUP(A303,'CHK Técnico-JAVA'!$A$18:$I$105,9,FALSE)</f>
        <v>0</v>
      </c>
      <c r="E303" s="152">
        <f>VLOOKUP(A303,'CHK Técnico-JAVA'!$A$18:$I$105,6,FALSE)</f>
        <v>0</v>
      </c>
      <c r="F303" s="153">
        <f>VLOOKUP(A303,'CHK Técnico-JAVA'!$A$18:$I$105,5,FALSE)</f>
        <v>0</v>
      </c>
      <c r="G303" s="153" t="s">
        <v>66</v>
      </c>
    </row>
    <row r="304" spans="1:7" ht="51">
      <c r="A304" s="149">
        <f t="shared" si="6"/>
        <v>296</v>
      </c>
      <c r="B304" s="150" t="str">
        <f>VLOOKUP(A304,'CHK Técnico-JAVA'!$A$18:$I$105,4,FALSE)</f>
        <v>Homologación/Versionamiento</v>
      </c>
      <c r="C304" s="150" t="str">
        <f>VLOOKUP(A304,'CHK Técnico-JAVA'!$A$18:$I$105,3,FALSE)</f>
        <v>Cada objeto .class ha sido entregado con su fuente modificado en el directorio correspondiente</v>
      </c>
      <c r="D304" s="151" t="str">
        <f>VLOOKUP(A304,'CHK Técnico-JAVA'!$A$18:$I$105,9,FALSE)</f>
        <v xml:space="preserve">  </v>
      </c>
      <c r="E304" s="152">
        <f>VLOOKUP(A304,'CHK Técnico-JAVA'!$A$18:$I$105,6,FALSE)</f>
        <v>0</v>
      </c>
      <c r="F304" s="153">
        <f>VLOOKUP(A304,'CHK Técnico-JAVA'!$A$18:$I$105,5,FALSE)</f>
        <v>0</v>
      </c>
      <c r="G304" s="153" t="s">
        <v>66</v>
      </c>
    </row>
    <row r="305" spans="1:7" ht="51">
      <c r="A305" s="149">
        <f t="shared" si="6"/>
        <v>297</v>
      </c>
      <c r="B305" s="150" t="str">
        <f>VLOOKUP(A305,'CHK Técnico-JAVA'!$A$18:$I$105,4,FALSE)</f>
        <v>Homologación/Versionamiento</v>
      </c>
      <c r="C305" s="150" t="str">
        <f>VLOOKUP(A305,'CHK Técnico-JAVA'!$A$18:$I$105,3,FALSE)</f>
        <v>Cada fuente .java entregado ha sido entregado con su objeto .class en el directorio correspondiente</v>
      </c>
      <c r="D305" s="151" t="str">
        <f>VLOOKUP(A305,'CHK Técnico-JAVA'!$A$18:$I$105,9,FALSE)</f>
        <v xml:space="preserve">  </v>
      </c>
      <c r="E305" s="152">
        <f>VLOOKUP(A305,'CHK Técnico-JAVA'!$A$18:$I$105,6,FALSE)</f>
        <v>0</v>
      </c>
      <c r="F305" s="153">
        <f>VLOOKUP(A305,'CHK Técnico-JAVA'!$A$18:$I$105,5,FALSE)</f>
        <v>0</v>
      </c>
      <c r="G305" s="153" t="s">
        <v>66</v>
      </c>
    </row>
    <row r="306" spans="1:7" ht="51">
      <c r="A306" s="149">
        <f t="shared" si="6"/>
        <v>298</v>
      </c>
      <c r="B306" s="150" t="str">
        <f>VLOOKUP(A306,'CHK Técnico-JAVA'!$A$18:$I$105,4,FALSE)</f>
        <v>Homologación/Versionamiento</v>
      </c>
      <c r="C306" s="150" t="str">
        <f>VLOOKUP(A306,'CHK Técnico-JAVA'!$A$18:$I$105,3,FALSE)</f>
        <v>Coincide el número de versión Harvest de los fuentes .java y sus objetos .class asociados</v>
      </c>
      <c r="D306" s="151" t="str">
        <f>VLOOKUP(A306,'CHK Técnico-JAVA'!$A$18:$I$105,9,FALSE)</f>
        <v xml:space="preserve">  </v>
      </c>
      <c r="E306" s="152">
        <f>VLOOKUP(A306,'CHK Técnico-JAVA'!$A$18:$I$105,6,FALSE)</f>
        <v>0</v>
      </c>
      <c r="F306" s="153">
        <f>VLOOKUP(A306,'CHK Técnico-JAVA'!$A$18:$I$105,5,FALSE)</f>
        <v>0</v>
      </c>
      <c r="G306" s="153" t="s">
        <v>66</v>
      </c>
    </row>
    <row r="307" spans="1:7" ht="51">
      <c r="A307" s="149">
        <f t="shared" si="6"/>
        <v>299</v>
      </c>
      <c r="B307" s="150" t="str">
        <f>VLOOKUP(A307,'CHK Técnico-JAVA'!$A$18:$I$105,4,FALSE)</f>
        <v>Documentación</v>
      </c>
      <c r="C307" s="150" t="str">
        <f>VLOOKUP(A307,'CHK Técnico-JAVA'!$A$18:$I$105,3,FALSE)</f>
        <v>Se ha actualizado la documentación prevista en la evaluación de la orden de trabajo o proyecto</v>
      </c>
      <c r="D307" s="151" t="str">
        <f>VLOOKUP(A307,'CHK Técnico-JAVA'!$A$18:$I$105,9,FALSE)</f>
        <v xml:space="preserve">  </v>
      </c>
      <c r="E307" s="152">
        <f>VLOOKUP(A307,'CHK Técnico-JAVA'!$A$18:$I$105,6,FALSE)</f>
        <v>0</v>
      </c>
      <c r="F307" s="153">
        <f>VLOOKUP(A307,'CHK Técnico-JAVA'!$A$18:$I$105,5,FALSE)</f>
        <v>0</v>
      </c>
      <c r="G307" s="153" t="s">
        <v>66</v>
      </c>
    </row>
    <row r="308" spans="1:7" ht="38.25">
      <c r="A308" s="149">
        <f t="shared" si="6"/>
        <v>300</v>
      </c>
      <c r="B308" s="150" t="str">
        <f>VLOOKUP(A308,'CHK Técnico-JAVA'!$A$18:$I$105,4,FALSE)</f>
        <v>Documentación</v>
      </c>
      <c r="C308" s="150" t="str">
        <f>VLOOKUP(A308,'CHK Técnico-JAVA'!$A$18:$I$105,3,FALSE)</f>
        <v>Se ha incluido el documento de casos de pruebas con los escenarios previstos</v>
      </c>
      <c r="D308" s="151" t="str">
        <f>VLOOKUP(A308,'CHK Técnico-JAVA'!$A$18:$I$105,9,FALSE)</f>
        <v xml:space="preserve">  </v>
      </c>
      <c r="E308" s="152">
        <f>VLOOKUP(A308,'CHK Técnico-JAVA'!$A$18:$I$105,6,FALSE)</f>
        <v>0</v>
      </c>
      <c r="F308" s="153">
        <f>VLOOKUP(A308,'CHK Técnico-JAVA'!$A$18:$I$105,5,FALSE)</f>
        <v>0</v>
      </c>
      <c r="G308" s="153" t="s">
        <v>66</v>
      </c>
    </row>
    <row r="309" spans="1:7">
      <c r="A309" s="149">
        <f t="shared" si="6"/>
        <v>301</v>
      </c>
      <c r="B309" s="150">
        <f>VLOOKUP(A309,'CHK Técnico-JAVA'!$A$18:$I$105,4,FALSE)</f>
        <v>0</v>
      </c>
      <c r="C309" s="150">
        <f>VLOOKUP(A309,'CHK Técnico-JAVA'!$A$18:$I$105,3,FALSE)</f>
        <v>0</v>
      </c>
      <c r="D309" s="151">
        <f>VLOOKUP(A309,'CHK Técnico-JAVA'!$A$18:$I$105,9,FALSE)</f>
        <v>0</v>
      </c>
      <c r="E309" s="152">
        <f>VLOOKUP(A309,'CHK Técnico-JAVA'!$A$18:$I$105,6,FALSE)</f>
        <v>0</v>
      </c>
      <c r="F309" s="153">
        <f>VLOOKUP(A309,'CHK Técnico-JAVA'!$A$18:$I$105,5,FALSE)</f>
        <v>0</v>
      </c>
      <c r="G309" s="153" t="s">
        <v>66</v>
      </c>
    </row>
    <row r="310" spans="1:7" ht="51">
      <c r="A310" s="149">
        <f t="shared" si="6"/>
        <v>302</v>
      </c>
      <c r="B310" s="150" t="str">
        <f>VLOOKUP(A310,'CHK Técnico-JAVA'!$A$18:$I$105,4,FALSE)</f>
        <v>Homologación/ Versionamiento</v>
      </c>
      <c r="C310" s="150" t="str">
        <f>VLOOKUP(A310,'CHK Técnico-JAVA'!$A$18:$I$105,3,FALSE)</f>
        <v>Una persona distinta al programador ha realizado comparación de fuentes modificados</v>
      </c>
      <c r="D310" s="151" t="str">
        <f>VLOOKUP(A310,'CHK Técnico-JAVA'!$A$18:$I$105,9,FALSE)</f>
        <v xml:space="preserve">  </v>
      </c>
      <c r="E310" s="152">
        <f>VLOOKUP(A310,'CHK Técnico-JAVA'!$A$18:$I$105,6,FALSE)</f>
        <v>0</v>
      </c>
      <c r="F310" s="153">
        <f>VLOOKUP(A310,'CHK Técnico-JAVA'!$A$18:$I$105,5,FALSE)</f>
        <v>0</v>
      </c>
      <c r="G310" s="153" t="s">
        <v>66</v>
      </c>
    </row>
    <row r="311" spans="1:7" ht="51">
      <c r="A311" s="149">
        <f t="shared" si="6"/>
        <v>303</v>
      </c>
      <c r="B311" s="150" t="str">
        <f>VLOOKUP(A311,'CHK Técnico-JAVA'!$A$18:$I$105,4,FALSE)</f>
        <v>Funcionalidad</v>
      </c>
      <c r="C311" s="150" t="str">
        <f>VLOOKUP(A311,'CHK Técnico-JAVA'!$A$18:$I$105,3,FALSE)</f>
        <v>Los cambios de fuente se muestran relacionados con las especificaciones funcionales</v>
      </c>
      <c r="D311" s="151" t="str">
        <f>VLOOKUP(A311,'CHK Técnico-JAVA'!$A$18:$I$105,9,FALSE)</f>
        <v xml:space="preserve">  </v>
      </c>
      <c r="E311" s="152">
        <f>VLOOKUP(A311,'CHK Técnico-JAVA'!$A$18:$I$105,6,FALSE)</f>
        <v>0</v>
      </c>
      <c r="F311" s="153">
        <f>VLOOKUP(A311,'CHK Técnico-JAVA'!$A$18:$I$105,5,FALSE)</f>
        <v>0</v>
      </c>
      <c r="G311" s="153" t="s">
        <v>66</v>
      </c>
    </row>
    <row r="312" spans="1:7" ht="25.5">
      <c r="A312" s="149">
        <f t="shared" si="6"/>
        <v>304</v>
      </c>
      <c r="B312" s="150" t="str">
        <f>VLOOKUP(A312,'CHK Técnico-JAVA'!$A$18:$I$105,4,FALSE)</f>
        <v>Estandarización</v>
      </c>
      <c r="C312" s="150" t="str">
        <f>VLOOKUP(A312,'CHK Técnico-JAVA'!$A$18:$I$105,3,FALSE)</f>
        <v>Se ha evitado la introducción de hardcodes</v>
      </c>
      <c r="D312" s="151" t="str">
        <f>VLOOKUP(A312,'CHK Técnico-JAVA'!$A$18:$I$105,9,FALSE)</f>
        <v xml:space="preserve">  </v>
      </c>
      <c r="E312" s="152">
        <f>VLOOKUP(A312,'CHK Técnico-JAVA'!$A$18:$I$105,6,FALSE)</f>
        <v>0</v>
      </c>
      <c r="F312" s="153">
        <f>VLOOKUP(A312,'CHK Técnico-JAVA'!$A$18:$I$105,5,FALSE)</f>
        <v>0</v>
      </c>
      <c r="G312" s="153" t="s">
        <v>66</v>
      </c>
    </row>
    <row r="313" spans="1:7" ht="38.25">
      <c r="A313" s="149">
        <f t="shared" si="6"/>
        <v>305</v>
      </c>
      <c r="B313" s="150" t="str">
        <f>VLOOKUP(A313,'CHK Técnico-JAVA'!$A$18:$I$105,4,FALSE)</f>
        <v>Estandarización</v>
      </c>
      <c r="C313" s="150" t="str">
        <f>VLOOKUP(A313,'CHK Técnico-JAVA'!$A$18:$I$105,3,FALSE)</f>
        <v>Se ha hecho revisión de fuentes buscando posible código fraudulento</v>
      </c>
      <c r="D313" s="151" t="str">
        <f>VLOOKUP(A313,'CHK Técnico-JAVA'!$A$18:$I$105,9,FALSE)</f>
        <v xml:space="preserve">  </v>
      </c>
      <c r="E313" s="152">
        <f>VLOOKUP(A313,'CHK Técnico-JAVA'!$A$18:$I$105,6,FALSE)</f>
        <v>0</v>
      </c>
      <c r="F313" s="153">
        <f>VLOOKUP(A313,'CHK Técnico-JAVA'!$A$18:$I$105,5,FALSE)</f>
        <v>0</v>
      </c>
      <c r="G313" s="153" t="s">
        <v>66</v>
      </c>
    </row>
    <row r="314" spans="1:7">
      <c r="A314" s="149">
        <f t="shared" si="6"/>
        <v>306</v>
      </c>
      <c r="B314" s="150">
        <f>VLOOKUP(A314,'CHK Técnico-JAVA'!$A$18:$I$105,4,FALSE)</f>
        <v>0</v>
      </c>
      <c r="C314" s="150">
        <f>VLOOKUP(A314,'CHK Técnico-JAVA'!$A$18:$I$105,3,FALSE)</f>
        <v>0</v>
      </c>
      <c r="D314" s="151">
        <f>VLOOKUP(A314,'CHK Técnico-JAVA'!$A$18:$I$105,9,FALSE)</f>
        <v>0</v>
      </c>
      <c r="E314" s="152">
        <f>VLOOKUP(A314,'CHK Técnico-JAVA'!$A$18:$I$105,6,FALSE)</f>
        <v>0</v>
      </c>
      <c r="F314" s="153">
        <f>VLOOKUP(A314,'CHK Técnico-JAVA'!$A$18:$I$105,5,FALSE)</f>
        <v>0</v>
      </c>
      <c r="G314" s="153" t="s">
        <v>66</v>
      </c>
    </row>
    <row r="315" spans="1:7">
      <c r="A315" s="149">
        <f t="shared" si="6"/>
        <v>307</v>
      </c>
      <c r="B315" s="150">
        <f>VLOOKUP(A315,'CHK Técnico-JAVA'!$A$18:$I$105,4,FALSE)</f>
        <v>0</v>
      </c>
      <c r="C315" s="150">
        <f>VLOOKUP(A315,'CHK Técnico-JAVA'!$A$18:$I$105,3,FALSE)</f>
        <v>0</v>
      </c>
      <c r="D315" s="151">
        <f>VLOOKUP(A315,'CHK Técnico-JAVA'!$A$18:$I$105,9,FALSE)</f>
        <v>0</v>
      </c>
      <c r="E315" s="152">
        <f>VLOOKUP(A315,'CHK Técnico-JAVA'!$A$18:$I$105,6,FALSE)</f>
        <v>0</v>
      </c>
      <c r="F315" s="153">
        <f>VLOOKUP(A315,'CHK Técnico-JAVA'!$A$18:$I$105,5,FALSE)</f>
        <v>0</v>
      </c>
      <c r="G315" s="153" t="s">
        <v>66</v>
      </c>
    </row>
    <row r="316" spans="1:7">
      <c r="A316" s="149">
        <f t="shared" si="6"/>
        <v>308</v>
      </c>
      <c r="B316" s="150">
        <f>VLOOKUP(A316,'CHK Técnico-JAVA'!$A$18:$I$105,4,FALSE)</f>
        <v>0</v>
      </c>
      <c r="C316" s="150">
        <f>VLOOKUP(A316,'CHK Técnico-JAVA'!$A$18:$I$105,3,FALSE)</f>
        <v>0</v>
      </c>
      <c r="D316" s="151">
        <f>VLOOKUP(A316,'CHK Técnico-JAVA'!$A$18:$I$105,9,FALSE)</f>
        <v>0</v>
      </c>
      <c r="E316" s="152">
        <f>VLOOKUP(A316,'CHK Técnico-JAVA'!$A$18:$I$105,6,FALSE)</f>
        <v>0</v>
      </c>
      <c r="F316" s="153">
        <f>VLOOKUP(A316,'CHK Técnico-JAVA'!$A$18:$I$105,5,FALSE)</f>
        <v>0</v>
      </c>
      <c r="G316" s="153" t="s">
        <v>66</v>
      </c>
    </row>
    <row r="317" spans="1:7">
      <c r="A317" s="149">
        <f t="shared" si="6"/>
        <v>309</v>
      </c>
      <c r="B317" s="150">
        <f>VLOOKUP(A317,'CHK Técnico-JAVA'!$A$18:$I$105,4,FALSE)</f>
        <v>0</v>
      </c>
      <c r="C317" s="150">
        <f>VLOOKUP(A317,'CHK Técnico-JAVA'!$A$18:$I$105,3,FALSE)</f>
        <v>0</v>
      </c>
      <c r="D317" s="151">
        <f>VLOOKUP(A317,'CHK Técnico-JAVA'!$A$18:$I$105,9,FALSE)</f>
        <v>0</v>
      </c>
      <c r="E317" s="152">
        <f>VLOOKUP(A317,'CHK Técnico-JAVA'!$A$18:$I$105,6,FALSE)</f>
        <v>0</v>
      </c>
      <c r="F317" s="153">
        <f>VLOOKUP(A317,'CHK Técnico-JAVA'!$A$18:$I$105,5,FALSE)</f>
        <v>0</v>
      </c>
      <c r="G317" s="153" t="s">
        <v>66</v>
      </c>
    </row>
    <row r="318" spans="1:7">
      <c r="A318" s="149">
        <f t="shared" si="6"/>
        <v>310</v>
      </c>
      <c r="B318" s="150">
        <f>VLOOKUP(A318,'CHK Técnico-JAVA'!$A$18:$I$105,4,FALSE)</f>
        <v>0</v>
      </c>
      <c r="C318" s="150">
        <f>VLOOKUP(A318,'CHK Técnico-JAVA'!$A$18:$I$105,3,FALSE)</f>
        <v>0</v>
      </c>
      <c r="D318" s="151">
        <f>VLOOKUP(A318,'CHK Técnico-JAVA'!$A$18:$I$105,9,FALSE)</f>
        <v>0</v>
      </c>
      <c r="E318" s="152">
        <f>VLOOKUP(A318,'CHK Técnico-JAVA'!$A$18:$I$105,6,FALSE)</f>
        <v>0</v>
      </c>
      <c r="F318" s="153">
        <f>VLOOKUP(A318,'CHK Técnico-JAVA'!$A$18:$I$105,5,FALSE)</f>
        <v>0</v>
      </c>
      <c r="G318" s="153" t="s">
        <v>66</v>
      </c>
    </row>
    <row r="319" spans="1:7">
      <c r="A319" s="149">
        <f>A318+1</f>
        <v>311</v>
      </c>
      <c r="B319" s="150">
        <f>VLOOKUP(A319,'CHK Técnico-JAVA'!$A$18:$I$105,4,FALSE)</f>
        <v>0</v>
      </c>
      <c r="C319" s="150">
        <f>VLOOKUP(A319,'CHK Técnico-JAVA'!$A$18:$I$105,3,FALSE)</f>
        <v>0</v>
      </c>
      <c r="D319" s="151">
        <f>VLOOKUP(A319,'CHK Técnico-JAVA'!$A$18:$I$105,9,FALSE)</f>
        <v>0</v>
      </c>
      <c r="E319" s="152">
        <f>VLOOKUP(A319,'CHK Técnico-JAVA'!$A$18:$I$105,6,FALSE)</f>
        <v>0</v>
      </c>
      <c r="F319" s="153">
        <f>VLOOKUP(A319,'CHK Técnico-JAVA'!$A$18:$I$105,5,FALSE)</f>
        <v>0</v>
      </c>
      <c r="G319" s="153" t="s">
        <v>66</v>
      </c>
    </row>
    <row r="320" spans="1:7">
      <c r="A320" s="149">
        <f>A319+1</f>
        <v>312</v>
      </c>
      <c r="B320" s="150">
        <f>VLOOKUP(A320,'CHK Técnico-JAVA'!$A$18:$I$105,4,FALSE)</f>
        <v>0</v>
      </c>
      <c r="C320" s="150">
        <f>VLOOKUP(A320,'CHK Técnico-JAVA'!$A$18:$I$105,3,FALSE)</f>
        <v>0</v>
      </c>
      <c r="D320" s="151">
        <f>VLOOKUP(A320,'CHK Técnico-JAVA'!$A$18:$I$105,9,FALSE)</f>
        <v>0</v>
      </c>
      <c r="E320" s="152">
        <f>VLOOKUP(A320,'CHK Técnico-JAVA'!$A$18:$I$105,6,FALSE)</f>
        <v>0</v>
      </c>
      <c r="F320" s="153">
        <f>VLOOKUP(A320,'CHK Técnico-JAVA'!$A$18:$I$105,5,FALSE)</f>
        <v>0</v>
      </c>
      <c r="G320" s="153" t="s">
        <v>66</v>
      </c>
    </row>
    <row r="321" spans="1:7">
      <c r="A321" s="149">
        <f>A320+1</f>
        <v>313</v>
      </c>
      <c r="B321" s="150">
        <f>VLOOKUP(A321,'CHK Técnico-JAVA'!$A$18:$I$105,4,FALSE)</f>
        <v>0</v>
      </c>
      <c r="C321" s="150">
        <f>VLOOKUP(A321,'CHK Técnico-JAVA'!$A$18:$I$105,3,FALSE)</f>
        <v>0</v>
      </c>
      <c r="D321" s="151">
        <f>VLOOKUP(A321,'CHK Técnico-JAVA'!$A$18:$I$105,9,FALSE)</f>
        <v>0</v>
      </c>
      <c r="E321" s="152">
        <f>VLOOKUP(A321,'CHK Técnico-JAVA'!$A$18:$I$105,6,FALSE)</f>
        <v>0</v>
      </c>
      <c r="F321" s="153">
        <f>VLOOKUP(A321,'CHK Técnico-JAVA'!$A$18:$I$105,5,FALSE)</f>
        <v>0</v>
      </c>
      <c r="G321" s="153" t="s">
        <v>66</v>
      </c>
    </row>
    <row r="322" spans="1:7">
      <c r="A322" s="149">
        <f>A321+1</f>
        <v>314</v>
      </c>
      <c r="B322" s="150" t="e">
        <f>VLOOKUP(A322,'CHK Técnico-JAVA'!$A$18:$I$105,4,FALSE)</f>
        <v>#N/A</v>
      </c>
      <c r="C322" s="150" t="e">
        <f>VLOOKUP(A322,'CHK Técnico-JAVA'!$A$18:$I$105,3,FALSE)</f>
        <v>#N/A</v>
      </c>
      <c r="D322" s="151" t="e">
        <f>VLOOKUP(A322,'CHK Técnico-JAVA'!$A$18:$I$105,9,FALSE)</f>
        <v>#N/A</v>
      </c>
      <c r="E322" s="152" t="e">
        <f>VLOOKUP(A322,'CHK Técnico-JAVA'!$A$18:$I$105,6,FALSE)</f>
        <v>#N/A</v>
      </c>
      <c r="F322" s="153" t="e">
        <f>VLOOKUP(A322,'CHK Técnico-JAVA'!$A$18:$I$105,5,FALSE)</f>
        <v>#N/A</v>
      </c>
      <c r="G322" s="153" t="s">
        <v>66</v>
      </c>
    </row>
    <row r="323" spans="1:7">
      <c r="A323" s="149">
        <f t="shared" ref="A323:A330" si="7">A322+1</f>
        <v>315</v>
      </c>
      <c r="B323" s="150" t="e">
        <f>VLOOKUP(A323,'CHK Técnico-JAVA'!$A$18:$I$105,4,FALSE)</f>
        <v>#N/A</v>
      </c>
      <c r="C323" s="150" t="e">
        <f>VLOOKUP(A323,'CHK Técnico-JAVA'!$A$18:$I$105,3,FALSE)</f>
        <v>#N/A</v>
      </c>
      <c r="D323" s="151" t="e">
        <f>VLOOKUP(A323,'CHK Técnico-JAVA'!$A$18:$I$105,9,FALSE)</f>
        <v>#N/A</v>
      </c>
      <c r="E323" s="152" t="e">
        <f>VLOOKUP(A323,'CHK Técnico-JAVA'!$A$18:$I$105,6,FALSE)</f>
        <v>#N/A</v>
      </c>
      <c r="F323" s="153" t="e">
        <f>VLOOKUP(A323,'CHK Técnico-JAVA'!$A$18:$I$105,5,FALSE)</f>
        <v>#N/A</v>
      </c>
      <c r="G323" s="153" t="s">
        <v>66</v>
      </c>
    </row>
    <row r="324" spans="1:7">
      <c r="A324" s="149">
        <f t="shared" si="7"/>
        <v>316</v>
      </c>
      <c r="B324" s="150" t="e">
        <f>VLOOKUP(A324,'CHK Técnico-JAVA'!$A$18:$I$105,4,FALSE)</f>
        <v>#N/A</v>
      </c>
      <c r="C324" s="150" t="e">
        <f>VLOOKUP(A324,'CHK Técnico-JAVA'!$A$18:$I$105,3,FALSE)</f>
        <v>#N/A</v>
      </c>
      <c r="D324" s="151" t="e">
        <f>VLOOKUP(A324,'CHK Técnico-JAVA'!$A$18:$I$105,9,FALSE)</f>
        <v>#N/A</v>
      </c>
      <c r="E324" s="152" t="e">
        <f>VLOOKUP(A324,'CHK Técnico-JAVA'!$A$18:$I$105,6,FALSE)</f>
        <v>#N/A</v>
      </c>
      <c r="F324" s="153" t="e">
        <f>VLOOKUP(A324,'CHK Técnico-JAVA'!$A$18:$I$105,5,FALSE)</f>
        <v>#N/A</v>
      </c>
      <c r="G324" s="153" t="s">
        <v>66</v>
      </c>
    </row>
    <row r="325" spans="1:7">
      <c r="A325" s="149">
        <f t="shared" si="7"/>
        <v>317</v>
      </c>
      <c r="B325" s="150" t="e">
        <f>VLOOKUP(A325,'CHK Técnico-JAVA'!$A$18:$I$105,4,FALSE)</f>
        <v>#N/A</v>
      </c>
      <c r="C325" s="150" t="e">
        <f>VLOOKUP(A325,'CHK Técnico-JAVA'!$A$18:$I$105,3,FALSE)</f>
        <v>#N/A</v>
      </c>
      <c r="D325" s="151" t="e">
        <f>VLOOKUP(A325,'CHK Técnico-JAVA'!$A$18:$I$105,9,FALSE)</f>
        <v>#N/A</v>
      </c>
      <c r="E325" s="152" t="e">
        <f>VLOOKUP(A325,'CHK Técnico-JAVA'!$A$18:$I$105,6,FALSE)</f>
        <v>#N/A</v>
      </c>
      <c r="F325" s="153" t="e">
        <f>VLOOKUP(A325,'CHK Técnico-JAVA'!$A$18:$I$105,5,FALSE)</f>
        <v>#N/A</v>
      </c>
      <c r="G325" s="153" t="s">
        <v>66</v>
      </c>
    </row>
    <row r="326" spans="1:7">
      <c r="A326" s="149">
        <f t="shared" si="7"/>
        <v>318</v>
      </c>
      <c r="B326" s="150" t="e">
        <f>VLOOKUP(A326,'CHK Técnico-JAVA'!$A$18:$I$105,4,FALSE)</f>
        <v>#N/A</v>
      </c>
      <c r="C326" s="150" t="e">
        <f>VLOOKUP(A326,'CHK Técnico-JAVA'!$A$18:$I$105,3,FALSE)</f>
        <v>#N/A</v>
      </c>
      <c r="D326" s="151" t="e">
        <f>VLOOKUP(A326,'CHK Técnico-JAVA'!$A$18:$I$105,9,FALSE)</f>
        <v>#N/A</v>
      </c>
      <c r="E326" s="152" t="e">
        <f>VLOOKUP(A326,'CHK Técnico-JAVA'!$A$18:$I$105,6,FALSE)</f>
        <v>#N/A</v>
      </c>
      <c r="F326" s="153" t="e">
        <f>VLOOKUP(A326,'CHK Técnico-JAVA'!$A$18:$I$105,5,FALSE)</f>
        <v>#N/A</v>
      </c>
      <c r="G326" s="153" t="s">
        <v>66</v>
      </c>
    </row>
    <row r="327" spans="1:7">
      <c r="A327" s="149">
        <f t="shared" si="7"/>
        <v>319</v>
      </c>
      <c r="B327" s="150" t="e">
        <f>VLOOKUP(A327,'CHK Técnico-JAVA'!$A$18:$I$105,4,FALSE)</f>
        <v>#N/A</v>
      </c>
      <c r="C327" s="150" t="e">
        <f>VLOOKUP(A327,'CHK Técnico-JAVA'!$A$18:$I$105,3,FALSE)</f>
        <v>#N/A</v>
      </c>
      <c r="D327" s="151" t="e">
        <f>VLOOKUP(A327,'CHK Técnico-JAVA'!$A$18:$I$105,9,FALSE)</f>
        <v>#N/A</v>
      </c>
      <c r="E327" s="152" t="e">
        <f>VLOOKUP(A327,'CHK Técnico-JAVA'!$A$18:$I$105,6,FALSE)</f>
        <v>#N/A</v>
      </c>
      <c r="F327" s="153" t="e">
        <f>VLOOKUP(A327,'CHK Técnico-JAVA'!$A$18:$I$105,5,FALSE)</f>
        <v>#N/A</v>
      </c>
      <c r="G327" s="153" t="s">
        <v>66</v>
      </c>
    </row>
    <row r="328" spans="1:7">
      <c r="A328" s="149">
        <f t="shared" si="7"/>
        <v>320</v>
      </c>
      <c r="B328" s="150" t="e">
        <f>VLOOKUP(A328,'CHK Técnico-JAVA'!$A$18:$I$105,4,FALSE)</f>
        <v>#N/A</v>
      </c>
      <c r="C328" s="150" t="e">
        <f>VLOOKUP(A328,'CHK Técnico-JAVA'!$A$18:$I$105,3,FALSE)</f>
        <v>#N/A</v>
      </c>
      <c r="D328" s="151" t="e">
        <f>VLOOKUP(A328,'CHK Técnico-JAVA'!$A$18:$I$105,9,FALSE)</f>
        <v>#N/A</v>
      </c>
      <c r="E328" s="152" t="e">
        <f>VLOOKUP(A328,'CHK Técnico-JAVA'!$A$18:$I$105,6,FALSE)</f>
        <v>#N/A</v>
      </c>
      <c r="F328" s="153" t="e">
        <f>VLOOKUP(A328,'CHK Técnico-JAVA'!$A$18:$I$105,5,FALSE)</f>
        <v>#N/A</v>
      </c>
      <c r="G328" s="153" t="s">
        <v>66</v>
      </c>
    </row>
    <row r="329" spans="1:7">
      <c r="A329" s="149">
        <f t="shared" si="7"/>
        <v>321</v>
      </c>
      <c r="B329" s="150" t="e">
        <f>VLOOKUP(A329,'CHK Técnico-JAVA'!$A$18:$I$105,4,FALSE)</f>
        <v>#N/A</v>
      </c>
      <c r="C329" s="150" t="e">
        <f>VLOOKUP(A329,'CHK Técnico-JAVA'!$A$18:$I$105,3,FALSE)</f>
        <v>#N/A</v>
      </c>
      <c r="D329" s="151" t="e">
        <f>VLOOKUP(A329,'CHK Técnico-JAVA'!$A$18:$I$105,9,FALSE)</f>
        <v>#N/A</v>
      </c>
      <c r="E329" s="152" t="e">
        <f>VLOOKUP(A329,'CHK Técnico-JAVA'!$A$18:$I$105,6,FALSE)</f>
        <v>#N/A</v>
      </c>
      <c r="F329" s="153" t="e">
        <f>VLOOKUP(A329,'CHK Técnico-JAVA'!$A$18:$I$105,5,FALSE)</f>
        <v>#N/A</v>
      </c>
      <c r="G329" s="153" t="s">
        <v>66</v>
      </c>
    </row>
    <row r="330" spans="1:7">
      <c r="A330" s="149">
        <f t="shared" si="7"/>
        <v>322</v>
      </c>
      <c r="B330" s="150" t="e">
        <f>VLOOKUP(A330,'CHK Técnico-JAVA'!$A$18:$I$105,4,FALSE)</f>
        <v>#N/A</v>
      </c>
      <c r="C330" s="150" t="e">
        <f>VLOOKUP(A330,'CHK Técnico-JAVA'!$A$18:$I$105,3,FALSE)</f>
        <v>#N/A</v>
      </c>
      <c r="D330" s="151" t="e">
        <f>VLOOKUP(A330,'CHK Técnico-JAVA'!$A$18:$I$105,9,FALSE)</f>
        <v>#N/A</v>
      </c>
      <c r="E330" s="152" t="e">
        <f>VLOOKUP(A330,'CHK Técnico-JAVA'!$A$18:$I$105,6,FALSE)</f>
        <v>#N/A</v>
      </c>
      <c r="F330" s="153" t="e">
        <f>VLOOKUP(A330,'CHK Técnico-JAVA'!$A$18:$I$105,5,FALSE)</f>
        <v>#N/A</v>
      </c>
      <c r="G330" s="153" t="s">
        <v>66</v>
      </c>
    </row>
    <row r="331" spans="1:7">
      <c r="A331" s="76">
        <f t="shared" ref="A331:A372" si="8">A330+1</f>
        <v>323</v>
      </c>
      <c r="B331" s="77">
        <f>VLOOKUP(A331,'CHK Técnico-.NET'!$A$18:$I$81,4,FALSE)</f>
        <v>0</v>
      </c>
      <c r="C331" s="77">
        <f>VLOOKUP(A331,'CHK Técnico-.NET'!$A$18:$I$88,3,FALSE)</f>
        <v>0</v>
      </c>
      <c r="D331" s="78">
        <f>VLOOKUP(A331,'CHK Técnico-.NET'!$A$18:$I$81,9,FALSE)</f>
        <v>0</v>
      </c>
      <c r="E331" s="79">
        <f>VLOOKUP(A331,'CHK Técnico-.NET'!$A$18:$I$81,6,FALSE)</f>
        <v>0</v>
      </c>
      <c r="F331" s="80">
        <f>VLOOKUP(A331,'CHK Técnico-.NET'!$A$18:$I$81,5,FALSE)</f>
        <v>0</v>
      </c>
      <c r="G331" s="80" t="s">
        <v>66</v>
      </c>
    </row>
    <row r="332" spans="1:7" ht="38.25">
      <c r="A332" s="76">
        <f t="shared" si="8"/>
        <v>324</v>
      </c>
      <c r="B332" s="77" t="str">
        <f>VLOOKUP(A332,'CHK Técnico-.NET'!$A$18:$I$81,4,FALSE)</f>
        <v>Estandarización</v>
      </c>
      <c r="C332" s="77" t="str">
        <f>VLOOKUP(A332,'CHK Técnico-.NET'!$A$18:$I$88,3,FALSE)</f>
        <v>Se ha seguido el modelo de 3 capas de desarrollo de aplicaciones</v>
      </c>
      <c r="D332" s="78">
        <f>VLOOKUP(A332,'CHK Técnico-.NET'!$A$18:$I$81,9,FALSE)</f>
        <v>0</v>
      </c>
      <c r="E332" s="79">
        <f>VLOOKUP(A332,'CHK Técnico-.NET'!$A$18:$I$81,6,FALSE)</f>
        <v>0</v>
      </c>
      <c r="F332" s="80">
        <f>VLOOKUP(A332,'CHK Técnico-.NET'!$A$18:$I$81,5,FALSE)</f>
        <v>0</v>
      </c>
      <c r="G332" s="80" t="s">
        <v>66</v>
      </c>
    </row>
    <row r="333" spans="1:7" ht="38.25">
      <c r="A333" s="76">
        <f t="shared" si="8"/>
        <v>325</v>
      </c>
      <c r="B333" s="77" t="str">
        <f>VLOOKUP(A333,'CHK Técnico-.NET'!$A$18:$I$81,4,FALSE)</f>
        <v>Estandarización</v>
      </c>
      <c r="C333" s="77" t="str">
        <f>VLOOKUP(A333,'CHK Técnico-.NET'!$A$18:$I$88,3,FALSE)</f>
        <v>Todos los accesos a bases de datos son vía Stored Procedures</v>
      </c>
      <c r="D333" s="78" t="str">
        <f>VLOOKUP(A333,'CHK Técnico-.NET'!$A$18:$I$81,9,FALSE)</f>
        <v xml:space="preserve">  </v>
      </c>
      <c r="E333" s="79">
        <f>VLOOKUP(A333,'CHK Técnico-.NET'!$A$18:$I$81,6,FALSE)</f>
        <v>0</v>
      </c>
      <c r="F333" s="80">
        <f>VLOOKUP(A333,'CHK Técnico-.NET'!$A$18:$I$81,5,FALSE)</f>
        <v>0</v>
      </c>
      <c r="G333" s="80" t="s">
        <v>66</v>
      </c>
    </row>
    <row r="334" spans="1:7">
      <c r="A334" s="76">
        <f t="shared" si="8"/>
        <v>326</v>
      </c>
      <c r="B334" s="77">
        <f>VLOOKUP(A334,'CHK Técnico-.NET'!$A$18:$I$81,4,FALSE)</f>
        <v>0</v>
      </c>
      <c r="C334" s="77">
        <f>VLOOKUP(A334,'CHK Técnico-.NET'!$A$18:$I$88,3,FALSE)</f>
        <v>0</v>
      </c>
      <c r="D334" s="78">
        <f>VLOOKUP(A334,'CHK Técnico-.NET'!$A$18:$I$81,9,FALSE)</f>
        <v>0</v>
      </c>
      <c r="E334" s="79">
        <f>VLOOKUP(A334,'CHK Técnico-.NET'!$A$18:$I$81,6,FALSE)</f>
        <v>0</v>
      </c>
      <c r="F334" s="80">
        <f>VLOOKUP(A334,'CHK Técnico-.NET'!$A$18:$I$81,5,FALSE)</f>
        <v>0</v>
      </c>
      <c r="G334" s="80" t="s">
        <v>66</v>
      </c>
    </row>
    <row r="335" spans="1:7" ht="51">
      <c r="A335" s="76">
        <f t="shared" si="8"/>
        <v>327</v>
      </c>
      <c r="B335" s="77" t="str">
        <f>VLOOKUP(A335,'CHK Técnico-.NET'!$A$18:$I$81,4,FALSE)</f>
        <v>Documentación</v>
      </c>
      <c r="C335" s="77" t="str">
        <f>VLOOKUP(A335,'CHK Técnico-.NET'!$A$18:$I$88,3,FALSE)</f>
        <v>Incluye sección de objetos para PC/Cliente O ZIP O componente(s) para el pase automático</v>
      </c>
      <c r="D335" s="78" t="str">
        <f>VLOOKUP(A335,'CHK Técnico-.NET'!$A$18:$I$81,9,FALSE)</f>
        <v xml:space="preserve">  </v>
      </c>
      <c r="E335" s="79">
        <f>VLOOKUP(A335,'CHK Técnico-.NET'!$A$18:$I$81,6,FALSE)</f>
        <v>0</v>
      </c>
      <c r="F335" s="80">
        <f>VLOOKUP(A335,'CHK Técnico-.NET'!$A$18:$I$81,5,FALSE)</f>
        <v>0</v>
      </c>
      <c r="G335" s="80" t="s">
        <v>66</v>
      </c>
    </row>
    <row r="336" spans="1:7" ht="38.25">
      <c r="A336" s="76">
        <f t="shared" si="8"/>
        <v>328</v>
      </c>
      <c r="B336" s="77" t="str">
        <f>VLOOKUP(A336,'CHK Técnico-.NET'!$A$18:$I$81,4,FALSE)</f>
        <v>Documentación</v>
      </c>
      <c r="C336" s="77" t="str">
        <f>VLOOKUP(A336,'CHK Técnico-.NET'!$A$18:$I$88,3,FALSE)</f>
        <v>Las instrucciones permiten realizar el pase a Testing y a Producción</v>
      </c>
      <c r="D336" s="78" t="str">
        <f>VLOOKUP(A336,'CHK Técnico-.NET'!$A$18:$I$81,9,FALSE)</f>
        <v xml:space="preserve">  </v>
      </c>
      <c r="E336" s="79">
        <f>VLOOKUP(A336,'CHK Técnico-.NET'!$A$18:$I$81,6,FALSE)</f>
        <v>0</v>
      </c>
      <c r="F336" s="80">
        <f>VLOOKUP(A336,'CHK Técnico-.NET'!$A$18:$I$81,5,FALSE)</f>
        <v>0</v>
      </c>
      <c r="G336" s="80" t="s">
        <v>66</v>
      </c>
    </row>
    <row r="337" spans="1:7" ht="51">
      <c r="A337" s="76">
        <f t="shared" si="8"/>
        <v>329</v>
      </c>
      <c r="B337" s="77" t="str">
        <f>VLOOKUP(A337,'CHK Técnico-.NET'!$A$18:$I$81,4,FALSE)</f>
        <v>Homologación/Versionamiento</v>
      </c>
      <c r="C337" s="77" t="str">
        <f>VLOOKUP(A337,'CHK Técnico-.NET'!$A$18:$I$88,3,FALSE)</f>
        <v>¿La cantidad de objetos indicados en PR corresponde a los subidos en el Harvest?</v>
      </c>
      <c r="D337" s="78" t="str">
        <f>VLOOKUP(A337,'CHK Técnico-.NET'!$A$18:$I$81,9,FALSE)</f>
        <v xml:space="preserve">  </v>
      </c>
      <c r="E337" s="79">
        <f>VLOOKUP(A337,'CHK Técnico-.NET'!$A$18:$I$81,6,FALSE)</f>
        <v>0</v>
      </c>
      <c r="F337" s="80">
        <f>VLOOKUP(A337,'CHK Técnico-.NET'!$A$18:$I$81,5,FALSE)</f>
        <v>0</v>
      </c>
      <c r="G337" s="80" t="s">
        <v>66</v>
      </c>
    </row>
    <row r="338" spans="1:7" ht="38.25">
      <c r="A338" s="76">
        <f t="shared" si="8"/>
        <v>330</v>
      </c>
      <c r="B338" s="77" t="str">
        <f>VLOOKUP(A338,'CHK Técnico-.NET'!$A$18:$I$81,4,FALSE)</f>
        <v>Homologación/Versionamiento</v>
      </c>
      <c r="C338" s="77" t="str">
        <f>VLOOKUP(A338,'CHK Técnico-.NET'!$A$18:$I$88,3,FALSE)</f>
        <v>¿Las rutas indicadas para los objetos corresponde a la ruta del Harvest?</v>
      </c>
      <c r="D338" s="78" t="str">
        <f>VLOOKUP(A338,'CHK Técnico-.NET'!$A$18:$I$81,9,FALSE)</f>
        <v xml:space="preserve">  </v>
      </c>
      <c r="E338" s="79">
        <f>VLOOKUP(A338,'CHK Técnico-.NET'!$A$18:$I$81,6,FALSE)</f>
        <v>0</v>
      </c>
      <c r="F338" s="80">
        <f>VLOOKUP(A338,'CHK Técnico-.NET'!$A$18:$I$81,5,FALSE)</f>
        <v>0</v>
      </c>
      <c r="G338" s="80" t="s">
        <v>66</v>
      </c>
    </row>
    <row r="339" spans="1:7">
      <c r="A339" s="76">
        <f t="shared" si="8"/>
        <v>331</v>
      </c>
      <c r="B339" s="77">
        <f>VLOOKUP(A339,'CHK Técnico-.NET'!$A$18:$I$81,4,FALSE)</f>
        <v>0</v>
      </c>
      <c r="C339" s="77">
        <f>VLOOKUP(A339,'CHK Técnico-.NET'!$A$18:$I$88,3,FALSE)</f>
        <v>0</v>
      </c>
      <c r="D339" s="78">
        <f>VLOOKUP(A339,'CHK Técnico-.NET'!$A$18:$I$81,9,FALSE)</f>
        <v>0</v>
      </c>
      <c r="E339" s="79">
        <f>VLOOKUP(A339,'CHK Técnico-.NET'!$A$18:$I$81,6,FALSE)</f>
        <v>0</v>
      </c>
      <c r="F339" s="80">
        <f>VLOOKUP(A339,'CHK Técnico-.NET'!$A$18:$I$81,5,FALSE)</f>
        <v>0</v>
      </c>
      <c r="G339" s="80" t="s">
        <v>66</v>
      </c>
    </row>
    <row r="340" spans="1:7" ht="38.25">
      <c r="A340" s="76">
        <f t="shared" si="8"/>
        <v>332</v>
      </c>
      <c r="B340" s="77" t="str">
        <f>VLOOKUP(A340,'CHK Técnico-.NET'!$A$18:$I$81,4,FALSE)</f>
        <v xml:space="preserve">Estandarización </v>
      </c>
      <c r="C340" s="77" t="str">
        <f>VLOOKUP(A340,'CHK Técnico-.NET'!$A$18:$I$88,3,FALSE)</f>
        <v>Nombres de variables nemotécnico y con prefijos según tipo de dato</v>
      </c>
      <c r="D340" s="78" t="str">
        <f>VLOOKUP(A340,'CHK Técnico-.NET'!$A$18:$I$81,9,FALSE)</f>
        <v xml:space="preserve">  </v>
      </c>
      <c r="E340" s="79">
        <f>VLOOKUP(A340,'CHK Técnico-.NET'!$A$18:$I$81,6,FALSE)</f>
        <v>0</v>
      </c>
      <c r="F340" s="80">
        <f>VLOOKUP(A340,'CHK Técnico-.NET'!$A$18:$I$81,5,FALSE)</f>
        <v>0</v>
      </c>
      <c r="G340" s="80" t="s">
        <v>66</v>
      </c>
    </row>
    <row r="341" spans="1:7" ht="25.5">
      <c r="A341" s="76">
        <f t="shared" si="8"/>
        <v>333</v>
      </c>
      <c r="B341" s="77" t="str">
        <f>VLOOKUP(A341,'CHK Técnico-.NET'!$A$18:$I$81,4,FALSE)</f>
        <v xml:space="preserve">Estandarización </v>
      </c>
      <c r="C341" s="77" t="str">
        <f>VLOOKUP(A341,'CHK Técnico-.NET'!$A$18:$I$88,3,FALSE)</f>
        <v>Nombres de constantes en Mayúsculas</v>
      </c>
      <c r="D341" s="78" t="str">
        <f>VLOOKUP(A341,'CHK Técnico-.NET'!$A$18:$I$81,9,FALSE)</f>
        <v xml:space="preserve">  </v>
      </c>
      <c r="E341" s="79">
        <f>VLOOKUP(A341,'CHK Técnico-.NET'!$A$18:$I$81,6,FALSE)</f>
        <v>0</v>
      </c>
      <c r="F341" s="80">
        <f>VLOOKUP(A341,'CHK Técnico-.NET'!$A$18:$I$81,5,FALSE)</f>
        <v>0</v>
      </c>
      <c r="G341" s="80" t="s">
        <v>66</v>
      </c>
    </row>
    <row r="342" spans="1:7" ht="25.5">
      <c r="A342" s="76">
        <f t="shared" si="8"/>
        <v>334</v>
      </c>
      <c r="B342" s="77" t="str">
        <f>VLOOKUP(A342,'CHK Técnico-.NET'!$A$18:$I$81,4,FALSE)</f>
        <v xml:space="preserve">Estandarización </v>
      </c>
      <c r="C342" s="77" t="str">
        <f>VLOOKUP(A342,'CHK Técnico-.NET'!$A$18:$I$88,3,FALSE)</f>
        <v>Nombres de clases según estándar (ej: NombreClase)</v>
      </c>
      <c r="D342" s="78" t="str">
        <f>VLOOKUP(A342,'CHK Técnico-.NET'!$A$18:$I$81,9,FALSE)</f>
        <v xml:space="preserve">  </v>
      </c>
      <c r="E342" s="79">
        <f>VLOOKUP(A342,'CHK Técnico-.NET'!$A$18:$I$81,6,FALSE)</f>
        <v>0</v>
      </c>
      <c r="F342" s="80">
        <f>VLOOKUP(A342,'CHK Técnico-.NET'!$A$18:$I$81,5,FALSE)</f>
        <v>0</v>
      </c>
      <c r="G342" s="80" t="s">
        <v>66</v>
      </c>
    </row>
    <row r="343" spans="1:7" ht="38.25">
      <c r="A343" s="76">
        <f t="shared" si="8"/>
        <v>335</v>
      </c>
      <c r="B343" s="77" t="str">
        <f>VLOOKUP(A343,'CHK Técnico-.NET'!$A$18:$I$81,4,FALSE)</f>
        <v xml:space="preserve">Estandarización </v>
      </c>
      <c r="C343" s="77" t="str">
        <f>VLOOKUP(A343,'CHK Técnico-.NET'!$A$18:$I$88,3,FALSE)</f>
        <v>Nombres de métodos según estándar (ej: GenerarReporte)</v>
      </c>
      <c r="D343" s="78" t="str">
        <f>VLOOKUP(A343,'CHK Técnico-.NET'!$A$18:$I$81,9,FALSE)</f>
        <v xml:space="preserve">  </v>
      </c>
      <c r="E343" s="79">
        <f>VLOOKUP(A343,'CHK Técnico-.NET'!$A$18:$I$81,6,FALSE)</f>
        <v>0</v>
      </c>
      <c r="F343" s="80">
        <f>VLOOKUP(A343,'CHK Técnico-.NET'!$A$18:$I$81,5,FALSE)</f>
        <v>0</v>
      </c>
      <c r="G343" s="80" t="s">
        <v>66</v>
      </c>
    </row>
    <row r="344" spans="1:7" ht="51">
      <c r="A344" s="76">
        <f t="shared" si="8"/>
        <v>336</v>
      </c>
      <c r="B344" s="77" t="str">
        <f>VLOOKUP(A344,'CHK Técnico-.NET'!$A$18:$I$81,4,FALSE)</f>
        <v xml:space="preserve">Estandarización </v>
      </c>
      <c r="C344" s="77" t="str">
        <f>VLOOKUP(A344,'CHK Técnico-.NET'!$A$18:$I$88,3,FALSE)</f>
        <v>Nombre de paquete con forma estándar (ej: aplicación.proyecto.capa.funcionalidad)</v>
      </c>
      <c r="D344" s="78" t="str">
        <f>VLOOKUP(A344,'CHK Técnico-.NET'!$A$18:$I$81,9,FALSE)</f>
        <v xml:space="preserve">  </v>
      </c>
      <c r="E344" s="79">
        <f>VLOOKUP(A344,'CHK Técnico-.NET'!$A$18:$I$81,6,FALSE)</f>
        <v>0</v>
      </c>
      <c r="F344" s="80">
        <f>VLOOKUP(A344,'CHK Técnico-.NET'!$A$18:$I$81,5,FALSE)</f>
        <v>0</v>
      </c>
      <c r="G344" s="80" t="s">
        <v>66</v>
      </c>
    </row>
    <row r="345" spans="1:7" ht="76.5">
      <c r="A345" s="76">
        <f t="shared" si="8"/>
        <v>337</v>
      </c>
      <c r="B345" s="77" t="str">
        <f>VLOOKUP(A345,'CHK Técnico-.NET'!$A$18:$I$81,4,FALSE)</f>
        <v xml:space="preserve">Estandarización </v>
      </c>
      <c r="C345" s="77" t="str">
        <f>VLOOKUP(A345,'CHK Técnico-.NET'!$A$18:$I$88,3,FALSE)</f>
        <v>Metodos, Propiedades, Eventos, Excepciones utilizar capitalización Pascal.(Ejm: RemoveAll(),MouseEventHandler(),BaseException())</v>
      </c>
      <c r="D345" s="78" t="str">
        <f>VLOOKUP(A345,'CHK Técnico-.NET'!$A$18:$I$81,9,FALSE)</f>
        <v xml:space="preserve">  </v>
      </c>
      <c r="E345" s="79">
        <f>VLOOKUP(A345,'CHK Técnico-.NET'!$A$18:$I$81,6,FALSE)</f>
        <v>0</v>
      </c>
      <c r="F345" s="80">
        <f>VLOOKUP(A345,'CHK Técnico-.NET'!$A$18:$I$81,5,FALSE)</f>
        <v>0</v>
      </c>
      <c r="G345" s="80" t="s">
        <v>66</v>
      </c>
    </row>
    <row r="346" spans="1:7">
      <c r="A346" s="76">
        <f t="shared" si="8"/>
        <v>338</v>
      </c>
      <c r="B346" s="77">
        <f>VLOOKUP(A346,'CHK Técnico-.NET'!$A$18:$I$81,4,FALSE)</f>
        <v>0</v>
      </c>
      <c r="C346" s="77">
        <f>VLOOKUP(A346,'CHK Técnico-.NET'!$A$18:$I$88,3,FALSE)</f>
        <v>0</v>
      </c>
      <c r="D346" s="78">
        <f>VLOOKUP(A346,'CHK Técnico-.NET'!$A$18:$I$81,9,FALSE)</f>
        <v>0</v>
      </c>
      <c r="E346" s="79">
        <f>VLOOKUP(A346,'CHK Técnico-.NET'!$A$18:$I$81,6,FALSE)</f>
        <v>0</v>
      </c>
      <c r="F346" s="80">
        <f>VLOOKUP(A346,'CHK Técnico-.NET'!$A$18:$I$81,5,FALSE)</f>
        <v>0</v>
      </c>
      <c r="G346" s="80" t="s">
        <v>66</v>
      </c>
    </row>
    <row r="347" spans="1:7" ht="25.5">
      <c r="A347" s="76">
        <f t="shared" si="8"/>
        <v>339</v>
      </c>
      <c r="B347" s="77" t="str">
        <f>VLOOKUP(A347,'CHK Técnico-.NET'!$A$18:$I$81,4,FALSE)</f>
        <v xml:space="preserve">Estandarización </v>
      </c>
      <c r="C347" s="77" t="str">
        <f>VLOOKUP(A347,'CHK Técnico-.NET'!$A$18:$I$88,3,FALSE)</f>
        <v>Se declara cada variable en su propia línea</v>
      </c>
      <c r="D347" s="78" t="str">
        <f>VLOOKUP(A347,'CHK Técnico-.NET'!$A$18:$I$81,9,FALSE)</f>
        <v xml:space="preserve">  </v>
      </c>
      <c r="E347" s="79">
        <f>VLOOKUP(A347,'CHK Técnico-.NET'!$A$18:$I$81,6,FALSE)</f>
        <v>0</v>
      </c>
      <c r="F347" s="80">
        <f>VLOOKUP(A347,'CHK Técnico-.NET'!$A$18:$I$81,5,FALSE)</f>
        <v>0</v>
      </c>
      <c r="G347" s="80" t="s">
        <v>66</v>
      </c>
    </row>
    <row r="348" spans="1:7" ht="38.25">
      <c r="A348" s="76">
        <f t="shared" si="8"/>
        <v>340</v>
      </c>
      <c r="B348" s="77" t="str">
        <f>VLOOKUP(A348,'CHK Técnico-.NET'!$A$18:$I$81,4,FALSE)</f>
        <v xml:space="preserve">Estandarización </v>
      </c>
      <c r="C348" s="77" t="str">
        <f>VLOOKUP(A348,'CHK Técnico-.NET'!$A$18:$I$88,3,FALSE)</f>
        <v>Se evita la coma para declaraciones o instrucciones múltiples</v>
      </c>
      <c r="D348" s="78" t="str">
        <f>VLOOKUP(A348,'CHK Técnico-.NET'!$A$18:$I$81,9,FALSE)</f>
        <v xml:space="preserve">  </v>
      </c>
      <c r="E348" s="79">
        <f>VLOOKUP(A348,'CHK Técnico-.NET'!$A$18:$I$81,6,FALSE)</f>
        <v>0</v>
      </c>
      <c r="F348" s="80">
        <f>VLOOKUP(A348,'CHK Técnico-.NET'!$A$18:$I$81,5,FALSE)</f>
        <v>0</v>
      </c>
      <c r="G348" s="80" t="s">
        <v>66</v>
      </c>
    </row>
    <row r="349" spans="1:7" ht="25.5">
      <c r="A349" s="76">
        <f t="shared" si="8"/>
        <v>341</v>
      </c>
      <c r="B349" s="77" t="str">
        <f>VLOOKUP(A349,'CHK Técnico-.NET'!$A$18:$I$81,4,FALSE)</f>
        <v xml:space="preserve">Estandarización </v>
      </c>
      <c r="C349" s="77" t="str">
        <f>VLOOKUP(A349,'CHK Técnico-.NET'!$A$18:$I$88,3,FALSE)</f>
        <v>Los IF tienen la forma estándar</v>
      </c>
      <c r="D349" s="78" t="str">
        <f>VLOOKUP(A349,'CHK Técnico-.NET'!$A$18:$I$81,9,FALSE)</f>
        <v xml:space="preserve">  </v>
      </c>
      <c r="E349" s="79">
        <f>VLOOKUP(A349,'CHK Técnico-.NET'!$A$18:$I$81,6,FALSE)</f>
        <v>0</v>
      </c>
      <c r="F349" s="80">
        <f>VLOOKUP(A349,'CHK Técnico-.NET'!$A$18:$I$81,5,FALSE)</f>
        <v>0</v>
      </c>
      <c r="G349" s="80" t="s">
        <v>66</v>
      </c>
    </row>
    <row r="350" spans="1:7" ht="38.25">
      <c r="A350" s="76">
        <f t="shared" si="8"/>
        <v>342</v>
      </c>
      <c r="B350" s="77" t="str">
        <f>VLOOKUP(A350,'CHK Técnico-.NET'!$A$18:$I$81,4,FALSE)</f>
        <v xml:space="preserve">Estandarización </v>
      </c>
      <c r="C350" s="77" t="str">
        <f>VLOOKUP(A350,'CHK Técnico-.NET'!$A$18:$I$88,3,FALSE)</f>
        <v>Las sentencias FOR, WHILE y SWITCH tienen la forma estándar</v>
      </c>
      <c r="D350" s="78" t="str">
        <f>VLOOKUP(A350,'CHK Técnico-.NET'!$A$18:$I$81,9,FALSE)</f>
        <v xml:space="preserve">  </v>
      </c>
      <c r="E350" s="79">
        <f>VLOOKUP(A350,'CHK Técnico-.NET'!$A$18:$I$81,6,FALSE)</f>
        <v>0</v>
      </c>
      <c r="F350" s="80">
        <f>VLOOKUP(A350,'CHK Técnico-.NET'!$A$18:$I$81,5,FALSE)</f>
        <v>0</v>
      </c>
      <c r="G350" s="80" t="s">
        <v>66</v>
      </c>
    </row>
    <row r="351" spans="1:7" ht="38.25">
      <c r="A351" s="76">
        <f t="shared" si="8"/>
        <v>343</v>
      </c>
      <c r="B351" s="77" t="str">
        <f>VLOOKUP(A351,'CHK Técnico-.NET'!$A$18:$I$81,4,FALSE)</f>
        <v xml:space="preserve">Estandarización </v>
      </c>
      <c r="C351" s="77" t="str">
        <f>VLOOKUP(A351,'CHK Técnico-.NET'!$A$18:$I$88,3,FALSE)</f>
        <v>Se usa sentencia finally en statements que manejan conexión a BD</v>
      </c>
      <c r="D351" s="78" t="str">
        <f>VLOOKUP(A351,'CHK Técnico-.NET'!$A$18:$I$81,9,FALSE)</f>
        <v xml:space="preserve">  </v>
      </c>
      <c r="E351" s="79">
        <f>VLOOKUP(A351,'CHK Técnico-.NET'!$A$18:$I$81,6,FALSE)</f>
        <v>0</v>
      </c>
      <c r="F351" s="80">
        <f>VLOOKUP(A351,'CHK Técnico-.NET'!$A$18:$I$81,5,FALSE)</f>
        <v>0</v>
      </c>
      <c r="G351" s="80" t="s">
        <v>66</v>
      </c>
    </row>
    <row r="352" spans="1:7" ht="38.25">
      <c r="A352" s="76">
        <f t="shared" si="8"/>
        <v>344</v>
      </c>
      <c r="B352" s="77" t="str">
        <f>VLOOKUP(A352,'CHK Técnico-.NET'!$A$18:$I$81,4,FALSE)</f>
        <v xml:space="preserve">Estandarización </v>
      </c>
      <c r="C352" s="77" t="str">
        <f>VLOOKUP(A352,'CHK Técnico-.NET'!$A$18:$I$88,3,FALSE)</f>
        <v>Se ha documentado en la parte superior el cambio según el formato estándar</v>
      </c>
      <c r="D352" s="78" t="str">
        <f>VLOOKUP(A352,'CHK Técnico-.NET'!$A$18:$I$81,9,FALSE)</f>
        <v xml:space="preserve">  </v>
      </c>
      <c r="E352" s="79">
        <f>VLOOKUP(A352,'CHK Técnico-.NET'!$A$18:$I$81,6,FALSE)</f>
        <v>0</v>
      </c>
      <c r="F352" s="80">
        <f>VLOOKUP(A352,'CHK Técnico-.NET'!$A$18:$I$81,5,FALSE)</f>
        <v>0</v>
      </c>
      <c r="G352" s="80" t="s">
        <v>66</v>
      </c>
    </row>
    <row r="353" spans="1:7" ht="63.75">
      <c r="A353" s="76">
        <f t="shared" si="8"/>
        <v>345</v>
      </c>
      <c r="B353" s="77" t="str">
        <f>VLOOKUP(A353,'CHK Técnico-.NET'!$A$18:$I$81,4,FALSE)</f>
        <v xml:space="preserve">Estandarización </v>
      </c>
      <c r="C353" s="77" t="str">
        <f>VLOOKUP(A353,'CHK Técnico-.NET'!$A$18:$I$88,3,FALSE)</f>
        <v>Las nuevas clases, métodos y atributos se encuentran documentadas con comentarios XML autogenerados</v>
      </c>
      <c r="D353" s="78" t="str">
        <f>VLOOKUP(A353,'CHK Técnico-.NET'!$A$18:$I$81,9,FALSE)</f>
        <v xml:space="preserve">  </v>
      </c>
      <c r="E353" s="79">
        <f>VLOOKUP(A353,'CHK Técnico-.NET'!$A$18:$I$81,6,FALSE)</f>
        <v>0</v>
      </c>
      <c r="F353" s="80">
        <f>VLOOKUP(A353,'CHK Técnico-.NET'!$A$18:$I$81,5,FALSE)</f>
        <v>0</v>
      </c>
      <c r="G353" s="80" t="s">
        <v>66</v>
      </c>
    </row>
    <row r="354" spans="1:7" ht="51">
      <c r="A354" s="76">
        <f t="shared" si="8"/>
        <v>346</v>
      </c>
      <c r="B354" s="77" t="str">
        <f>VLOOKUP(A354,'CHK Técnico-.NET'!$A$18:$I$81,4,FALSE)</f>
        <v xml:space="preserve">Estandarización </v>
      </c>
      <c r="C354" s="77" t="str">
        <f>VLOOKUP(A354,'CHK Técnico-.NET'!$A$18:$I$88,3,FALSE)</f>
        <v>Se incluyen bloques de comentarios para lógica compleja o Bloques de instrucciones</v>
      </c>
      <c r="D354" s="78" t="str">
        <f>VLOOKUP(A354,'CHK Técnico-.NET'!$A$18:$I$81,9,FALSE)</f>
        <v xml:space="preserve">  </v>
      </c>
      <c r="E354" s="79">
        <f>VLOOKUP(A354,'CHK Técnico-.NET'!$A$18:$I$81,6,FALSE)</f>
        <v>0</v>
      </c>
      <c r="F354" s="80">
        <f>VLOOKUP(A354,'CHK Técnico-.NET'!$A$18:$I$81,5,FALSE)</f>
        <v>0</v>
      </c>
      <c r="G354" s="80" t="s">
        <v>66</v>
      </c>
    </row>
    <row r="355" spans="1:7" ht="38.25">
      <c r="A355" s="76">
        <f t="shared" si="8"/>
        <v>347</v>
      </c>
      <c r="B355" s="77" t="str">
        <f>VLOOKUP(A355,'CHK Técnico-.NET'!$A$18:$I$81,4,FALSE)</f>
        <v xml:space="preserve">Estandarización </v>
      </c>
      <c r="C355" s="77" t="str">
        <f>VLOOKUP(A355,'CHK Técnico-.NET'!$A$18:$I$88,3,FALSE)</f>
        <v>Se usa el tipo decimal para información de montos monetarios</v>
      </c>
      <c r="D355" s="78" t="str">
        <f>VLOOKUP(A355,'CHK Técnico-.NET'!$A$18:$I$81,9,FALSE)</f>
        <v xml:space="preserve">  </v>
      </c>
      <c r="E355" s="79">
        <f>VLOOKUP(A355,'CHK Técnico-.NET'!$A$18:$I$81,6,FALSE)</f>
        <v>0</v>
      </c>
      <c r="F355" s="80">
        <f>VLOOKUP(A355,'CHK Técnico-.NET'!$A$18:$I$81,5,FALSE)</f>
        <v>0</v>
      </c>
      <c r="G355" s="80" t="s">
        <v>66</v>
      </c>
    </row>
    <row r="356" spans="1:7" ht="25.5">
      <c r="A356" s="76">
        <f t="shared" si="8"/>
        <v>348</v>
      </c>
      <c r="B356" s="77" t="str">
        <f>VLOOKUP(A356,'CHK Técnico-.NET'!$A$18:$I$81,4,FALSE)</f>
        <v xml:space="preserve">Estandarización </v>
      </c>
      <c r="C356" s="77" t="str">
        <f>VLOOKUP(A356,'CHK Técnico-.NET'!$A$18:$I$88,3,FALSE)</f>
        <v>Se usa el clase DateTime para fechas</v>
      </c>
      <c r="D356" s="78" t="str">
        <f>VLOOKUP(A356,'CHK Técnico-.NET'!$A$18:$I$81,9,FALSE)</f>
        <v xml:space="preserve">  </v>
      </c>
      <c r="E356" s="79">
        <f>VLOOKUP(A356,'CHK Técnico-.NET'!$A$18:$I$81,6,FALSE)</f>
        <v>0</v>
      </c>
      <c r="F356" s="80">
        <f>VLOOKUP(A356,'CHK Técnico-.NET'!$A$18:$I$81,5,FALSE)</f>
        <v>0</v>
      </c>
      <c r="G356" s="80" t="s">
        <v>66</v>
      </c>
    </row>
    <row r="357" spans="1:7" ht="51">
      <c r="A357" s="76">
        <f t="shared" si="8"/>
        <v>349</v>
      </c>
      <c r="B357" s="77" t="str">
        <f>VLOOKUP(A357,'CHK Técnico-.NET'!$A$18:$I$81,4,FALSE)</f>
        <v xml:space="preserve">Estandarización </v>
      </c>
      <c r="C357" s="77" t="str">
        <f>VLOOKUP(A357,'CHK Técnico-.NET'!$A$18:$I$88,3,FALSE)</f>
        <v>Legibilidad de código (Formateo, Identación, Salto de línea, espaciado, declaración de clases.)</v>
      </c>
      <c r="D357" s="78" t="str">
        <f>VLOOKUP(A357,'CHK Técnico-.NET'!$A$18:$I$81,9,FALSE)</f>
        <v xml:space="preserve">  </v>
      </c>
      <c r="E357" s="79">
        <f>VLOOKUP(A357,'CHK Técnico-.NET'!$A$18:$I$81,6,FALSE)</f>
        <v>0</v>
      </c>
      <c r="F357" s="80">
        <f>VLOOKUP(A357,'CHK Técnico-.NET'!$A$18:$I$81,5,FALSE)</f>
        <v>0</v>
      </c>
      <c r="G357" s="80" t="s">
        <v>66</v>
      </c>
    </row>
    <row r="358" spans="1:7" ht="63.75">
      <c r="A358" s="76">
        <f t="shared" si="8"/>
        <v>350</v>
      </c>
      <c r="B358" s="77" t="str">
        <f>VLOOKUP(A358,'CHK Técnico-.NET'!$A$18:$I$81,4,FALSE)</f>
        <v xml:space="preserve">Estandarización </v>
      </c>
      <c r="C358" s="77" t="str">
        <f>VLOOKUP(A358,'CHK Técnico-.NET'!$A$18:$I$88,3,FALSE)</f>
        <v>Reglas de conversión de tipos.(No permitir conversiones implícitas de conversión ejem: Double a Int32)</v>
      </c>
      <c r="D358" s="78" t="str">
        <f>VLOOKUP(A358,'CHK Técnico-.NET'!$A$18:$I$81,9,FALSE)</f>
        <v xml:space="preserve">  </v>
      </c>
      <c r="E358" s="79">
        <f>VLOOKUP(A358,'CHK Técnico-.NET'!$A$18:$I$81,6,FALSE)</f>
        <v>0</v>
      </c>
      <c r="F358" s="80">
        <f>VLOOKUP(A358,'CHK Técnico-.NET'!$A$18:$I$81,5,FALSE)</f>
        <v>0</v>
      </c>
      <c r="G358" s="80" t="s">
        <v>66</v>
      </c>
    </row>
    <row r="359" spans="1:7" ht="51">
      <c r="A359" s="76">
        <f t="shared" si="8"/>
        <v>351</v>
      </c>
      <c r="B359" s="77" t="str">
        <f>VLOOKUP(A359,'CHK Técnico-.NET'!$A$18:$I$81,4,FALSE)</f>
        <v xml:space="preserve">Estandarización </v>
      </c>
      <c r="C359" s="77" t="str">
        <f>VLOOKUP(A359,'CHK Técnico-.NET'!$A$18:$I$88,3,FALSE)</f>
        <v>Apertura explicita de conexiones cuando se ejecuta el método DataAdapterFill</v>
      </c>
      <c r="D359" s="78" t="str">
        <f>VLOOKUP(A359,'CHK Técnico-.NET'!$A$18:$I$81,9,FALSE)</f>
        <v xml:space="preserve">  </v>
      </c>
      <c r="E359" s="79">
        <f>VLOOKUP(A359,'CHK Técnico-.NET'!$A$18:$I$81,6,FALSE)</f>
        <v>0</v>
      </c>
      <c r="F359" s="80">
        <f>VLOOKUP(A359,'CHK Técnico-.NET'!$A$18:$I$81,5,FALSE)</f>
        <v>0</v>
      </c>
      <c r="G359" s="80" t="s">
        <v>66</v>
      </c>
    </row>
    <row r="360" spans="1:7" ht="38.25">
      <c r="A360" s="76">
        <f t="shared" si="8"/>
        <v>352</v>
      </c>
      <c r="B360" s="77" t="str">
        <f>VLOOKUP(A360,'CHK Técnico-.NET'!$A$18:$I$81,4,FALSE)</f>
        <v xml:space="preserve">Estandarización </v>
      </c>
      <c r="C360" s="77" t="str">
        <f>VLOOKUP(A360,'CHK Técnico-.NET'!$A$18:$I$88,3,FALSE)</f>
        <v>Cierre explicito de conexiones (Close o Dispose)</v>
      </c>
      <c r="D360" s="78" t="str">
        <f>VLOOKUP(A360,'CHK Técnico-.NET'!$A$18:$I$81,9,FALSE)</f>
        <v xml:space="preserve">  </v>
      </c>
      <c r="E360" s="79">
        <f>VLOOKUP(A360,'CHK Técnico-.NET'!$A$18:$I$81,6,FALSE)</f>
        <v>0</v>
      </c>
      <c r="F360" s="80">
        <f>VLOOKUP(A360,'CHK Técnico-.NET'!$A$18:$I$81,5,FALSE)</f>
        <v>0</v>
      </c>
      <c r="G360" s="80" t="s">
        <v>66</v>
      </c>
    </row>
    <row r="361" spans="1:7">
      <c r="A361" s="76">
        <f t="shared" si="8"/>
        <v>353</v>
      </c>
      <c r="B361" s="77">
        <f>VLOOKUP(A361,'CHK Técnico-.NET'!$A$18:$I$81,4,FALSE)</f>
        <v>0</v>
      </c>
      <c r="C361" s="77">
        <f>VLOOKUP(A361,'CHK Técnico-.NET'!$A$18:$I$88,3,FALSE)</f>
        <v>0</v>
      </c>
      <c r="D361" s="78">
        <f>VLOOKUP(A361,'CHK Técnico-.NET'!$A$18:$I$81,9,FALSE)</f>
        <v>0</v>
      </c>
      <c r="E361" s="79">
        <f>VLOOKUP(A361,'CHK Técnico-.NET'!$A$18:$I$81,6,FALSE)</f>
        <v>0</v>
      </c>
      <c r="F361" s="80">
        <f>VLOOKUP(A361,'CHK Técnico-.NET'!$A$18:$I$81,5,FALSE)</f>
        <v>0</v>
      </c>
      <c r="G361" s="80" t="s">
        <v>66</v>
      </c>
    </row>
    <row r="362" spans="1:7" ht="38.25">
      <c r="A362" s="76">
        <f t="shared" si="8"/>
        <v>354</v>
      </c>
      <c r="B362" s="77" t="str">
        <f>VLOOKUP(A362,'CHK Técnico-.NET'!$A$18:$I$81,4,FALSE)</f>
        <v xml:space="preserve">Estandarización </v>
      </c>
      <c r="C362" s="77" t="str">
        <f>VLOOKUP(A362,'CHK Técnico-.NET'!$A$18:$I$88,3,FALSE)</f>
        <v>Se incluye cabecera de propósito del formulario, campos y salidas.</v>
      </c>
      <c r="D362" s="78" t="str">
        <f>VLOOKUP(A362,'CHK Técnico-.NET'!$A$18:$I$81,9,FALSE)</f>
        <v xml:space="preserve">  </v>
      </c>
      <c r="E362" s="79">
        <f>VLOOKUP(A362,'CHK Técnico-.NET'!$A$18:$I$81,6,FALSE)</f>
        <v>0</v>
      </c>
      <c r="F362" s="80">
        <f>VLOOKUP(A362,'CHK Técnico-.NET'!$A$18:$I$81,5,FALSE)</f>
        <v>0</v>
      </c>
      <c r="G362" s="80" t="s">
        <v>66</v>
      </c>
    </row>
    <row r="363" spans="1:7" ht="63.75">
      <c r="A363" s="76">
        <f t="shared" si="8"/>
        <v>355</v>
      </c>
      <c r="B363" s="77" t="str">
        <f>VLOOKUP(A363,'CHK Técnico-.NET'!$A$18:$I$81,4,FALSE)</f>
        <v xml:space="preserve">Estandarización </v>
      </c>
      <c r="C363" s="77" t="str">
        <f>VLOOKUP(A363,'CHK Técnico-.NET'!$A$18:$I$88,3,FALSE)</f>
        <v>En caso de nuevos desarrollos no existe codificación de reglas de negocio o de acceso a Base de datos</v>
      </c>
      <c r="D363" s="78" t="str">
        <f>VLOOKUP(A363,'CHK Técnico-.NET'!$A$18:$I$81,9,FALSE)</f>
        <v xml:space="preserve">  </v>
      </c>
      <c r="E363" s="79">
        <f>VLOOKUP(A363,'CHK Técnico-.NET'!$A$18:$I$81,6,FALSE)</f>
        <v>0</v>
      </c>
      <c r="F363" s="80">
        <f>VLOOKUP(A363,'CHK Técnico-.NET'!$A$18:$I$81,5,FALSE)</f>
        <v>0</v>
      </c>
      <c r="G363" s="80" t="s">
        <v>66</v>
      </c>
    </row>
    <row r="364" spans="1:7">
      <c r="A364" s="76">
        <f t="shared" si="8"/>
        <v>356</v>
      </c>
      <c r="B364" s="77">
        <f>VLOOKUP(A364,'CHK Técnico-.NET'!$A$18:$I$81,4,FALSE)</f>
        <v>0</v>
      </c>
      <c r="C364" s="77">
        <f>VLOOKUP(A364,'CHK Técnico-.NET'!$A$18:$I$88,3,FALSE)</f>
        <v>0</v>
      </c>
      <c r="D364" s="78">
        <f>VLOOKUP(A364,'CHK Técnico-.NET'!$A$18:$I$81,9,FALSE)</f>
        <v>0</v>
      </c>
      <c r="E364" s="79">
        <f>VLOOKUP(A364,'CHK Técnico-.NET'!$A$18:$I$81,6,FALSE)</f>
        <v>0</v>
      </c>
      <c r="F364" s="80">
        <f>VLOOKUP(A364,'CHK Técnico-.NET'!$A$18:$I$81,5,FALSE)</f>
        <v>0</v>
      </c>
      <c r="G364" s="80" t="s">
        <v>66</v>
      </c>
    </row>
    <row r="365" spans="1:7" ht="51">
      <c r="A365" s="76">
        <f t="shared" si="8"/>
        <v>357</v>
      </c>
      <c r="B365" s="77" t="str">
        <f>VLOOKUP(A365,'CHK Técnico-.NET'!$A$18:$I$81,4,FALSE)</f>
        <v>Estandarización</v>
      </c>
      <c r="C365" s="77" t="str">
        <f>VLOOKUP(A365,'CHK Técnico-.NET'!$A$18:$I$88,3,FALSE)</f>
        <v>Para grandes cambios o nuevas aplicaciones se ha realizado el checklist de seguridad</v>
      </c>
      <c r="D365" s="78" t="str">
        <f>VLOOKUP(A365,'CHK Técnico-.NET'!$A$18:$I$81,9,FALSE)</f>
        <v xml:space="preserve">  </v>
      </c>
      <c r="E365" s="79">
        <f>VLOOKUP(A365,'CHK Técnico-.NET'!$A$18:$I$81,6,FALSE)</f>
        <v>0</v>
      </c>
      <c r="F365" s="80">
        <f>VLOOKUP(A365,'CHK Técnico-.NET'!$A$18:$I$81,5,FALSE)</f>
        <v>0</v>
      </c>
      <c r="G365" s="80" t="s">
        <v>66</v>
      </c>
    </row>
    <row r="366" spans="1:7" ht="51">
      <c r="A366" s="76">
        <f t="shared" si="8"/>
        <v>358</v>
      </c>
      <c r="B366" s="77" t="str">
        <f>VLOOKUP(A366,'CHK Técnico-.NET'!$A$18:$I$81,4,FALSE)</f>
        <v>Estandarización</v>
      </c>
      <c r="C366" s="77" t="str">
        <f>VLOOKUP(A366,'CHK Técnico-.NET'!$A$18:$I$88,3,FALSE)</f>
        <v>Validación de campos inputs y outputs en forms: tipo de datos, longitud, obligatoriedad</v>
      </c>
      <c r="D366" s="78" t="str">
        <f>VLOOKUP(A366,'CHK Técnico-.NET'!$A$18:$I$81,9,FALSE)</f>
        <v xml:space="preserve">  </v>
      </c>
      <c r="E366" s="79">
        <f>VLOOKUP(A366,'CHK Técnico-.NET'!$A$18:$I$81,6,FALSE)</f>
        <v>0</v>
      </c>
      <c r="F366" s="80">
        <f>VLOOKUP(A366,'CHK Técnico-.NET'!$A$18:$I$81,5,FALSE)</f>
        <v>0</v>
      </c>
      <c r="G366" s="80" t="s">
        <v>66</v>
      </c>
    </row>
    <row r="367" spans="1:7" ht="51">
      <c r="A367" s="76">
        <f t="shared" si="8"/>
        <v>359</v>
      </c>
      <c r="B367" s="77" t="str">
        <f>VLOOKUP(A367,'CHK Técnico-.NET'!$A$18:$I$81,4,FALSE)</f>
        <v>Estandarización</v>
      </c>
      <c r="C367" s="77" t="str">
        <f>VLOOKUP(A367,'CHK Técnico-.NET'!$A$18:$I$88,3,FALSE)</f>
        <v>Para accesos a aplicaciones internas, se valida acceso con rutina general usando LDAP</v>
      </c>
      <c r="D367" s="78" t="str">
        <f>VLOOKUP(A367,'CHK Técnico-.NET'!$A$18:$I$81,9,FALSE)</f>
        <v xml:space="preserve">  </v>
      </c>
      <c r="E367" s="79">
        <f>VLOOKUP(A367,'CHK Técnico-.NET'!$A$18:$I$81,6,FALSE)</f>
        <v>0</v>
      </c>
      <c r="F367" s="80">
        <f>VLOOKUP(A367,'CHK Técnico-.NET'!$A$18:$I$81,5,FALSE)</f>
        <v>0</v>
      </c>
      <c r="G367" s="80" t="s">
        <v>66</v>
      </c>
    </row>
    <row r="368" spans="1:7" ht="25.5">
      <c r="A368" s="76">
        <f t="shared" si="8"/>
        <v>360</v>
      </c>
      <c r="B368" s="77" t="str">
        <f>VLOOKUP(A368,'CHK Técnico-.NET'!$A$18:$I$81,4,FALSE)</f>
        <v>Estandarización</v>
      </c>
      <c r="C368" s="77" t="str">
        <f>VLOOKUP(A368,'CHK Técnico-.NET'!$A$18:$I$88,3,FALSE)</f>
        <v>Los passwords son manejados con encriptación</v>
      </c>
      <c r="D368" s="78" t="str">
        <f>VLOOKUP(A368,'CHK Técnico-.NET'!$A$18:$I$81,9,FALSE)</f>
        <v xml:space="preserve">  </v>
      </c>
      <c r="E368" s="79">
        <f>VLOOKUP(A368,'CHK Técnico-.NET'!$A$18:$I$81,6,FALSE)</f>
        <v>0</v>
      </c>
      <c r="F368" s="80">
        <f>VLOOKUP(A368,'CHK Técnico-.NET'!$A$18:$I$81,5,FALSE)</f>
        <v>0</v>
      </c>
      <c r="G368" s="80" t="s">
        <v>66</v>
      </c>
    </row>
    <row r="369" spans="1:7" ht="38.25">
      <c r="A369" s="76">
        <f t="shared" si="8"/>
        <v>361</v>
      </c>
      <c r="B369" s="77" t="str">
        <f>VLOOKUP(A369,'CHK Técnico-.NET'!$A$18:$I$81,4,FALSE)</f>
        <v>Estandarización</v>
      </c>
      <c r="C369" s="77" t="str">
        <f>VLOOKUP(A369,'CHK Técnico-.NET'!$A$18:$I$88,3,FALSE)</f>
        <v>La aplicación corre con los privilegios mínimos que requiere para su ejecución</v>
      </c>
      <c r="D369" s="78" t="str">
        <f>VLOOKUP(A369,'CHK Técnico-.NET'!$A$18:$I$81,9,FALSE)</f>
        <v xml:space="preserve">  </v>
      </c>
      <c r="E369" s="79">
        <f>VLOOKUP(A369,'CHK Técnico-.NET'!$A$18:$I$81,6,FALSE)</f>
        <v>0</v>
      </c>
      <c r="F369" s="80">
        <f>VLOOKUP(A369,'CHK Técnico-.NET'!$A$18:$I$81,5,FALSE)</f>
        <v>0</v>
      </c>
      <c r="G369" s="80" t="s">
        <v>66</v>
      </c>
    </row>
    <row r="370" spans="1:7">
      <c r="A370" s="76">
        <f t="shared" si="8"/>
        <v>362</v>
      </c>
      <c r="B370" s="77">
        <f>VLOOKUP(A370,'CHK Técnico-.NET'!$A$18:$I$81,4,FALSE)</f>
        <v>0</v>
      </c>
      <c r="C370" s="77">
        <f>VLOOKUP(A370,'CHK Técnico-.NET'!$A$18:$I$88,3,FALSE)</f>
        <v>0</v>
      </c>
      <c r="D370" s="78">
        <f>VLOOKUP(A370,'CHK Técnico-.NET'!$A$18:$I$81,9,FALSE)</f>
        <v>0</v>
      </c>
      <c r="E370" s="79">
        <f>VLOOKUP(A370,'CHK Técnico-.NET'!$A$18:$I$81,6,FALSE)</f>
        <v>0</v>
      </c>
      <c r="F370" s="80">
        <f>VLOOKUP(A370,'CHK Técnico-.NET'!$A$18:$I$81,5,FALSE)</f>
        <v>0</v>
      </c>
      <c r="G370" s="80" t="s">
        <v>66</v>
      </c>
    </row>
    <row r="371" spans="1:7" ht="38.25">
      <c r="A371" s="76">
        <f t="shared" si="8"/>
        <v>363</v>
      </c>
      <c r="B371" s="77" t="str">
        <f>VLOOKUP(A371,'CHK Técnico-.NET'!$A$18:$I$81,4,FALSE)</f>
        <v>Estandarización</v>
      </c>
      <c r="C371" s="77" t="str">
        <f>VLOOKUP(A371,'CHK Técnico-.NET'!$A$18:$I$88,3,FALSE)</f>
        <v>Ha sido desarrollado en Microsoft Visual Studio 2003 o superior</v>
      </c>
      <c r="D371" s="78" t="str">
        <f>VLOOKUP(A371,'CHK Técnico-.NET'!$A$18:$I$81,9,FALSE)</f>
        <v xml:space="preserve">  </v>
      </c>
      <c r="E371" s="79">
        <f>VLOOKUP(A371,'CHK Técnico-.NET'!$A$18:$I$81,6,FALSE)</f>
        <v>0</v>
      </c>
      <c r="F371" s="80">
        <f>VLOOKUP(A371,'CHK Técnico-.NET'!$A$18:$I$81,5,FALSE)</f>
        <v>0</v>
      </c>
      <c r="G371" s="80" t="s">
        <v>66</v>
      </c>
    </row>
    <row r="372" spans="1:7" ht="51">
      <c r="A372" s="76">
        <f t="shared" si="8"/>
        <v>364</v>
      </c>
      <c r="B372" s="77" t="str">
        <f>VLOOKUP(A372,'CHK Técnico-.NET'!$A$18:$I$81,4,FALSE)</f>
        <v>Técnico</v>
      </c>
      <c r="C372" s="77" t="str">
        <f>VLOOKUP(A372,'CHK Técnico-.NET'!$A$18:$I$88,3,FALSE)</f>
        <v>El Proyecto es completo, no es necesario levantar otros archivos para armar ambiente desarrollo</v>
      </c>
      <c r="D372" s="78" t="str">
        <f>VLOOKUP(A372,'CHK Técnico-.NET'!$A$18:$I$81,9,FALSE)</f>
        <v xml:space="preserve">  </v>
      </c>
      <c r="E372" s="79">
        <f>VLOOKUP(A372,'CHK Técnico-.NET'!$A$18:$I$81,6,FALSE)</f>
        <v>0</v>
      </c>
      <c r="F372" s="80">
        <f>VLOOKUP(A372,'CHK Técnico-.NET'!$A$18:$I$81,5,FALSE)</f>
        <v>0</v>
      </c>
      <c r="G372" s="80" t="s">
        <v>66</v>
      </c>
    </row>
    <row r="373" spans="1:7" ht="63.75">
      <c r="A373" s="76">
        <f t="shared" ref="A373:A436" si="9">A372+1</f>
        <v>365</v>
      </c>
      <c r="B373" s="77" t="str">
        <f>VLOOKUP(A373,'CHK Técnico-.NET'!$A$18:$I$81,4,FALSE)</f>
        <v>Técnico</v>
      </c>
      <c r="C373" s="77" t="str">
        <f>VLOOKUP(A373,'CHK Técnico-.NET'!$A$18:$I$88,3,FALSE)</f>
        <v>El instalador está preparado para conectarse directamente a los servidores de producción de BD</v>
      </c>
      <c r="D373" s="78" t="str">
        <f>VLOOKUP(A373,'CHK Técnico-.NET'!$A$18:$I$81,9,FALSE)</f>
        <v xml:space="preserve">  </v>
      </c>
      <c r="E373" s="79">
        <f>VLOOKUP(A373,'CHK Técnico-.NET'!$A$18:$I$81,6,FALSE)</f>
        <v>0</v>
      </c>
      <c r="F373" s="80">
        <f>VLOOKUP(A373,'CHK Técnico-.NET'!$A$18:$I$81,5,FALSE)</f>
        <v>0</v>
      </c>
      <c r="G373" s="80" t="s">
        <v>66</v>
      </c>
    </row>
    <row r="374" spans="1:7" ht="114.75">
      <c r="A374" s="76">
        <f t="shared" si="9"/>
        <v>366</v>
      </c>
      <c r="B374" s="77" t="str">
        <f>VLOOKUP(A374,'CHK Técnico-.NET'!$A$18:$I$81,4,FALSE)</f>
        <v>Estandarización</v>
      </c>
      <c r="C374" s="77" t="str">
        <f>VLOOKUP(A374,'CHK Técnico-.NET'!$A$18:$I$88,3,FALSE)</f>
        <v>La aplicación instalada permite, mediante la modificación de algún archivo de configuración, conectarse a los ambientes de desarrollo y Testing.El archivo de configuración debe haber sido generado con Windows Text (Ansi)”</v>
      </c>
      <c r="D374" s="78" t="str">
        <f>VLOOKUP(A374,'CHK Técnico-.NET'!$A$18:$I$81,9,FALSE)</f>
        <v xml:space="preserve">  </v>
      </c>
      <c r="E374" s="79">
        <f>VLOOKUP(A374,'CHK Técnico-.NET'!$A$18:$I$81,6,FALSE)</f>
        <v>0</v>
      </c>
      <c r="F374" s="80">
        <f>VLOOKUP(A374,'CHK Técnico-.NET'!$A$18:$I$81,5,FALSE)</f>
        <v>0</v>
      </c>
      <c r="G374" s="80" t="s">
        <v>66</v>
      </c>
    </row>
    <row r="375" spans="1:7">
      <c r="A375" s="76">
        <f t="shared" si="9"/>
        <v>367</v>
      </c>
      <c r="B375" s="77">
        <f>VLOOKUP(A375,'CHK Técnico-.NET'!$A$18:$I$81,4,FALSE)</f>
        <v>0</v>
      </c>
      <c r="C375" s="77">
        <f>VLOOKUP(A375,'CHK Técnico-.NET'!$A$18:$I$88,3,FALSE)</f>
        <v>0</v>
      </c>
      <c r="D375" s="78">
        <f>VLOOKUP(A375,'CHK Técnico-.NET'!$A$18:$I$81,9,FALSE)</f>
        <v>0</v>
      </c>
      <c r="E375" s="79">
        <f>VLOOKUP(A375,'CHK Técnico-.NET'!$A$18:$I$81,6,FALSE)</f>
        <v>0</v>
      </c>
      <c r="F375" s="80">
        <f>VLOOKUP(A375,'CHK Técnico-.NET'!$A$18:$I$81,5,FALSE)</f>
        <v>0</v>
      </c>
      <c r="G375" s="80" t="s">
        <v>66</v>
      </c>
    </row>
    <row r="376" spans="1:7" ht="38.25">
      <c r="A376" s="76">
        <f t="shared" si="9"/>
        <v>368</v>
      </c>
      <c r="B376" s="77" t="str">
        <f>VLOOKUP(A376,'CHK Técnico-.NET'!$A$18:$I$81,4,FALSE)</f>
        <v>Homologación/Versionamiento</v>
      </c>
      <c r="C376" s="77" t="str">
        <f>VLOOKUP(A376,'CHK Técnico-.NET'!$A$18:$I$88,3,FALSE)</f>
        <v>Se ha modificado la versión en el archivo AssemblyInfo.cs</v>
      </c>
      <c r="D376" s="78" t="str">
        <f>VLOOKUP(A376,'CHK Técnico-.NET'!$A$18:$I$81,9,FALSE)</f>
        <v xml:space="preserve">  </v>
      </c>
      <c r="E376" s="79">
        <f>VLOOKUP(A376,'CHK Técnico-.NET'!$A$18:$I$81,6,FALSE)</f>
        <v>0</v>
      </c>
      <c r="F376" s="80">
        <f>VLOOKUP(A376,'CHK Técnico-.NET'!$A$18:$I$81,5,FALSE)</f>
        <v>0</v>
      </c>
      <c r="G376" s="80" t="s">
        <v>66</v>
      </c>
    </row>
    <row r="377" spans="1:7" ht="38.25">
      <c r="A377" s="76">
        <f t="shared" si="9"/>
        <v>369</v>
      </c>
      <c r="B377" s="77" t="str">
        <f>VLOOKUP(A377,'CHK Técnico-.NET'!$A$18:$I$81,4,FALSE)</f>
        <v>Homologación/Versionamiento</v>
      </c>
      <c r="C377" s="77" t="str">
        <f>VLOOKUP(A377,'CHK Técnico-.NET'!$A$18:$I$88,3,FALSE)</f>
        <v>Coincide la versión del archivo AssemblyInfo.cs con la versión del ejecutable.</v>
      </c>
      <c r="D377" s="78" t="str">
        <f>VLOOKUP(A377,'CHK Técnico-.NET'!$A$18:$I$81,9,FALSE)</f>
        <v xml:space="preserve">  </v>
      </c>
      <c r="E377" s="79">
        <f>VLOOKUP(A377,'CHK Técnico-.NET'!$A$18:$I$81,6,FALSE)</f>
        <v>0</v>
      </c>
      <c r="F377" s="80">
        <f>VLOOKUP(A377,'CHK Técnico-.NET'!$A$18:$I$81,5,FALSE)</f>
        <v>0</v>
      </c>
      <c r="G377" s="80" t="s">
        <v>66</v>
      </c>
    </row>
    <row r="378" spans="1:7" ht="25.5">
      <c r="A378" s="76">
        <f t="shared" si="9"/>
        <v>370</v>
      </c>
      <c r="B378" s="77" t="str">
        <f>VLOOKUP(A378,'CHK Técnico-.NET'!$A$18:$I$81,4,FALSE)</f>
        <v>Homologación/Versionamiento</v>
      </c>
      <c r="C378" s="77" t="str">
        <f>VLOOKUP(A378,'CHK Técnico-.NET'!$A$18:$I$88,3,FALSE)</f>
        <v>Se ha versionado los archivos de proyecto .csproj.</v>
      </c>
      <c r="D378" s="78" t="str">
        <f>VLOOKUP(A378,'CHK Técnico-.NET'!$A$18:$I$81,9,FALSE)</f>
        <v xml:space="preserve">  </v>
      </c>
      <c r="E378" s="79">
        <f>VLOOKUP(A378,'CHK Técnico-.NET'!$A$18:$I$81,6,FALSE)</f>
        <v>0</v>
      </c>
      <c r="F378" s="80">
        <f>VLOOKUP(A378,'CHK Técnico-.NET'!$A$18:$I$81,5,FALSE)</f>
        <v>0</v>
      </c>
      <c r="G378" s="80" t="s">
        <v>66</v>
      </c>
    </row>
    <row r="379" spans="1:7" ht="51">
      <c r="A379" s="76">
        <f t="shared" si="9"/>
        <v>371</v>
      </c>
      <c r="B379" s="77" t="str">
        <f>VLOOKUP(A379,'CHK Técnico-.NET'!$A$18:$I$81,4,FALSE)</f>
        <v>Documentación</v>
      </c>
      <c r="C379" s="77" t="str">
        <f>VLOOKUP(A379,'CHK Técnico-.NET'!$A$18:$I$88,3,FALSE)</f>
        <v>Se ha actualizado la documentación prevista en la evaluación de la orden de trabajo o proyecto</v>
      </c>
      <c r="D379" s="78" t="str">
        <f>VLOOKUP(A379,'CHK Técnico-.NET'!$A$18:$I$81,9,FALSE)</f>
        <v xml:space="preserve">  </v>
      </c>
      <c r="E379" s="79">
        <f>VLOOKUP(A379,'CHK Técnico-.NET'!$A$18:$I$81,6,FALSE)</f>
        <v>0</v>
      </c>
      <c r="F379" s="80">
        <f>VLOOKUP(A379,'CHK Técnico-.NET'!$A$18:$I$81,5,FALSE)</f>
        <v>0</v>
      </c>
      <c r="G379" s="80" t="s">
        <v>66</v>
      </c>
    </row>
    <row r="380" spans="1:7" ht="38.25">
      <c r="A380" s="76">
        <f t="shared" si="9"/>
        <v>372</v>
      </c>
      <c r="B380" s="77" t="str">
        <f>VLOOKUP(A380,'CHK Técnico-.NET'!$A$18:$I$81,4,FALSE)</f>
        <v>Documentación</v>
      </c>
      <c r="C380" s="77" t="str">
        <f>VLOOKUP(A380,'CHK Técnico-.NET'!$A$18:$I$88,3,FALSE)</f>
        <v>Se ha incluido el documento de casos de pruebas con los escenarios previstos</v>
      </c>
      <c r="D380" s="78" t="str">
        <f>VLOOKUP(A380,'CHK Técnico-.NET'!$A$18:$I$81,9,FALSE)</f>
        <v xml:space="preserve">  </v>
      </c>
      <c r="E380" s="79">
        <f>VLOOKUP(A380,'CHK Técnico-.NET'!$A$18:$I$81,6,FALSE)</f>
        <v>0</v>
      </c>
      <c r="F380" s="80">
        <f>VLOOKUP(A380,'CHK Técnico-.NET'!$A$18:$I$81,5,FALSE)</f>
        <v>0</v>
      </c>
      <c r="G380" s="80" t="s">
        <v>66</v>
      </c>
    </row>
    <row r="381" spans="1:7">
      <c r="A381" s="76">
        <f t="shared" si="9"/>
        <v>373</v>
      </c>
      <c r="B381" s="77">
        <f>VLOOKUP(A381,'CHK Técnico-.NET'!$A$18:$I$81,4,FALSE)</f>
        <v>0</v>
      </c>
      <c r="C381" s="77">
        <f>VLOOKUP(A381,'CHK Técnico-.NET'!$A$18:$I$88,3,FALSE)</f>
        <v>0</v>
      </c>
      <c r="D381" s="78">
        <f>VLOOKUP(A381,'CHK Técnico-.NET'!$A$18:$I$81,9,FALSE)</f>
        <v>0</v>
      </c>
      <c r="E381" s="79">
        <f>VLOOKUP(A381,'CHK Técnico-.NET'!$A$18:$I$81,6,FALSE)</f>
        <v>0</v>
      </c>
      <c r="F381" s="80">
        <f>VLOOKUP(A381,'CHK Técnico-.NET'!$A$18:$I$81,5,FALSE)</f>
        <v>0</v>
      </c>
      <c r="G381" s="80" t="s">
        <v>66</v>
      </c>
    </row>
    <row r="382" spans="1:7" ht="51">
      <c r="A382" s="76">
        <f t="shared" si="9"/>
        <v>374</v>
      </c>
      <c r="B382" s="77" t="str">
        <f>VLOOKUP(A382,'CHK Técnico-.NET'!$A$18:$I$81,4,FALSE)</f>
        <v>Homologación/ Versionamiento</v>
      </c>
      <c r="C382" s="77" t="str">
        <f>VLOOKUP(A382,'CHK Técnico-.NET'!$A$18:$I$88,3,FALSE)</f>
        <v>Una persona distinta al programador ha realizado comparación de fuentes modificados</v>
      </c>
      <c r="D382" s="78" t="str">
        <f>VLOOKUP(A382,'CHK Técnico-.NET'!$A$18:$I$81,9,FALSE)</f>
        <v xml:space="preserve">  </v>
      </c>
      <c r="E382" s="79">
        <f>VLOOKUP(A382,'CHK Técnico-.NET'!$A$18:$I$81,6,FALSE)</f>
        <v>0</v>
      </c>
      <c r="F382" s="80">
        <f>VLOOKUP(A382,'CHK Técnico-.NET'!$A$18:$I$81,5,FALSE)</f>
        <v>0</v>
      </c>
      <c r="G382" s="80" t="s">
        <v>66</v>
      </c>
    </row>
    <row r="383" spans="1:7" ht="51">
      <c r="A383" s="76">
        <f t="shared" si="9"/>
        <v>375</v>
      </c>
      <c r="B383" s="77" t="str">
        <f>VLOOKUP(A383,'CHK Técnico-.NET'!$A$18:$I$81,4,FALSE)</f>
        <v>Funcionalidad</v>
      </c>
      <c r="C383" s="77" t="str">
        <f>VLOOKUP(A383,'CHK Técnico-.NET'!$A$18:$I$88,3,FALSE)</f>
        <v>Los cambios de fuente se muestran relacionados con las especificaciones funcionales</v>
      </c>
      <c r="D383" s="78" t="str">
        <f>VLOOKUP(A383,'CHK Técnico-.NET'!$A$18:$I$81,9,FALSE)</f>
        <v xml:space="preserve">  </v>
      </c>
      <c r="E383" s="79">
        <f>VLOOKUP(A383,'CHK Técnico-.NET'!$A$18:$I$81,6,FALSE)</f>
        <v>0</v>
      </c>
      <c r="F383" s="80">
        <f>VLOOKUP(A383,'CHK Técnico-.NET'!$A$18:$I$81,5,FALSE)</f>
        <v>0</v>
      </c>
      <c r="G383" s="80" t="s">
        <v>66</v>
      </c>
    </row>
    <row r="384" spans="1:7" ht="25.5">
      <c r="A384" s="76">
        <f t="shared" si="9"/>
        <v>376</v>
      </c>
      <c r="B384" s="77" t="str">
        <f>VLOOKUP(A384,'CHK Técnico-.NET'!$A$18:$I$81,4,FALSE)</f>
        <v>Estandarización</v>
      </c>
      <c r="C384" s="77" t="str">
        <f>VLOOKUP(A384,'CHK Técnico-.NET'!$A$18:$I$88,3,FALSE)</f>
        <v>Se ha evitado la introducción de hardcodes</v>
      </c>
      <c r="D384" s="78" t="str">
        <f>VLOOKUP(A384,'CHK Técnico-.NET'!$A$18:$I$81,9,FALSE)</f>
        <v xml:space="preserve">  </v>
      </c>
      <c r="E384" s="79">
        <f>VLOOKUP(A384,'CHK Técnico-.NET'!$A$18:$I$81,6,FALSE)</f>
        <v>0</v>
      </c>
      <c r="F384" s="80">
        <f>VLOOKUP(A384,'CHK Técnico-.NET'!$A$18:$I$81,5,FALSE)</f>
        <v>0</v>
      </c>
      <c r="G384" s="80" t="s">
        <v>66</v>
      </c>
    </row>
    <row r="385" spans="1:7" ht="38.25">
      <c r="A385" s="76">
        <f t="shared" si="9"/>
        <v>377</v>
      </c>
      <c r="B385" s="77" t="str">
        <f>VLOOKUP(A385,'CHK Técnico-.NET'!$A$18:$I$81,4,FALSE)</f>
        <v>Estandarización</v>
      </c>
      <c r="C385" s="77" t="str">
        <f>VLOOKUP(A385,'CHK Técnico-.NET'!$A$18:$I$88,3,FALSE)</f>
        <v>Se ha hecho revisión de fuentes buscando posible código fraudulento</v>
      </c>
      <c r="D385" s="78" t="str">
        <f>VLOOKUP(A385,'CHK Técnico-.NET'!$A$18:$I$81,9,FALSE)</f>
        <v xml:space="preserve">  </v>
      </c>
      <c r="E385" s="79">
        <f>VLOOKUP(A385,'CHK Técnico-.NET'!$A$18:$I$81,6,FALSE)</f>
        <v>0</v>
      </c>
      <c r="F385" s="80">
        <f>VLOOKUP(A385,'CHK Técnico-.NET'!$A$18:$I$81,5,FALSE)</f>
        <v>0</v>
      </c>
      <c r="G385" s="80" t="s">
        <v>66</v>
      </c>
    </row>
    <row r="386" spans="1:7">
      <c r="A386" s="76">
        <f t="shared" si="9"/>
        <v>378</v>
      </c>
      <c r="B386" s="77">
        <f>VLOOKUP(A386,'CHK Técnico-.NET'!$A$18:$I$81,4,FALSE)</f>
        <v>0</v>
      </c>
      <c r="C386" s="77">
        <f>VLOOKUP(A386,'CHK Técnico-.NET'!$A$18:$I$88,3,FALSE)</f>
        <v>0</v>
      </c>
      <c r="D386" s="78">
        <f>VLOOKUP(A386,'CHK Técnico-.NET'!$A$18:$I$81,9,FALSE)</f>
        <v>0</v>
      </c>
      <c r="E386" s="79">
        <f>VLOOKUP(A386,'CHK Técnico-.NET'!$A$18:$I$81,6,FALSE)</f>
        <v>0</v>
      </c>
      <c r="F386" s="80">
        <f>VLOOKUP(A386,'CHK Técnico-.NET'!$A$18:$I$81,5,FALSE)</f>
        <v>0</v>
      </c>
      <c r="G386" s="80" t="s">
        <v>66</v>
      </c>
    </row>
    <row r="387" spans="1:7">
      <c r="A387" s="76">
        <f t="shared" si="9"/>
        <v>379</v>
      </c>
      <c r="B387" s="77">
        <f>VLOOKUP(A387,'CHK Técnico-.NET'!$A$18:$I$81,4,FALSE)</f>
        <v>0</v>
      </c>
      <c r="C387" s="77">
        <f>VLOOKUP(A387,'CHK Técnico-.NET'!$A$18:$I$88,3,FALSE)</f>
        <v>0</v>
      </c>
      <c r="D387" s="78">
        <f>VLOOKUP(A387,'CHK Técnico-.NET'!$A$18:$I$81,9,FALSE)</f>
        <v>0</v>
      </c>
      <c r="E387" s="79">
        <f>VLOOKUP(A387,'CHK Técnico-.NET'!$A$18:$I$81,6,FALSE)</f>
        <v>0</v>
      </c>
      <c r="F387" s="80">
        <f>VLOOKUP(A387,'CHK Técnico-.NET'!$A$18:$I$81,5,FALSE)</f>
        <v>0</v>
      </c>
      <c r="G387" s="80" t="s">
        <v>66</v>
      </c>
    </row>
    <row r="388" spans="1:7">
      <c r="A388" s="76">
        <f t="shared" si="9"/>
        <v>380</v>
      </c>
      <c r="B388" s="77">
        <f>VLOOKUP(A388,'CHK Técnico-.NET'!$A$18:$I$81,4,FALSE)</f>
        <v>0</v>
      </c>
      <c r="C388" s="77">
        <f>VLOOKUP(A388,'CHK Técnico-.NET'!$A$18:$I$88,3,FALSE)</f>
        <v>0</v>
      </c>
      <c r="D388" s="78">
        <f>VLOOKUP(A388,'CHK Técnico-.NET'!$A$18:$I$81,9,FALSE)</f>
        <v>0</v>
      </c>
      <c r="E388" s="79">
        <f>VLOOKUP(A388,'CHK Técnico-.NET'!$A$18:$I$81,6,FALSE)</f>
        <v>0</v>
      </c>
      <c r="F388" s="80">
        <f>VLOOKUP(A388,'CHK Técnico-.NET'!$A$18:$I$81,5,FALSE)</f>
        <v>0</v>
      </c>
      <c r="G388" s="80" t="s">
        <v>66</v>
      </c>
    </row>
    <row r="389" spans="1:7">
      <c r="A389" s="76">
        <f t="shared" si="9"/>
        <v>381</v>
      </c>
      <c r="B389" s="77">
        <f>VLOOKUP(A389,'CHK Técnico-.NET'!$A$18:$I$81,4,FALSE)</f>
        <v>0</v>
      </c>
      <c r="C389" s="77">
        <f>VLOOKUP(A389,'CHK Técnico-.NET'!$A$18:$I$88,3,FALSE)</f>
        <v>0</v>
      </c>
      <c r="D389" s="78">
        <f>VLOOKUP(A389,'CHK Técnico-.NET'!$A$18:$I$81,9,FALSE)</f>
        <v>0</v>
      </c>
      <c r="E389" s="79">
        <f>VLOOKUP(A389,'CHK Técnico-.NET'!$A$18:$I$81,6,FALSE)</f>
        <v>0</v>
      </c>
      <c r="F389" s="80">
        <f>VLOOKUP(A389,'CHK Técnico-.NET'!$A$18:$I$81,5,FALSE)</f>
        <v>0</v>
      </c>
      <c r="G389" s="80" t="s">
        <v>66</v>
      </c>
    </row>
    <row r="390" spans="1:7">
      <c r="A390" s="76">
        <f t="shared" si="9"/>
        <v>382</v>
      </c>
      <c r="B390" s="77">
        <f>VLOOKUP(A390,'CHK Técnico-.NET'!$A$18:$I$81,4,FALSE)</f>
        <v>0</v>
      </c>
      <c r="C390" s="77">
        <f>VLOOKUP(A390,'CHK Técnico-.NET'!$A$18:$I$88,3,FALSE)</f>
        <v>0</v>
      </c>
      <c r="D390" s="78">
        <f>VLOOKUP(A390,'CHK Técnico-.NET'!$A$18:$I$81,9,FALSE)</f>
        <v>0</v>
      </c>
      <c r="E390" s="79">
        <f>VLOOKUP(A390,'CHK Técnico-.NET'!$A$18:$I$81,6,FALSE)</f>
        <v>0</v>
      </c>
      <c r="F390" s="80">
        <f>VLOOKUP(A390,'CHK Técnico-.NET'!$A$18:$I$81,5,FALSE)</f>
        <v>0</v>
      </c>
      <c r="G390" s="80" t="s">
        <v>66</v>
      </c>
    </row>
    <row r="391" spans="1:7">
      <c r="A391" s="76">
        <f t="shared" si="9"/>
        <v>383</v>
      </c>
      <c r="B391" s="77">
        <f>VLOOKUP(A391,'CHK Técnico-.NET'!$A$18:$I$81,4,FALSE)</f>
        <v>0</v>
      </c>
      <c r="C391" s="77">
        <f>VLOOKUP(A391,'CHK Técnico-.NET'!$A$18:$I$88,3,FALSE)</f>
        <v>0</v>
      </c>
      <c r="D391" s="78">
        <f>VLOOKUP(A391,'CHK Técnico-.NET'!$A$18:$I$81,9,FALSE)</f>
        <v>0</v>
      </c>
      <c r="E391" s="79">
        <f>VLOOKUP(A391,'CHK Técnico-.NET'!$A$18:$I$81,6,FALSE)</f>
        <v>0</v>
      </c>
      <c r="F391" s="80">
        <f>VLOOKUP(A391,'CHK Técnico-.NET'!$A$18:$I$81,5,FALSE)</f>
        <v>0</v>
      </c>
      <c r="G391" s="80" t="s">
        <v>66</v>
      </c>
    </row>
    <row r="392" spans="1:7">
      <c r="A392" s="76">
        <f t="shared" si="9"/>
        <v>384</v>
      </c>
      <c r="B392" s="77">
        <f>VLOOKUP(A392,'CHK Técnico-.NET'!$A$18:$I$81,4,FALSE)</f>
        <v>0</v>
      </c>
      <c r="C392" s="77">
        <f>VLOOKUP(A392,'CHK Técnico-.NET'!$A$18:$I$88,3,FALSE)</f>
        <v>0</v>
      </c>
      <c r="D392" s="78">
        <f>VLOOKUP(A392,'CHK Técnico-.NET'!$A$18:$I$81,9,FALSE)</f>
        <v>0</v>
      </c>
      <c r="E392" s="79">
        <f>VLOOKUP(A392,'CHK Técnico-.NET'!$A$18:$I$81,6,FALSE)</f>
        <v>0</v>
      </c>
      <c r="F392" s="80">
        <f>VLOOKUP(A392,'CHK Técnico-.NET'!$A$18:$I$81,5,FALSE)</f>
        <v>0</v>
      </c>
      <c r="G392" s="80" t="s">
        <v>66</v>
      </c>
    </row>
    <row r="393" spans="1:7">
      <c r="A393" s="76">
        <f t="shared" si="9"/>
        <v>385</v>
      </c>
      <c r="B393" s="77">
        <f>VLOOKUP(A393,'CHK Técnico-.NET'!$A$18:$I$81,4,FALSE)</f>
        <v>0</v>
      </c>
      <c r="C393" s="77">
        <f>VLOOKUP(A393,'CHK Técnico-.NET'!$A$18:$I$88,3,FALSE)</f>
        <v>0</v>
      </c>
      <c r="D393" s="78">
        <f>VLOOKUP(A393,'CHK Técnico-.NET'!$A$18:$I$81,9,FALSE)</f>
        <v>0</v>
      </c>
      <c r="E393" s="79">
        <f>VLOOKUP(A393,'CHK Técnico-.NET'!$A$18:$I$81,6,FALSE)</f>
        <v>0</v>
      </c>
      <c r="F393" s="80">
        <f>VLOOKUP(A393,'CHK Técnico-.NET'!$A$18:$I$81,5,FALSE)</f>
        <v>0</v>
      </c>
      <c r="G393" s="80" t="s">
        <v>66</v>
      </c>
    </row>
    <row r="394" spans="1:7">
      <c r="A394" s="76">
        <f t="shared" si="9"/>
        <v>386</v>
      </c>
      <c r="B394" s="77">
        <f>VLOOKUP(A394,'CHK Técnico-.NET'!$A$18:$I$81,4,FALSE)</f>
        <v>0</v>
      </c>
      <c r="C394" s="77">
        <f>VLOOKUP(A394,'CHK Técnico-.NET'!$A$18:$I$88,3,FALSE)</f>
        <v>0</v>
      </c>
      <c r="D394" s="78">
        <f>VLOOKUP(A394,'CHK Técnico-.NET'!$A$18:$I$81,9,FALSE)</f>
        <v>0</v>
      </c>
      <c r="E394" s="79">
        <f>VLOOKUP(A394,'CHK Técnico-.NET'!$A$18:$I$81,6,FALSE)</f>
        <v>0</v>
      </c>
      <c r="F394" s="80">
        <f>VLOOKUP(A394,'CHK Técnico-.NET'!$A$18:$I$81,5,FALSE)</f>
        <v>0</v>
      </c>
      <c r="G394" s="80" t="s">
        <v>66</v>
      </c>
    </row>
    <row r="395" spans="1:7">
      <c r="A395" s="76">
        <f t="shared" si="9"/>
        <v>387</v>
      </c>
      <c r="B395" s="77" t="e">
        <f>VLOOKUP(A395,'CHK Técnico-.NET'!$A$18:$I$81,4,FALSE)</f>
        <v>#N/A</v>
      </c>
      <c r="C395" s="77" t="e">
        <f>VLOOKUP(A395,'CHK Técnico-.NET'!$A$18:$I$88,3,FALSE)</f>
        <v>#N/A</v>
      </c>
      <c r="D395" s="78" t="e">
        <f>VLOOKUP(A395,'CHK Técnico-.NET'!$A$18:$I$81,9,FALSE)</f>
        <v>#N/A</v>
      </c>
      <c r="E395" s="79" t="e">
        <f>VLOOKUP(A395,'CHK Técnico-.NET'!$A$18:$I$81,6,FALSE)</f>
        <v>#N/A</v>
      </c>
      <c r="F395" s="80" t="e">
        <f>VLOOKUP(A395,'CHK Técnico-.NET'!$A$18:$I$81,5,FALSE)</f>
        <v>#N/A</v>
      </c>
      <c r="G395" s="80" t="s">
        <v>66</v>
      </c>
    </row>
    <row r="396" spans="1:7">
      <c r="A396" s="76">
        <f t="shared" si="9"/>
        <v>388</v>
      </c>
      <c r="B396" s="77" t="e">
        <f>VLOOKUP(A396,'CHK Técnico-.NET'!$A$18:$I$81,4,FALSE)</f>
        <v>#N/A</v>
      </c>
      <c r="C396" s="77" t="e">
        <f>VLOOKUP(A396,'CHK Técnico-.NET'!$A$18:$I$88,3,FALSE)</f>
        <v>#N/A</v>
      </c>
      <c r="D396" s="78" t="e">
        <f>VLOOKUP(A396,'CHK Técnico-.NET'!$A$18:$I$81,9,FALSE)</f>
        <v>#N/A</v>
      </c>
      <c r="E396" s="79" t="e">
        <f>VLOOKUP(A396,'CHK Técnico-.NET'!$A$18:$I$81,6,FALSE)</f>
        <v>#N/A</v>
      </c>
      <c r="F396" s="80" t="e">
        <f>VLOOKUP(A396,'CHK Técnico-.NET'!$A$18:$I$81,5,FALSE)</f>
        <v>#N/A</v>
      </c>
      <c r="G396" s="80" t="s">
        <v>66</v>
      </c>
    </row>
    <row r="397" spans="1:7">
      <c r="A397" s="76">
        <f t="shared" si="9"/>
        <v>389</v>
      </c>
      <c r="B397" s="77" t="e">
        <f>VLOOKUP(A397,'CHK Técnico-.NET'!$A$18:$I$81,4,FALSE)</f>
        <v>#N/A</v>
      </c>
      <c r="C397" s="77" t="e">
        <f>VLOOKUP(A397,'CHK Técnico-.NET'!$A$18:$I$88,3,FALSE)</f>
        <v>#N/A</v>
      </c>
      <c r="D397" s="78" t="e">
        <f>VLOOKUP(A397,'CHK Técnico-.NET'!$A$18:$I$81,9,FALSE)</f>
        <v>#N/A</v>
      </c>
      <c r="E397" s="79" t="e">
        <f>VLOOKUP(A397,'CHK Técnico-.NET'!$A$18:$I$81,6,FALSE)</f>
        <v>#N/A</v>
      </c>
      <c r="F397" s="80" t="e">
        <f>VLOOKUP(A397,'CHK Técnico-.NET'!$A$18:$I$81,5,FALSE)</f>
        <v>#N/A</v>
      </c>
      <c r="G397" s="80" t="s">
        <v>66</v>
      </c>
    </row>
    <row r="398" spans="1:7">
      <c r="A398" s="76">
        <f t="shared" si="9"/>
        <v>390</v>
      </c>
      <c r="B398" s="77" t="e">
        <f>VLOOKUP(A398,'CHK Técnico-.NET'!$A$18:$I$81,4,FALSE)</f>
        <v>#N/A</v>
      </c>
      <c r="C398" s="77" t="e">
        <f>VLOOKUP(A398,'CHK Técnico-.NET'!$A$18:$I$88,3,FALSE)</f>
        <v>#N/A</v>
      </c>
      <c r="D398" s="78" t="e">
        <f>VLOOKUP(A398,'CHK Técnico-.NET'!$A$18:$I$81,9,FALSE)</f>
        <v>#N/A</v>
      </c>
      <c r="E398" s="79" t="e">
        <f>VLOOKUP(A398,'CHK Técnico-.NET'!$A$18:$I$81,6,FALSE)</f>
        <v>#N/A</v>
      </c>
      <c r="F398" s="80" t="e">
        <f>VLOOKUP(A398,'CHK Técnico-.NET'!$A$18:$I$81,5,FALSE)</f>
        <v>#N/A</v>
      </c>
      <c r="G398" s="80" t="s">
        <v>66</v>
      </c>
    </row>
    <row r="399" spans="1:7">
      <c r="A399" s="76">
        <f t="shared" si="9"/>
        <v>391</v>
      </c>
      <c r="B399" s="77" t="e">
        <f>VLOOKUP(A399,'CHK Técnico-.NET'!$A$18:$I$81,4,FALSE)</f>
        <v>#N/A</v>
      </c>
      <c r="C399" s="77" t="e">
        <f>VLOOKUP(A399,'CHK Técnico-.NET'!$A$18:$I$88,3,FALSE)</f>
        <v>#N/A</v>
      </c>
      <c r="D399" s="78" t="e">
        <f>VLOOKUP(A399,'CHK Técnico-.NET'!$A$18:$I$81,9,FALSE)</f>
        <v>#N/A</v>
      </c>
      <c r="E399" s="79" t="e">
        <f>VLOOKUP(A399,'CHK Técnico-.NET'!$A$18:$I$81,6,FALSE)</f>
        <v>#N/A</v>
      </c>
      <c r="F399" s="80" t="e">
        <f>VLOOKUP(A399,'CHK Técnico-.NET'!$A$18:$I$81,5,FALSE)</f>
        <v>#N/A</v>
      </c>
      <c r="G399" s="80" t="s">
        <v>66</v>
      </c>
    </row>
    <row r="400" spans="1:7">
      <c r="A400" s="76">
        <f t="shared" si="9"/>
        <v>392</v>
      </c>
      <c r="B400" s="77" t="e">
        <f>VLOOKUP(A400,'CHK Técnico-.NET'!$A$18:$I$81,4,FALSE)</f>
        <v>#N/A</v>
      </c>
      <c r="C400" s="77" t="e">
        <f>VLOOKUP(A400,'CHK Técnico-.NET'!$A$18:$I$88,3,FALSE)</f>
        <v>#N/A</v>
      </c>
      <c r="D400" s="78" t="e">
        <f>VLOOKUP(A400,'CHK Técnico-.NET'!$A$18:$I$81,9,FALSE)</f>
        <v>#N/A</v>
      </c>
      <c r="E400" s="79" t="e">
        <f>VLOOKUP(A400,'CHK Técnico-.NET'!$A$18:$I$81,6,FALSE)</f>
        <v>#N/A</v>
      </c>
      <c r="F400" s="80" t="e">
        <f>VLOOKUP(A400,'CHK Técnico-.NET'!$A$18:$I$81,5,FALSE)</f>
        <v>#N/A</v>
      </c>
      <c r="G400" s="80" t="s">
        <v>66</v>
      </c>
    </row>
    <row r="401" spans="1:7">
      <c r="A401" s="76">
        <f t="shared" si="9"/>
        <v>393</v>
      </c>
      <c r="B401" s="77" t="e">
        <f>VLOOKUP(A401,'CHK Técnico-.NET'!$A$18:$I$81,4,FALSE)</f>
        <v>#N/A</v>
      </c>
      <c r="C401" s="77" t="e">
        <f>VLOOKUP(A401,'CHK Técnico-.NET'!$A$18:$I$88,3,FALSE)</f>
        <v>#N/A</v>
      </c>
      <c r="D401" s="78" t="e">
        <f>VLOOKUP(A401,'CHK Técnico-.NET'!$A$18:$I$81,9,FALSE)</f>
        <v>#N/A</v>
      </c>
      <c r="E401" s="79" t="e">
        <f>VLOOKUP(A401,'CHK Técnico-.NET'!$A$18:$I$81,6,FALSE)</f>
        <v>#N/A</v>
      </c>
      <c r="F401" s="80" t="e">
        <f>VLOOKUP(A401,'CHK Técnico-.NET'!$A$18:$I$81,5,FALSE)</f>
        <v>#N/A</v>
      </c>
      <c r="G401" s="80" t="s">
        <v>66</v>
      </c>
    </row>
    <row r="402" spans="1:7">
      <c r="A402" s="76">
        <f t="shared" si="9"/>
        <v>394</v>
      </c>
      <c r="B402" s="77" t="e">
        <f>VLOOKUP(A402,'CHK Técnico-.NET'!$A$18:$I$81,4,FALSE)</f>
        <v>#N/A</v>
      </c>
      <c r="C402" s="77" t="e">
        <f>VLOOKUP(A402,'CHK Técnico-.NET'!$A$18:$I$88,3,FALSE)</f>
        <v>#N/A</v>
      </c>
      <c r="D402" s="78" t="e">
        <f>VLOOKUP(A402,'CHK Técnico-.NET'!$A$18:$I$81,9,FALSE)</f>
        <v>#N/A</v>
      </c>
      <c r="E402" s="79" t="e">
        <f>VLOOKUP(A402,'CHK Técnico-.NET'!$A$18:$I$81,6,FALSE)</f>
        <v>#N/A</v>
      </c>
      <c r="F402" s="80" t="e">
        <f>VLOOKUP(A402,'CHK Técnico-.NET'!$A$18:$I$81,5,FALSE)</f>
        <v>#N/A</v>
      </c>
      <c r="G402" s="80" t="s">
        <v>66</v>
      </c>
    </row>
    <row r="403" spans="1:7">
      <c r="A403" s="76">
        <f t="shared" si="9"/>
        <v>395</v>
      </c>
      <c r="B403" s="77" t="e">
        <f>VLOOKUP(A403,'CHK Técnico-.NET'!$A$18:$I$81,4,FALSE)</f>
        <v>#N/A</v>
      </c>
      <c r="C403" s="77" t="e">
        <f>VLOOKUP(A403,'CHK Técnico-.NET'!$A$18:$I$88,3,FALSE)</f>
        <v>#N/A</v>
      </c>
      <c r="D403" s="78" t="e">
        <f>VLOOKUP(A403,'CHK Técnico-.NET'!$A$18:$I$81,9,FALSE)</f>
        <v>#N/A</v>
      </c>
      <c r="E403" s="79" t="e">
        <f>VLOOKUP(A403,'CHK Técnico-.NET'!$A$18:$I$81,6,FALSE)</f>
        <v>#N/A</v>
      </c>
      <c r="F403" s="80" t="e">
        <f>VLOOKUP(A403,'CHK Técnico-.NET'!$A$18:$I$81,5,FALSE)</f>
        <v>#N/A</v>
      </c>
      <c r="G403" s="80" t="s">
        <v>66</v>
      </c>
    </row>
    <row r="404" spans="1:7">
      <c r="A404" s="558">
        <f t="shared" si="9"/>
        <v>396</v>
      </c>
      <c r="B404" s="559">
        <f>VLOOKUP(A404,'CHK Técnico-Macros'!$A$18:$I$81,4,FALSE)</f>
        <v>0</v>
      </c>
      <c r="C404" s="559">
        <f>VLOOKUP(A404,'CHK Técnico-Macros'!$A$18:$I$52,3,FALSE)</f>
        <v>0</v>
      </c>
      <c r="D404" s="560">
        <f>VLOOKUP(A404,'CHK Técnico-Macros'!$A$18:$I$81,9,FALSE)</f>
        <v>0</v>
      </c>
      <c r="E404" s="561">
        <f>VLOOKUP(A404,'CHK Técnico-Macros'!$A$18:$I$81,6,FALSE)</f>
        <v>0</v>
      </c>
      <c r="F404" s="562">
        <f>VLOOKUP(A404,'CHK Técnico-Macros'!$A$18:$I$81,5,FALSE)</f>
        <v>0</v>
      </c>
      <c r="G404" s="562" t="s">
        <v>66</v>
      </c>
    </row>
    <row r="405" spans="1:7" ht="51">
      <c r="A405" s="558">
        <f t="shared" si="9"/>
        <v>397</v>
      </c>
      <c r="B405" s="559" t="str">
        <f>VLOOKUP(A405,'CHK Técnico-Macros'!$A$18:$I$81,4,FALSE)</f>
        <v>Documentación</v>
      </c>
      <c r="C405" s="559" t="str">
        <f>VLOOKUP(A405,'CHK Técnico-Macros'!$A$18:$I$52,3,FALSE)</f>
        <v>Incluye Nombre Instalador O sección de objetos a instalar O componente(s) para el pase automático.</v>
      </c>
      <c r="D405" s="560">
        <f>VLOOKUP(A405,'CHK Técnico-Macros'!$A$18:$I$81,9,FALSE)</f>
        <v>0</v>
      </c>
      <c r="E405" s="561">
        <f>VLOOKUP(A405,'CHK Técnico-Macros'!$A$18:$I$81,6,FALSE)</f>
        <v>0</v>
      </c>
      <c r="F405" s="562">
        <f>VLOOKUP(A405,'CHK Técnico-Macros'!$A$18:$I$81,5,FALSE)</f>
        <v>0</v>
      </c>
      <c r="G405" s="562" t="s">
        <v>66</v>
      </c>
    </row>
    <row r="406" spans="1:7" ht="51">
      <c r="A406" s="558">
        <f t="shared" si="9"/>
        <v>398</v>
      </c>
      <c r="B406" s="559" t="str">
        <f>VLOOKUP(A406,'CHK Técnico-Macros'!$A$18:$I$81,4,FALSE)</f>
        <v>Documentación</v>
      </c>
      <c r="C406" s="559" t="str">
        <f>VLOOKUP(A406,'CHK Técnico-Macros'!$A$18:$I$52,3,FALSE)</f>
        <v>Se hace referencia a un Manual de Instalación o se incluye sección de Instrucciones de Instalación.</v>
      </c>
      <c r="D406" s="560" t="str">
        <f>VLOOKUP(A406,'CHK Técnico-Macros'!$A$18:$I$81,9,FALSE)</f>
        <v xml:space="preserve">  </v>
      </c>
      <c r="E406" s="561">
        <f>VLOOKUP(A406,'CHK Técnico-Macros'!$A$18:$I$81,6,FALSE)</f>
        <v>0</v>
      </c>
      <c r="F406" s="562">
        <f>VLOOKUP(A406,'CHK Técnico-Macros'!$A$18:$I$81,5,FALSE)</f>
        <v>0</v>
      </c>
      <c r="G406" s="562" t="s">
        <v>66</v>
      </c>
    </row>
    <row r="407" spans="1:7" ht="51">
      <c r="A407" s="558">
        <f t="shared" si="9"/>
        <v>399</v>
      </c>
      <c r="B407" s="559" t="str">
        <f>VLOOKUP(A407,'CHK Técnico-Macros'!$A$18:$I$81,4,FALSE)</f>
        <v>Homologación/ Versionamiento</v>
      </c>
      <c r="C407" s="559" t="str">
        <f>VLOOKUP(A407,'CHK Técnico-Macros'!$A$18:$I$52,3,FALSE)</f>
        <v>¿La cantidad de objetos indicados en PR corresponde a los subidos en el Harvest y viceversa?</v>
      </c>
      <c r="D407" s="560" t="str">
        <f>VLOOKUP(A407,'CHK Técnico-Macros'!$A$18:$I$81,9,FALSE)</f>
        <v xml:space="preserve">  </v>
      </c>
      <c r="E407" s="561">
        <f>VLOOKUP(A407,'CHK Técnico-Macros'!$A$18:$I$81,6,FALSE)</f>
        <v>0</v>
      </c>
      <c r="F407" s="562">
        <f>VLOOKUP(A407,'CHK Técnico-Macros'!$A$18:$I$81,5,FALSE)</f>
        <v>0</v>
      </c>
      <c r="G407" s="562" t="s">
        <v>66</v>
      </c>
    </row>
    <row r="408" spans="1:7" ht="38.25">
      <c r="A408" s="558">
        <f t="shared" si="9"/>
        <v>400</v>
      </c>
      <c r="B408" s="559" t="str">
        <f>VLOOKUP(A408,'CHK Técnico-Macros'!$A$18:$I$81,4,FALSE)</f>
        <v>Homologación/ Versionamiento</v>
      </c>
      <c r="C408" s="559" t="str">
        <f>VLOOKUP(A408,'CHK Técnico-Macros'!$A$18:$I$52,3,FALSE)</f>
        <v>¿Las rutas indicadas para los objetos corresponde a la ruta del Harvest?</v>
      </c>
      <c r="D408" s="560" t="str">
        <f>VLOOKUP(A408,'CHK Técnico-Macros'!$A$18:$I$81,9,FALSE)</f>
        <v xml:space="preserve">  </v>
      </c>
      <c r="E408" s="561">
        <f>VLOOKUP(A408,'CHK Técnico-Macros'!$A$18:$I$81,6,FALSE)</f>
        <v>0</v>
      </c>
      <c r="F408" s="562">
        <f>VLOOKUP(A408,'CHK Técnico-Macros'!$A$18:$I$81,5,FALSE)</f>
        <v>0</v>
      </c>
      <c r="G408" s="562" t="s">
        <v>66</v>
      </c>
    </row>
    <row r="409" spans="1:7">
      <c r="A409" s="558">
        <f t="shared" si="9"/>
        <v>401</v>
      </c>
      <c r="B409" s="559">
        <f>VLOOKUP(A409,'CHK Técnico-Macros'!$A$18:$I$81,4,FALSE)</f>
        <v>0</v>
      </c>
      <c r="C409" s="559">
        <f>VLOOKUP(A409,'CHK Técnico-Macros'!$A$18:$I$52,3,FALSE)</f>
        <v>0</v>
      </c>
      <c r="D409" s="560">
        <f>VLOOKUP(A409,'CHK Técnico-Macros'!$A$18:$I$81,9,FALSE)</f>
        <v>0</v>
      </c>
      <c r="E409" s="561">
        <f>VLOOKUP(A409,'CHK Técnico-Macros'!$A$18:$I$81,6,FALSE)</f>
        <v>0</v>
      </c>
      <c r="F409" s="562">
        <f>VLOOKUP(A409,'CHK Técnico-Macros'!$A$18:$I$81,5,FALSE)</f>
        <v>0</v>
      </c>
      <c r="G409" s="562" t="s">
        <v>66</v>
      </c>
    </row>
    <row r="410" spans="1:7" ht="38.25">
      <c r="A410" s="558">
        <f t="shared" si="9"/>
        <v>402</v>
      </c>
      <c r="B410" s="559" t="str">
        <f>VLOOKUP(A410,'CHK Técnico-Macros'!$A$18:$I$81,4,FALSE)</f>
        <v>Estandarización</v>
      </c>
      <c r="C410" s="559" t="str">
        <f>VLOOKUP(A410,'CHK Técnico-Macros'!$A$18:$I$52,3,FALSE)</f>
        <v>Para nuevas variables se ha seguido la nomenclatura estándar &lt;prefijo&gt;&lt;nombre&gt;</v>
      </c>
      <c r="D410" s="560" t="str">
        <f>VLOOKUP(A410,'CHK Técnico-Macros'!$A$18:$I$81,9,FALSE)</f>
        <v xml:space="preserve">  </v>
      </c>
      <c r="E410" s="561">
        <f>VLOOKUP(A410,'CHK Técnico-Macros'!$A$18:$I$81,6,FALSE)</f>
        <v>0</v>
      </c>
      <c r="F410" s="562">
        <f>VLOOKUP(A410,'CHK Técnico-Macros'!$A$18:$I$81,5,FALSE)</f>
        <v>0</v>
      </c>
      <c r="G410" s="562" t="s">
        <v>66</v>
      </c>
    </row>
    <row r="411" spans="1:7" ht="51">
      <c r="A411" s="558">
        <f t="shared" si="9"/>
        <v>403</v>
      </c>
      <c r="B411" s="559" t="str">
        <f>VLOOKUP(A411,'CHK Técnico-Macros'!$A$18:$I$81,4,FALSE)</f>
        <v>Estandarización</v>
      </c>
      <c r="C411" s="559" t="str">
        <f>VLOOKUP(A411,'CHK Técnico-Macros'!$A$18:$I$52,3,FALSE)</f>
        <v>Para nuevos controles se ha modificado el nombre por defecto y usado &lt;prefijo&gt;&lt;nombre&gt;</v>
      </c>
      <c r="D411" s="560" t="str">
        <f>VLOOKUP(A411,'CHK Técnico-Macros'!$A$18:$I$81,9,FALSE)</f>
        <v xml:space="preserve">  </v>
      </c>
      <c r="E411" s="561">
        <f>VLOOKUP(A411,'CHK Técnico-Macros'!$A$18:$I$81,6,FALSE)</f>
        <v>0</v>
      </c>
      <c r="F411" s="562">
        <f>VLOOKUP(A411,'CHK Técnico-Macros'!$A$18:$I$81,5,FALSE)</f>
        <v>0</v>
      </c>
      <c r="G411" s="562" t="s">
        <v>66</v>
      </c>
    </row>
    <row r="412" spans="1:7" ht="38.25">
      <c r="A412" s="558">
        <f t="shared" si="9"/>
        <v>404</v>
      </c>
      <c r="B412" s="559" t="str">
        <f>VLOOKUP(A412,'CHK Técnico-Macros'!$A$18:$I$81,4,FALSE)</f>
        <v>Estandarización</v>
      </c>
      <c r="C412" s="559" t="str">
        <f>VLOOKUP(A412,'CHK Técnico-Macros'!$A$18:$I$52,3,FALSE)</f>
        <v>Para nuevas constantes se ha usado el formato estándar.</v>
      </c>
      <c r="D412" s="560" t="str">
        <f>VLOOKUP(A412,'CHK Técnico-Macros'!$A$18:$I$81,9,FALSE)</f>
        <v xml:space="preserve">  </v>
      </c>
      <c r="E412" s="561">
        <f>VLOOKUP(A412,'CHK Técnico-Macros'!$A$18:$I$81,6,FALSE)</f>
        <v>0</v>
      </c>
      <c r="F412" s="562">
        <f>VLOOKUP(A412,'CHK Técnico-Macros'!$A$18:$I$81,5,FALSE)</f>
        <v>0</v>
      </c>
      <c r="G412" s="562" t="s">
        <v>66</v>
      </c>
    </row>
    <row r="413" spans="1:7" ht="38.25">
      <c r="A413" s="558">
        <f t="shared" si="9"/>
        <v>405</v>
      </c>
      <c r="B413" s="559" t="str">
        <f>VLOOKUP(A413,'CHK Técnico-Macros'!$A$18:$I$81,4,FALSE)</f>
        <v>Estandarización</v>
      </c>
      <c r="C413" s="559" t="str">
        <f>VLOOKUP(A413,'CHK Técnico-Macros'!$A$18:$I$52,3,FALSE)</f>
        <v>Para nuevas rutinas se han usado verbos y forma estándar (ej: MostrarTotal)</v>
      </c>
      <c r="D413" s="560" t="str">
        <f>VLOOKUP(A413,'CHK Técnico-Macros'!$A$18:$I$81,9,FALSE)</f>
        <v xml:space="preserve">  </v>
      </c>
      <c r="E413" s="561">
        <f>VLOOKUP(A413,'CHK Técnico-Macros'!$A$18:$I$81,6,FALSE)</f>
        <v>0</v>
      </c>
      <c r="F413" s="562">
        <f>VLOOKUP(A413,'CHK Técnico-Macros'!$A$18:$I$81,5,FALSE)</f>
        <v>0</v>
      </c>
      <c r="G413" s="562" t="s">
        <v>66</v>
      </c>
    </row>
    <row r="414" spans="1:7">
      <c r="A414" s="558">
        <f t="shared" si="9"/>
        <v>406</v>
      </c>
      <c r="B414" s="559">
        <f>VLOOKUP(A414,'CHK Técnico-Macros'!$A$18:$I$81,4,FALSE)</f>
        <v>0</v>
      </c>
      <c r="C414" s="559">
        <f>VLOOKUP(A414,'CHK Técnico-Macros'!$A$18:$I$52,3,FALSE)</f>
        <v>0</v>
      </c>
      <c r="D414" s="560">
        <f>VLOOKUP(A414,'CHK Técnico-Macros'!$A$18:$I$81,9,FALSE)</f>
        <v>0</v>
      </c>
      <c r="E414" s="561">
        <f>VLOOKUP(A414,'CHK Técnico-Macros'!$A$18:$I$81,6,FALSE)</f>
        <v>0</v>
      </c>
      <c r="F414" s="562">
        <f>VLOOKUP(A414,'CHK Técnico-Macros'!$A$18:$I$81,5,FALSE)</f>
        <v>0</v>
      </c>
      <c r="G414" s="562" t="s">
        <v>66</v>
      </c>
    </row>
    <row r="415" spans="1:7" ht="38.25">
      <c r="A415" s="558">
        <f t="shared" si="9"/>
        <v>407</v>
      </c>
      <c r="B415" s="559" t="str">
        <f>VLOOKUP(A415,'CHK Técnico-Macros'!$A$18:$I$81,4,FALSE)</f>
        <v>Estandarización</v>
      </c>
      <c r="C415" s="559" t="str">
        <f>VLOOKUP(A415,'CHK Técnico-Macros'!$A$18:$I$52,3,FALSE)</f>
        <v>Cada una de las variables nuevas ha sido declarada en una línea diferente.</v>
      </c>
      <c r="D415" s="560" t="str">
        <f>VLOOKUP(A415,'CHK Técnico-Macros'!$A$18:$I$81,9,FALSE)</f>
        <v xml:space="preserve">  </v>
      </c>
      <c r="E415" s="561">
        <f>VLOOKUP(A415,'CHK Técnico-Macros'!$A$18:$I$81,6,FALSE)</f>
        <v>0</v>
      </c>
      <c r="F415" s="562">
        <f>VLOOKUP(A415,'CHK Técnico-Macros'!$A$18:$I$81,5,FALSE)</f>
        <v>0</v>
      </c>
      <c r="G415" s="562" t="s">
        <v>66</v>
      </c>
    </row>
    <row r="416" spans="1:7" ht="25.5">
      <c r="A416" s="558">
        <f t="shared" si="9"/>
        <v>408</v>
      </c>
      <c r="B416" s="559" t="str">
        <f>VLOOKUP(A416,'CHK Técnico-Macros'!$A$18:$I$81,4,FALSE)</f>
        <v>Estandarización</v>
      </c>
      <c r="C416" s="559" t="str">
        <f>VLOOKUP(A416,'CHK Técnico-Macros'!$A$18:$I$52,3,FALSE)</f>
        <v>Se ha usado el Option Base 0 para los nuevos arreglos.</v>
      </c>
      <c r="D416" s="560" t="str">
        <f>VLOOKUP(A416,'CHK Técnico-Macros'!$A$18:$I$81,9,FALSE)</f>
        <v xml:space="preserve">  </v>
      </c>
      <c r="E416" s="561">
        <f>VLOOKUP(A416,'CHK Técnico-Macros'!$A$18:$I$81,6,FALSE)</f>
        <v>0</v>
      </c>
      <c r="F416" s="562">
        <f>VLOOKUP(A416,'CHK Técnico-Macros'!$A$18:$I$81,5,FALSE)</f>
        <v>0</v>
      </c>
      <c r="G416" s="562" t="s">
        <v>66</v>
      </c>
    </row>
    <row r="417" spans="1:7" ht="51">
      <c r="A417" s="558">
        <f t="shared" si="9"/>
        <v>409</v>
      </c>
      <c r="B417" s="559" t="str">
        <f>VLOOKUP(A417,'CHK Técnico-Macros'!$A$18:$I$81,4,FALSE)</f>
        <v>Estandarización</v>
      </c>
      <c r="C417" s="559" t="str">
        <f>VLOOKUP(A417,'CHK Técnico-Macros'!$A$18:$I$52,3,FALSE)</f>
        <v>Para nuevos desarrollos la conexión a Base de Datos es mediante ADO, utilizando ODBC.</v>
      </c>
      <c r="D417" s="560" t="str">
        <f>VLOOKUP(A417,'CHK Técnico-Macros'!$A$18:$I$81,9,FALSE)</f>
        <v xml:space="preserve">  </v>
      </c>
      <c r="E417" s="561">
        <f>VLOOKUP(A417,'CHK Técnico-Macros'!$A$18:$I$81,6,FALSE)</f>
        <v>0</v>
      </c>
      <c r="F417" s="562">
        <f>VLOOKUP(A417,'CHK Técnico-Macros'!$A$18:$I$81,5,FALSE)</f>
        <v>0</v>
      </c>
      <c r="G417" s="562" t="s">
        <v>66</v>
      </c>
    </row>
    <row r="418" spans="1:7" ht="38.25">
      <c r="A418" s="558">
        <f t="shared" si="9"/>
        <v>410</v>
      </c>
      <c r="B418" s="559" t="str">
        <f>VLOOKUP(A418,'CHK Técnico-Macros'!$A$18:$I$81,4,FALSE)</f>
        <v>Estandarización</v>
      </c>
      <c r="C418" s="559" t="str">
        <f>VLOOKUP(A418,'CHK Técnico-Macros'!$A$18:$I$52,3,FALSE)</f>
        <v>Cada rutina nueva contiene un comentario sobre lo que hace la misma.</v>
      </c>
      <c r="D418" s="560" t="str">
        <f>VLOOKUP(A418,'CHK Técnico-Macros'!$A$18:$I$81,9,FALSE)</f>
        <v xml:space="preserve">  </v>
      </c>
      <c r="E418" s="561">
        <f>VLOOKUP(A418,'CHK Técnico-Macros'!$A$18:$I$81,6,FALSE)</f>
        <v>0</v>
      </c>
      <c r="F418" s="562">
        <f>VLOOKUP(A418,'CHK Técnico-Macros'!$A$18:$I$81,5,FALSE)</f>
        <v>0</v>
      </c>
      <c r="G418" s="562" t="s">
        <v>66</v>
      </c>
    </row>
    <row r="419" spans="1:7" ht="51">
      <c r="A419" s="558">
        <f t="shared" si="9"/>
        <v>411</v>
      </c>
      <c r="B419" s="559" t="str">
        <f>VLOOKUP(A419,'CHK Técnico-Macros'!$A$18:$I$81,4,FALSE)</f>
        <v>Estandarización</v>
      </c>
      <c r="C419" s="559" t="str">
        <f>VLOOKUP(A419,'CHK Técnico-Macros'!$A$18:$I$52,3,FALSE)</f>
        <v>La declaración de las variables nuevas de uso no trivial tiene un comentario descriptivo.</v>
      </c>
      <c r="D419" s="560" t="str">
        <f>VLOOKUP(A419,'CHK Técnico-Macros'!$A$18:$I$81,9,FALSE)</f>
        <v xml:space="preserve">  </v>
      </c>
      <c r="E419" s="561">
        <f>VLOOKUP(A419,'CHK Técnico-Macros'!$A$18:$I$81,6,FALSE)</f>
        <v>0</v>
      </c>
      <c r="F419" s="562">
        <f>VLOOKUP(A419,'CHK Técnico-Macros'!$A$18:$I$81,5,FALSE)</f>
        <v>0</v>
      </c>
      <c r="G419" s="562" t="s">
        <v>66</v>
      </c>
    </row>
    <row r="420" spans="1:7" ht="51">
      <c r="A420" s="558">
        <f t="shared" si="9"/>
        <v>412</v>
      </c>
      <c r="B420" s="559" t="str">
        <f>VLOOKUP(A420,'CHK Técnico-Macros'!$A$18:$I$81,4,FALSE)</f>
        <v>Estandarización</v>
      </c>
      <c r="C420" s="559" t="str">
        <f>VLOOKUP(A420,'CHK Técnico-Macros'!$A$18:$I$52,3,FALSE)</f>
        <v>Se ha incluido en la parte superior el comentario estándar sobre los cambios efectuados.</v>
      </c>
      <c r="D420" s="560" t="str">
        <f>VLOOKUP(A420,'CHK Técnico-Macros'!$A$18:$I$81,9,FALSE)</f>
        <v xml:space="preserve">  </v>
      </c>
      <c r="E420" s="561">
        <f>VLOOKUP(A420,'CHK Técnico-Macros'!$A$18:$I$81,6,FALSE)</f>
        <v>0</v>
      </c>
      <c r="F420" s="562">
        <f>VLOOKUP(A420,'CHK Técnico-Macros'!$A$18:$I$81,5,FALSE)</f>
        <v>0</v>
      </c>
      <c r="G420" s="562" t="s">
        <v>66</v>
      </c>
    </row>
    <row r="421" spans="1:7" ht="38.25">
      <c r="A421" s="558">
        <f t="shared" si="9"/>
        <v>413</v>
      </c>
      <c r="B421" s="559" t="str">
        <f>VLOOKUP(A421,'CHK Técnico-Macros'!$A$18:$I$81,4,FALSE)</f>
        <v>Estandarización</v>
      </c>
      <c r="C421" s="559" t="str">
        <f>VLOOKUP(A421,'CHK Técnico-Macros'!$A$18:$I$52,3,FALSE)</f>
        <v>Se ha usado indentación al interior de las rutinas para mejor legibilidad del código.</v>
      </c>
      <c r="D421" s="560" t="str">
        <f>VLOOKUP(A421,'CHK Técnico-Macros'!$A$18:$I$81,9,FALSE)</f>
        <v xml:space="preserve">  </v>
      </c>
      <c r="E421" s="561">
        <f>VLOOKUP(A421,'CHK Técnico-Macros'!$A$18:$I$81,6,FALSE)</f>
        <v>0</v>
      </c>
      <c r="F421" s="562">
        <f>VLOOKUP(A421,'CHK Técnico-Macros'!$A$18:$I$81,5,FALSE)</f>
        <v>0</v>
      </c>
      <c r="G421" s="562" t="s">
        <v>66</v>
      </c>
    </row>
    <row r="422" spans="1:7" ht="38.25">
      <c r="A422" s="558">
        <f t="shared" si="9"/>
        <v>414</v>
      </c>
      <c r="B422" s="559" t="str">
        <f>VLOOKUP(A422,'CHK Técnico-Macros'!$A$18:$I$81,4,FALSE)</f>
        <v>Estandarización</v>
      </c>
      <c r="C422" s="559" t="str">
        <f>VLOOKUP(A422,'CHK Técnico-Macros'!$A$18:$I$52,3,FALSE)</f>
        <v>¿Las hojas y/o formularios tienen los colores y fuentes de la corporación SURA?</v>
      </c>
      <c r="D422" s="560" t="str">
        <f>VLOOKUP(A422,'CHK Técnico-Macros'!$A$18:$I$81,9,FALSE)</f>
        <v xml:space="preserve">  </v>
      </c>
      <c r="E422" s="561">
        <f>VLOOKUP(A422,'CHK Técnico-Macros'!$A$18:$I$81,6,FALSE)</f>
        <v>0</v>
      </c>
      <c r="F422" s="562">
        <f>VLOOKUP(A422,'CHK Técnico-Macros'!$A$18:$I$81,5,FALSE)</f>
        <v>0</v>
      </c>
      <c r="G422" s="562" t="s">
        <v>66</v>
      </c>
    </row>
    <row r="423" spans="1:7">
      <c r="A423" s="558">
        <f t="shared" si="9"/>
        <v>415</v>
      </c>
      <c r="B423" s="559">
        <f>VLOOKUP(A423,'CHK Técnico-Macros'!$A$18:$I$81,4,FALSE)</f>
        <v>0</v>
      </c>
      <c r="C423" s="559">
        <f>VLOOKUP(A423,'CHK Técnico-Macros'!$A$18:$I$52,3,FALSE)</f>
        <v>0</v>
      </c>
      <c r="D423" s="560">
        <f>VLOOKUP(A423,'CHK Técnico-Macros'!$A$18:$I$81,9,FALSE)</f>
        <v>0</v>
      </c>
      <c r="E423" s="561">
        <f>VLOOKUP(A423,'CHK Técnico-Macros'!$A$18:$I$81,6,FALSE)</f>
        <v>0</v>
      </c>
      <c r="F423" s="562">
        <f>VLOOKUP(A423,'CHK Técnico-Macros'!$A$18:$I$81,5,FALSE)</f>
        <v>0</v>
      </c>
      <c r="G423" s="562" t="s">
        <v>66</v>
      </c>
    </row>
    <row r="424" spans="1:7" ht="51">
      <c r="A424" s="558">
        <f t="shared" si="9"/>
        <v>416</v>
      </c>
      <c r="B424" s="559" t="str">
        <f>VLOOKUP(A424,'CHK Técnico-Macros'!$A$18:$I$81,4,FALSE)</f>
        <v>Documentación</v>
      </c>
      <c r="C424" s="559" t="str">
        <f>VLOOKUP(A424,'CHK Técnico-Macros'!$A$18:$I$52,3,FALSE)</f>
        <v>Se ha actualizado la documentación prevista en la evaluación de la orden de trabajo o proyecto</v>
      </c>
      <c r="D424" s="560" t="str">
        <f>VLOOKUP(A424,'CHK Técnico-Macros'!$A$18:$I$81,9,FALSE)</f>
        <v xml:space="preserve">  </v>
      </c>
      <c r="E424" s="561">
        <f>VLOOKUP(A424,'CHK Técnico-Macros'!$A$18:$I$81,6,FALSE)</f>
        <v>0</v>
      </c>
      <c r="F424" s="562">
        <f>VLOOKUP(A424,'CHK Técnico-Macros'!$A$18:$I$81,5,FALSE)</f>
        <v>0</v>
      </c>
      <c r="G424" s="562" t="s">
        <v>66</v>
      </c>
    </row>
    <row r="425" spans="1:7" ht="38.25">
      <c r="A425" s="558">
        <f t="shared" si="9"/>
        <v>417</v>
      </c>
      <c r="B425" s="559" t="str">
        <f>VLOOKUP(A425,'CHK Técnico-Macros'!$A$18:$I$81,4,FALSE)</f>
        <v>Documentación</v>
      </c>
      <c r="C425" s="559" t="str">
        <f>VLOOKUP(A425,'CHK Técnico-Macros'!$A$18:$I$52,3,FALSE)</f>
        <v>Se ha incluido el documento de casos de pruebas con los escenarios previstos</v>
      </c>
      <c r="D425" s="560" t="str">
        <f>VLOOKUP(A425,'CHK Técnico-Macros'!$A$18:$I$81,9,FALSE)</f>
        <v xml:space="preserve">  </v>
      </c>
      <c r="E425" s="561">
        <f>VLOOKUP(A425,'CHK Técnico-Macros'!$A$18:$I$81,6,FALSE)</f>
        <v>0</v>
      </c>
      <c r="F425" s="562">
        <f>VLOOKUP(A425,'CHK Técnico-Macros'!$A$18:$I$81,5,FALSE)</f>
        <v>0</v>
      </c>
      <c r="G425" s="562" t="s">
        <v>66</v>
      </c>
    </row>
    <row r="426" spans="1:7">
      <c r="A426" s="558">
        <f t="shared" si="9"/>
        <v>418</v>
      </c>
      <c r="B426" s="559">
        <f>VLOOKUP(A426,'CHK Técnico-Macros'!$A$18:$I$81,4,FALSE)</f>
        <v>0</v>
      </c>
      <c r="C426" s="559">
        <f>VLOOKUP(A426,'CHK Técnico-Macros'!$A$18:$I$52,3,FALSE)</f>
        <v>0</v>
      </c>
      <c r="D426" s="560">
        <f>VLOOKUP(A426,'CHK Técnico-Macros'!$A$18:$I$81,9,FALSE)</f>
        <v>0</v>
      </c>
      <c r="E426" s="561">
        <f>VLOOKUP(A426,'CHK Técnico-Macros'!$A$18:$I$81,6,FALSE)</f>
        <v>0</v>
      </c>
      <c r="F426" s="562">
        <f>VLOOKUP(A426,'CHK Técnico-Macros'!$A$18:$I$81,5,FALSE)</f>
        <v>0</v>
      </c>
      <c r="G426" s="562" t="s">
        <v>66</v>
      </c>
    </row>
    <row r="427" spans="1:7" ht="51">
      <c r="A427" s="558">
        <f t="shared" si="9"/>
        <v>419</v>
      </c>
      <c r="B427" s="559" t="str">
        <f>VLOOKUP(A427,'CHK Técnico-Macros'!$A$18:$I$81,4,FALSE)</f>
        <v>Homologación/ Versionamiento</v>
      </c>
      <c r="C427" s="559" t="str">
        <f>VLOOKUP(A427,'CHK Técnico-Macros'!$A$18:$I$52,3,FALSE)</f>
        <v>Una persona distinta al programador ha realizado comparación de fuentes modificados</v>
      </c>
      <c r="D427" s="560" t="str">
        <f>VLOOKUP(A427,'CHK Técnico-Macros'!$A$18:$I$81,9,FALSE)</f>
        <v xml:space="preserve">  </v>
      </c>
      <c r="E427" s="561">
        <f>VLOOKUP(A427,'CHK Técnico-Macros'!$A$18:$I$81,6,FALSE)</f>
        <v>0</v>
      </c>
      <c r="F427" s="562">
        <f>VLOOKUP(A427,'CHK Técnico-Macros'!$A$18:$I$81,5,FALSE)</f>
        <v>0</v>
      </c>
      <c r="G427" s="562" t="s">
        <v>66</v>
      </c>
    </row>
    <row r="428" spans="1:7" ht="51">
      <c r="A428" s="558">
        <f t="shared" si="9"/>
        <v>420</v>
      </c>
      <c r="B428" s="559" t="str">
        <f>VLOOKUP(A428,'CHK Técnico-Macros'!$A$18:$I$81,4,FALSE)</f>
        <v>Funcionalidad</v>
      </c>
      <c r="C428" s="559" t="str">
        <f>VLOOKUP(A428,'CHK Técnico-Macros'!$A$18:$I$52,3,FALSE)</f>
        <v>Los cambios de fuente se muestran relacionados con las especificaciones funcionales</v>
      </c>
      <c r="D428" s="560" t="str">
        <f>VLOOKUP(A428,'CHK Técnico-Macros'!$A$18:$I$81,9,FALSE)</f>
        <v xml:space="preserve">  </v>
      </c>
      <c r="E428" s="561">
        <f>VLOOKUP(A428,'CHK Técnico-Macros'!$A$18:$I$81,6,FALSE)</f>
        <v>0</v>
      </c>
      <c r="F428" s="562">
        <f>VLOOKUP(A428,'CHK Técnico-Macros'!$A$18:$I$81,5,FALSE)</f>
        <v>0</v>
      </c>
      <c r="G428" s="562" t="s">
        <v>66</v>
      </c>
    </row>
    <row r="429" spans="1:7" ht="38.25">
      <c r="A429" s="558">
        <f t="shared" si="9"/>
        <v>421</v>
      </c>
      <c r="B429" s="559" t="str">
        <f>VLOOKUP(A429,'CHK Técnico-Macros'!$A$18:$I$81,4,FALSE)</f>
        <v>Estandarización</v>
      </c>
      <c r="C429" s="559" t="str">
        <f>VLOOKUP(A429,'CHK Técnico-Macros'!$A$18:$I$52,3,FALSE)</f>
        <v>Se ha hecho revisión buscando posible código fraudulento</v>
      </c>
      <c r="D429" s="560" t="str">
        <f>VLOOKUP(A429,'CHK Técnico-Macros'!$A$18:$I$81,9,FALSE)</f>
        <v xml:space="preserve">  </v>
      </c>
      <c r="E429" s="561">
        <f>VLOOKUP(A429,'CHK Técnico-Macros'!$A$18:$I$81,6,FALSE)</f>
        <v>0</v>
      </c>
      <c r="F429" s="562">
        <f>VLOOKUP(A429,'CHK Técnico-Macros'!$A$18:$I$81,5,FALSE)</f>
        <v>0</v>
      </c>
      <c r="G429" s="562" t="s">
        <v>66</v>
      </c>
    </row>
    <row r="430" spans="1:7">
      <c r="A430" s="558">
        <f t="shared" si="9"/>
        <v>422</v>
      </c>
      <c r="B430" s="559">
        <f>VLOOKUP(A430,'CHK Técnico-Macros'!$A$18:$I$81,4,FALSE)</f>
        <v>0</v>
      </c>
      <c r="C430" s="559">
        <f>VLOOKUP(A430,'CHK Técnico-Macros'!$A$18:$I$52,3,FALSE)</f>
        <v>0</v>
      </c>
      <c r="D430" s="560">
        <f>VLOOKUP(A430,'CHK Técnico-Macros'!$A$18:$I$81,9,FALSE)</f>
        <v>0</v>
      </c>
      <c r="E430" s="561">
        <f>VLOOKUP(A430,'CHK Técnico-Macros'!$A$18:$I$81,6,FALSE)</f>
        <v>0</v>
      </c>
      <c r="F430" s="562">
        <f>VLOOKUP(A430,'CHK Técnico-Macros'!$A$18:$I$81,5,FALSE)</f>
        <v>0</v>
      </c>
      <c r="G430" s="562" t="s">
        <v>66</v>
      </c>
    </row>
    <row r="431" spans="1:7">
      <c r="A431" s="558">
        <f t="shared" si="9"/>
        <v>423</v>
      </c>
      <c r="B431" s="559">
        <f>VLOOKUP(A431,'CHK Técnico-Macros'!$A$18:$I$81,4,FALSE)</f>
        <v>0</v>
      </c>
      <c r="C431" s="559">
        <f>VLOOKUP(A431,'CHK Técnico-Macros'!$A$18:$I$52,3,FALSE)</f>
        <v>0</v>
      </c>
      <c r="D431" s="560">
        <f>VLOOKUP(A431,'CHK Técnico-Macros'!$A$18:$I$81,9,FALSE)</f>
        <v>0</v>
      </c>
      <c r="E431" s="561">
        <f>VLOOKUP(A431,'CHK Técnico-Macros'!$A$18:$I$81,6,FALSE)</f>
        <v>0</v>
      </c>
      <c r="F431" s="562">
        <f>VLOOKUP(A431,'CHK Técnico-Macros'!$A$18:$I$81,5,FALSE)</f>
        <v>0</v>
      </c>
      <c r="G431" s="562" t="s">
        <v>66</v>
      </c>
    </row>
    <row r="432" spans="1:7">
      <c r="A432" s="558">
        <f t="shared" si="9"/>
        <v>424</v>
      </c>
      <c r="B432" s="559">
        <f>VLOOKUP(A432,'CHK Técnico-Macros'!$A$18:$I$81,4,FALSE)</f>
        <v>0</v>
      </c>
      <c r="C432" s="559">
        <f>VLOOKUP(A432,'CHK Técnico-Macros'!$A$18:$I$52,3,FALSE)</f>
        <v>0</v>
      </c>
      <c r="D432" s="560">
        <f>VLOOKUP(A432,'CHK Técnico-Macros'!$A$18:$I$81,9,FALSE)</f>
        <v>0</v>
      </c>
      <c r="E432" s="561">
        <f>VLOOKUP(A432,'CHK Técnico-Macros'!$A$18:$I$81,6,FALSE)</f>
        <v>0</v>
      </c>
      <c r="F432" s="562">
        <f>VLOOKUP(A432,'CHK Técnico-Macros'!$A$18:$I$81,5,FALSE)</f>
        <v>0</v>
      </c>
      <c r="G432" s="562" t="s">
        <v>66</v>
      </c>
    </row>
    <row r="433" spans="1:7">
      <c r="A433" s="558">
        <f t="shared" si="9"/>
        <v>425</v>
      </c>
      <c r="B433" s="559" t="e">
        <f>VLOOKUP(A433,'CHK Técnico-Macros'!$A$18:$I$81,4,FALSE)</f>
        <v>#N/A</v>
      </c>
      <c r="C433" s="559" t="e">
        <f>VLOOKUP(A433,'CHK Técnico-Macros'!$A$18:$I$52,3,FALSE)</f>
        <v>#N/A</v>
      </c>
      <c r="D433" s="560" t="e">
        <f>VLOOKUP(A433,'CHK Técnico-Macros'!$A$18:$I$81,9,FALSE)</f>
        <v>#N/A</v>
      </c>
      <c r="E433" s="561" t="e">
        <f>VLOOKUP(A433,'CHK Técnico-Macros'!$A$18:$I$81,6,FALSE)</f>
        <v>#N/A</v>
      </c>
      <c r="F433" s="562" t="e">
        <f>VLOOKUP(A433,'CHK Técnico-Macros'!$A$18:$I$81,5,FALSE)</f>
        <v>#N/A</v>
      </c>
      <c r="G433" s="562" t="s">
        <v>66</v>
      </c>
    </row>
    <row r="434" spans="1:7">
      <c r="A434" s="558">
        <f t="shared" si="9"/>
        <v>426</v>
      </c>
      <c r="B434" s="559" t="e">
        <f>VLOOKUP(A434,'CHK Técnico-Macros'!$A$18:$I$81,4,FALSE)</f>
        <v>#N/A</v>
      </c>
      <c r="C434" s="559" t="e">
        <f>VLOOKUP(A434,'CHK Técnico-Macros'!$A$18:$I$52,3,FALSE)</f>
        <v>#N/A</v>
      </c>
      <c r="D434" s="560" t="e">
        <f>VLOOKUP(A434,'CHK Técnico-Macros'!$A$18:$I$81,9,FALSE)</f>
        <v>#N/A</v>
      </c>
      <c r="E434" s="561" t="e">
        <f>VLOOKUP(A434,'CHK Técnico-Macros'!$A$18:$I$81,6,FALSE)</f>
        <v>#N/A</v>
      </c>
      <c r="F434" s="562" t="e">
        <f>VLOOKUP(A434,'CHK Técnico-Macros'!$A$18:$I$81,5,FALSE)</f>
        <v>#N/A</v>
      </c>
      <c r="G434" s="562" t="s">
        <v>66</v>
      </c>
    </row>
    <row r="435" spans="1:7">
      <c r="A435" s="558">
        <f t="shared" si="9"/>
        <v>427</v>
      </c>
      <c r="B435" s="559" t="e">
        <f>VLOOKUP(A435,'CHK Técnico-Macros'!$A$18:$I$81,4,FALSE)</f>
        <v>#N/A</v>
      </c>
      <c r="C435" s="559" t="e">
        <f>VLOOKUP(A435,'CHK Técnico-Macros'!$A$18:$I$52,3,FALSE)</f>
        <v>#N/A</v>
      </c>
      <c r="D435" s="560" t="e">
        <f>VLOOKUP(A435,'CHK Técnico-Macros'!$A$18:$I$81,9,FALSE)</f>
        <v>#N/A</v>
      </c>
      <c r="E435" s="561" t="e">
        <f>VLOOKUP(A435,'CHK Técnico-Macros'!$A$18:$I$81,6,FALSE)</f>
        <v>#N/A</v>
      </c>
      <c r="F435" s="562" t="e">
        <f>VLOOKUP(A435,'CHK Técnico-Macros'!$A$18:$I$81,5,FALSE)</f>
        <v>#N/A</v>
      </c>
      <c r="G435" s="562" t="s">
        <v>66</v>
      </c>
    </row>
    <row r="436" spans="1:7">
      <c r="A436" s="558">
        <f t="shared" si="9"/>
        <v>428</v>
      </c>
      <c r="B436" s="559" t="e">
        <f>VLOOKUP(A436,'CHK Técnico-Macros'!$A$18:$I$81,4,FALSE)</f>
        <v>#N/A</v>
      </c>
      <c r="C436" s="559" t="e">
        <f>VLOOKUP(A436,'CHK Técnico-Macros'!$A$18:$I$52,3,FALSE)</f>
        <v>#N/A</v>
      </c>
      <c r="D436" s="560" t="e">
        <f>VLOOKUP(A436,'CHK Técnico-Macros'!$A$18:$I$81,9,FALSE)</f>
        <v>#N/A</v>
      </c>
      <c r="E436" s="561" t="e">
        <f>VLOOKUP(A436,'CHK Técnico-Macros'!$A$18:$I$81,6,FALSE)</f>
        <v>#N/A</v>
      </c>
      <c r="F436" s="562" t="e">
        <f>VLOOKUP(A436,'CHK Técnico-Macros'!$A$18:$I$81,5,FALSE)</f>
        <v>#N/A</v>
      </c>
      <c r="G436" s="562" t="s">
        <v>66</v>
      </c>
    </row>
    <row r="437" spans="1:7">
      <c r="A437" s="558">
        <f t="shared" ref="A437:A500" si="10">A436+1</f>
        <v>429</v>
      </c>
      <c r="B437" s="559" t="e">
        <f>VLOOKUP(A437,'CHK Técnico-Macros'!$A$18:$I$81,4,FALSE)</f>
        <v>#N/A</v>
      </c>
      <c r="C437" s="559" t="e">
        <f>VLOOKUP(A437,'CHK Técnico-Macros'!$A$18:$I$52,3,FALSE)</f>
        <v>#N/A</v>
      </c>
      <c r="D437" s="560" t="e">
        <f>VLOOKUP(A437,'CHK Técnico-Macros'!$A$18:$I$81,9,FALSE)</f>
        <v>#N/A</v>
      </c>
      <c r="E437" s="561" t="e">
        <f>VLOOKUP(A437,'CHK Técnico-Macros'!$A$18:$I$81,6,FALSE)</f>
        <v>#N/A</v>
      </c>
      <c r="F437" s="562" t="e">
        <f>VLOOKUP(A437,'CHK Técnico-Macros'!$A$18:$I$81,5,FALSE)</f>
        <v>#N/A</v>
      </c>
      <c r="G437" s="562" t="s">
        <v>66</v>
      </c>
    </row>
    <row r="438" spans="1:7">
      <c r="A438" s="558">
        <f t="shared" si="10"/>
        <v>430</v>
      </c>
      <c r="B438" s="559" t="e">
        <f>VLOOKUP(A438,'CHK Técnico-Macros'!$A$18:$I$81,4,FALSE)</f>
        <v>#N/A</v>
      </c>
      <c r="C438" s="559" t="e">
        <f>VLOOKUP(A438,'CHK Técnico-Macros'!$A$18:$I$52,3,FALSE)</f>
        <v>#N/A</v>
      </c>
      <c r="D438" s="560" t="e">
        <f>VLOOKUP(A438,'CHK Técnico-Macros'!$A$18:$I$81,9,FALSE)</f>
        <v>#N/A</v>
      </c>
      <c r="E438" s="561" t="e">
        <f>VLOOKUP(A438,'CHK Técnico-Macros'!$A$18:$I$81,6,FALSE)</f>
        <v>#N/A</v>
      </c>
      <c r="F438" s="562" t="e">
        <f>VLOOKUP(A438,'CHK Técnico-Macros'!$A$18:$I$81,5,FALSE)</f>
        <v>#N/A</v>
      </c>
      <c r="G438" s="562" t="s">
        <v>66</v>
      </c>
    </row>
    <row r="439" spans="1:7">
      <c r="A439" s="558">
        <f t="shared" si="10"/>
        <v>431</v>
      </c>
      <c r="B439" s="559" t="e">
        <f>VLOOKUP(A439,'CHK Técnico-Macros'!$A$18:$I$81,4,FALSE)</f>
        <v>#N/A</v>
      </c>
      <c r="C439" s="559" t="e">
        <f>VLOOKUP(A439,'CHK Técnico-Macros'!$A$18:$I$52,3,FALSE)</f>
        <v>#N/A</v>
      </c>
      <c r="D439" s="560" t="e">
        <f>VLOOKUP(A439,'CHK Técnico-Macros'!$A$18:$I$81,9,FALSE)</f>
        <v>#N/A</v>
      </c>
      <c r="E439" s="561" t="e">
        <f>VLOOKUP(A439,'CHK Técnico-Macros'!$A$18:$I$81,6,FALSE)</f>
        <v>#N/A</v>
      </c>
      <c r="F439" s="562" t="e">
        <f>VLOOKUP(A439,'CHK Técnico-Macros'!$A$18:$I$81,5,FALSE)</f>
        <v>#N/A</v>
      </c>
      <c r="G439" s="562" t="s">
        <v>66</v>
      </c>
    </row>
    <row r="440" spans="1:7">
      <c r="A440" s="558">
        <f t="shared" si="10"/>
        <v>432</v>
      </c>
      <c r="B440" s="559" t="e">
        <f>VLOOKUP(A440,'CHK Técnico-Macros'!$A$18:$I$81,4,FALSE)</f>
        <v>#N/A</v>
      </c>
      <c r="C440" s="559" t="e">
        <f>VLOOKUP(A440,'CHK Técnico-Macros'!$A$18:$I$52,3,FALSE)</f>
        <v>#N/A</v>
      </c>
      <c r="D440" s="560" t="e">
        <f>VLOOKUP(A440,'CHK Técnico-Macros'!$A$18:$I$81,9,FALSE)</f>
        <v>#N/A</v>
      </c>
      <c r="E440" s="561" t="e">
        <f>VLOOKUP(A440,'CHK Técnico-Macros'!$A$18:$I$81,6,FALSE)</f>
        <v>#N/A</v>
      </c>
      <c r="F440" s="562" t="e">
        <f>VLOOKUP(A440,'CHK Técnico-Macros'!$A$18:$I$81,5,FALSE)</f>
        <v>#N/A</v>
      </c>
      <c r="G440" s="562" t="s">
        <v>66</v>
      </c>
    </row>
    <row r="441" spans="1:7">
      <c r="A441" s="563">
        <f t="shared" si="10"/>
        <v>433</v>
      </c>
      <c r="B441" s="564">
        <f>VLOOKUP(A441,'CHK Técnico-DB2'!$A$18:$I$92,4,FALSE)</f>
        <v>0</v>
      </c>
      <c r="C441" s="564">
        <f>VLOOKUP(A441,'CHK Técnico-DB2'!$A$18:$I$63,3,FALSE)</f>
        <v>0</v>
      </c>
      <c r="D441" s="565">
        <f>VLOOKUP(A441,'CHK Técnico-DB2'!$A$18:$I$92,9,FALSE)</f>
        <v>0</v>
      </c>
      <c r="E441" s="566">
        <f>VLOOKUP(A441,'CHK Técnico-DB2'!$A$18:$I$92,6,FALSE)</f>
        <v>0</v>
      </c>
      <c r="F441" s="567">
        <f>VLOOKUP(A441,'CHK Técnico-DB2'!$A$18:$I$92,5,FALSE)</f>
        <v>0</v>
      </c>
      <c r="G441" s="567" t="s">
        <v>66</v>
      </c>
    </row>
    <row r="442" spans="1:7" ht="51">
      <c r="A442" s="563">
        <f t="shared" si="10"/>
        <v>434</v>
      </c>
      <c r="B442" s="564" t="str">
        <f>VLOOKUP(A442,'CHK Técnico-DB2'!$A$18:$I$92,4,FALSE)</f>
        <v>Documentación.</v>
      </c>
      <c r="C442" s="564" t="str">
        <f>VLOOKUP(A442,'CHK Técnico-DB2'!$A$18:$I$63,3,FALSE)</f>
        <v>Se encuentran todos los objetos previstos en la última versión del documento de diseño.</v>
      </c>
      <c r="D442" s="565">
        <f>VLOOKUP(A442,'CHK Técnico-DB2'!$A$18:$I$92,9,FALSE)</f>
        <v>0</v>
      </c>
      <c r="E442" s="566">
        <f>VLOOKUP(A442,'CHK Técnico-DB2'!$A$18:$I$92,6,FALSE)</f>
        <v>0</v>
      </c>
      <c r="F442" s="567">
        <f>VLOOKUP(A442,'CHK Técnico-DB2'!$A$18:$I$92,5,FALSE)</f>
        <v>0</v>
      </c>
      <c r="G442" s="567" t="s">
        <v>66</v>
      </c>
    </row>
    <row r="443" spans="1:7" ht="38.25">
      <c r="A443" s="563">
        <f t="shared" si="10"/>
        <v>435</v>
      </c>
      <c r="B443" s="564" t="str">
        <f>VLOOKUP(A443,'CHK Técnico-DB2'!$A$18:$I$92,4,FALSE)</f>
        <v>Estandarización.</v>
      </c>
      <c r="C443" s="564" t="str">
        <f>VLOOKUP(A443,'CHK Técnico-DB2'!$A$18:$I$63,3,FALSE)</f>
        <v>Los objetos se encuentran en el repositorio o ruta establecida.</v>
      </c>
      <c r="D443" s="565" t="str">
        <f>VLOOKUP(A443,'CHK Técnico-DB2'!$A$18:$I$92,9,FALSE)</f>
        <v xml:space="preserve">  </v>
      </c>
      <c r="E443" s="566">
        <f>VLOOKUP(A443,'CHK Técnico-DB2'!$A$18:$I$92,6,FALSE)</f>
        <v>0</v>
      </c>
      <c r="F443" s="567">
        <f>VLOOKUP(A443,'CHK Técnico-DB2'!$A$18:$I$92,5,FALSE)</f>
        <v>0</v>
      </c>
      <c r="G443" s="567" t="s">
        <v>66</v>
      </c>
    </row>
    <row r="444" spans="1:7" ht="51">
      <c r="A444" s="563">
        <f t="shared" si="10"/>
        <v>436</v>
      </c>
      <c r="B444" s="564" t="str">
        <f>VLOOKUP(A444,'CHK Técnico-DB2'!$A$18:$I$92,4,FALSE)</f>
        <v>Técnico.</v>
      </c>
      <c r="C444" s="564" t="str">
        <f>VLOOKUP(A444,'CHK Técnico-DB2'!$A$18:$I$63,3,FALSE)</f>
        <v>Para cambios en la estructura de archivo se han incluido todos los objetos que lo utilizan.</v>
      </c>
      <c r="D444" s="565" t="str">
        <f>VLOOKUP(A444,'CHK Técnico-DB2'!$A$18:$I$92,9,FALSE)</f>
        <v xml:space="preserve">  </v>
      </c>
      <c r="E444" s="566">
        <f>VLOOKUP(A444,'CHK Técnico-DB2'!$A$18:$I$92,6,FALSE)</f>
        <v>0</v>
      </c>
      <c r="F444" s="567">
        <f>VLOOKUP(A444,'CHK Técnico-DB2'!$A$18:$I$92,5,FALSE)</f>
        <v>0</v>
      </c>
      <c r="G444" s="567" t="s">
        <v>66</v>
      </c>
    </row>
    <row r="445" spans="1:7">
      <c r="A445" s="563">
        <f t="shared" si="10"/>
        <v>437</v>
      </c>
      <c r="B445" s="564">
        <f>VLOOKUP(A445,'CHK Técnico-DB2'!$A$18:$I$92,4,FALSE)</f>
        <v>0</v>
      </c>
      <c r="C445" s="564">
        <f>VLOOKUP(A445,'CHK Técnico-DB2'!$A$18:$I$63,3,FALSE)</f>
        <v>0</v>
      </c>
      <c r="D445" s="565" t="str">
        <f>VLOOKUP(A445,'CHK Técnico-DB2'!$A$18:$I$92,9,FALSE)</f>
        <v xml:space="preserve">  </v>
      </c>
      <c r="E445" s="566">
        <f>VLOOKUP(A445,'CHK Técnico-DB2'!$A$18:$I$92,6,FALSE)</f>
        <v>0</v>
      </c>
      <c r="F445" s="567">
        <f>VLOOKUP(A445,'CHK Técnico-DB2'!$A$18:$I$92,5,FALSE)</f>
        <v>0</v>
      </c>
      <c r="G445" s="567" t="s">
        <v>66</v>
      </c>
    </row>
    <row r="446" spans="1:7">
      <c r="A446" s="563">
        <f t="shared" si="10"/>
        <v>438</v>
      </c>
      <c r="B446" s="564">
        <f>VLOOKUP(A446,'CHK Técnico-DB2'!$A$18:$I$92,4,FALSE)</f>
        <v>0</v>
      </c>
      <c r="C446" s="564">
        <f>VLOOKUP(A446,'CHK Técnico-DB2'!$A$18:$I$63,3,FALSE)</f>
        <v>0</v>
      </c>
      <c r="D446" s="565">
        <f>VLOOKUP(A446,'CHK Técnico-DB2'!$A$18:$I$92,9,FALSE)</f>
        <v>0</v>
      </c>
      <c r="E446" s="566">
        <f>VLOOKUP(A446,'CHK Técnico-DB2'!$A$18:$I$92,6,FALSE)</f>
        <v>0</v>
      </c>
      <c r="F446" s="567">
        <f>VLOOKUP(A446,'CHK Técnico-DB2'!$A$18:$I$92,5,FALSE)</f>
        <v>0</v>
      </c>
      <c r="G446" s="567" t="s">
        <v>66</v>
      </c>
    </row>
    <row r="447" spans="1:7" ht="51">
      <c r="A447" s="563">
        <f t="shared" si="10"/>
        <v>439</v>
      </c>
      <c r="B447" s="564" t="str">
        <f>VLOOKUP(A447,'CHK Técnico-DB2'!$A$18:$I$92,4,FALSE)</f>
        <v>Estandarización.</v>
      </c>
      <c r="C447" s="564" t="str">
        <f>VLOOKUP(A447,'CHK Técnico-DB2'!$A$18:$I$63,3,FALSE)</f>
        <v>Los nombres de las tablas siguen el estándar - Esquema&gt;.&lt;nombre TABLA&gt;.sql</v>
      </c>
      <c r="D447" s="565" t="str">
        <f>VLOOKUP(A447,'CHK Técnico-DB2'!$A$18:$I$92,9,FALSE)</f>
        <v xml:space="preserve">  </v>
      </c>
      <c r="E447" s="566">
        <f>VLOOKUP(A447,'CHK Técnico-DB2'!$A$18:$I$92,6,FALSE)</f>
        <v>0</v>
      </c>
      <c r="F447" s="567">
        <f>VLOOKUP(A447,'CHK Técnico-DB2'!$A$18:$I$92,5,FALSE)</f>
        <v>0</v>
      </c>
      <c r="G447" s="567" t="s">
        <v>66</v>
      </c>
    </row>
    <row r="448" spans="1:7" ht="51">
      <c r="A448" s="563">
        <f t="shared" si="10"/>
        <v>440</v>
      </c>
      <c r="B448" s="564" t="str">
        <f>VLOOKUP(A448,'CHK Técnico-DB2'!$A$18:$I$92,4,FALSE)</f>
        <v>Estandarización.</v>
      </c>
      <c r="C448" s="564" t="str">
        <f>VLOOKUP(A448,'CHK Técnico-DB2'!$A$18:$I$63,3,FALSE)</f>
        <v>Los nombres de los SP  siguen el estándar - SP_VVVVVV_FFFFFFFFFF_FFFFFFFF.</v>
      </c>
      <c r="D448" s="565">
        <f>VLOOKUP(A448,'CHK Técnico-DB2'!$A$18:$I$92,9,FALSE)</f>
        <v>0</v>
      </c>
      <c r="E448" s="566">
        <f>VLOOKUP(A448,'CHK Técnico-DB2'!$A$18:$I$92,6,FALSE)</f>
        <v>0</v>
      </c>
      <c r="F448" s="567">
        <f>VLOOKUP(A448,'CHK Técnico-DB2'!$A$18:$I$92,5,FALSE)</f>
        <v>0</v>
      </c>
      <c r="G448" s="567" t="s">
        <v>66</v>
      </c>
    </row>
    <row r="449" spans="1:7" ht="63.75">
      <c r="A449" s="563">
        <f t="shared" si="10"/>
        <v>441</v>
      </c>
      <c r="B449" s="564" t="str">
        <f>VLOOKUP(A449,'CHK Técnico-DB2'!$A$18:$I$92,4,FALSE)</f>
        <v>Estandarización.</v>
      </c>
      <c r="C449" s="564" t="str">
        <f>VLOOKUP(A449,'CHK Técnico-DB2'!$A$18:$I$63,3,FALSE)</f>
        <v>Los nombres de las funciones siguen el estándar - FU_VVVVVV_FFFFFFFFFF_FFFFFFFF.</v>
      </c>
      <c r="D449" s="565">
        <f>VLOOKUP(A449,'CHK Técnico-DB2'!$A$18:$I$92,9,FALSE)</f>
        <v>0</v>
      </c>
      <c r="E449" s="566">
        <f>VLOOKUP(A449,'CHK Técnico-DB2'!$A$18:$I$92,6,FALSE)</f>
        <v>0</v>
      </c>
      <c r="F449" s="567">
        <f>VLOOKUP(A449,'CHK Técnico-DB2'!$A$18:$I$92,5,FALSE)</f>
        <v>0</v>
      </c>
      <c r="G449" s="567" t="s">
        <v>66</v>
      </c>
    </row>
    <row r="450" spans="1:7" ht="51">
      <c r="A450" s="563">
        <f t="shared" si="10"/>
        <v>442</v>
      </c>
      <c r="B450" s="564" t="str">
        <f>VLOOKUP(A450,'CHK Técnico-DB2'!$A$18:$I$92,4,FALSE)</f>
        <v>Estandarización.</v>
      </c>
      <c r="C450" s="564" t="str">
        <f>VLOOKUP(A450,'CHK Técnico-DB2'!$A$18:$I$63,3,FALSE)</f>
        <v>Los nombres de los trigger siguen el estándar - TR_X_FFFFFFFFFF_FFFFFFFF.</v>
      </c>
      <c r="D450" s="565" t="str">
        <f>VLOOKUP(A450,'CHK Técnico-DB2'!$A$18:$I$92,9,FALSE)</f>
        <v xml:space="preserve">  </v>
      </c>
      <c r="E450" s="566">
        <f>VLOOKUP(A450,'CHK Técnico-DB2'!$A$18:$I$92,6,FALSE)</f>
        <v>0</v>
      </c>
      <c r="F450" s="567">
        <f>VLOOKUP(A450,'CHK Técnico-DB2'!$A$18:$I$92,5,FALSE)</f>
        <v>0</v>
      </c>
      <c r="G450" s="567" t="s">
        <v>66</v>
      </c>
    </row>
    <row r="451" spans="1:7" ht="51">
      <c r="A451" s="563">
        <f t="shared" si="10"/>
        <v>443</v>
      </c>
      <c r="B451" s="564" t="str">
        <f>VLOOKUP(A451,'CHK Técnico-DB2'!$A$18:$I$92,4,FALSE)</f>
        <v>Estandarización.</v>
      </c>
      <c r="C451" s="564" t="str">
        <f>VLOOKUP(A451,'CHK Técnico-DB2'!$A$18:$I$63,3,FALSE)</f>
        <v>Los nombres de las vistas siguen el estándar - Esquema&gt;.&lt;nombre VISTA&gt;.sql</v>
      </c>
      <c r="D451" s="565" t="str">
        <f>VLOOKUP(A451,'CHK Técnico-DB2'!$A$18:$I$92,9,FALSE)</f>
        <v xml:space="preserve">  </v>
      </c>
      <c r="E451" s="566">
        <f>VLOOKUP(A451,'CHK Técnico-DB2'!$A$18:$I$92,6,FALSE)</f>
        <v>0</v>
      </c>
      <c r="F451" s="567">
        <f>VLOOKUP(A451,'CHK Técnico-DB2'!$A$18:$I$92,5,FALSE)</f>
        <v>0</v>
      </c>
      <c r="G451" s="567" t="s">
        <v>66</v>
      </c>
    </row>
    <row r="452" spans="1:7" ht="38.25">
      <c r="A452" s="563">
        <f t="shared" si="10"/>
        <v>444</v>
      </c>
      <c r="B452" s="564" t="str">
        <f>VLOOKUP(A452,'CHK Técnico-DB2'!$A$18:$I$92,4,FALSE)</f>
        <v>Estandarización.</v>
      </c>
      <c r="C452" s="564" t="str">
        <f>VLOOKUP(A452,'CHK Técnico-DB2'!$A$18:$I$63,3,FALSE)</f>
        <v>Los nombres de los archivos script siguen el estándar - SCRIPT_OTXXXX_NNN.sql.</v>
      </c>
      <c r="D452" s="565" t="str">
        <f>VLOOKUP(A452,'CHK Técnico-DB2'!$A$18:$I$92,9,FALSE)</f>
        <v xml:space="preserve">  </v>
      </c>
      <c r="E452" s="566">
        <f>VLOOKUP(A452,'CHK Técnico-DB2'!$A$18:$I$92,6,FALSE)</f>
        <v>0</v>
      </c>
      <c r="F452" s="567">
        <f>VLOOKUP(A452,'CHK Técnico-DB2'!$A$18:$I$92,5,FALSE)</f>
        <v>0</v>
      </c>
      <c r="G452" s="567" t="s">
        <v>66</v>
      </c>
    </row>
    <row r="453" spans="1:7">
      <c r="A453" s="563">
        <f t="shared" si="10"/>
        <v>445</v>
      </c>
      <c r="B453" s="564">
        <f>VLOOKUP(A453,'CHK Técnico-DB2'!$A$18:$I$92,4,FALSE)</f>
        <v>0</v>
      </c>
      <c r="C453" s="564">
        <f>VLOOKUP(A453,'CHK Técnico-DB2'!$A$18:$I$63,3,FALSE)</f>
        <v>0</v>
      </c>
      <c r="D453" s="565">
        <f>VLOOKUP(A453,'CHK Técnico-DB2'!$A$18:$I$92,9,FALSE)</f>
        <v>0</v>
      </c>
      <c r="E453" s="566">
        <f>VLOOKUP(A453,'CHK Técnico-DB2'!$A$18:$I$92,6,FALSE)</f>
        <v>0</v>
      </c>
      <c r="F453" s="567">
        <f>VLOOKUP(A453,'CHK Técnico-DB2'!$A$18:$I$92,5,FALSE)</f>
        <v>0</v>
      </c>
      <c r="G453" s="567" t="s">
        <v>66</v>
      </c>
    </row>
    <row r="454" spans="1:7" ht="51">
      <c r="A454" s="563">
        <f t="shared" si="10"/>
        <v>446</v>
      </c>
      <c r="B454" s="564" t="str">
        <f>VLOOKUP(A454,'CHK Técnico-DB2'!$A$18:$I$92,4,FALSE)</f>
        <v>Estandarización.</v>
      </c>
      <c r="C454" s="564" t="str">
        <f>VLOOKUP(A454,'CHK Técnico-DB2'!$A$18:$I$63,3,FALSE)</f>
        <v>Para nuevos archivos maestros y permanentes se respeta la 3ra. Forma Normal.</v>
      </c>
      <c r="D454" s="565" t="str">
        <f>VLOOKUP(A454,'CHK Técnico-DB2'!$A$18:$I$92,9,FALSE)</f>
        <v xml:space="preserve">  </v>
      </c>
      <c r="E454" s="566">
        <f>VLOOKUP(A454,'CHK Técnico-DB2'!$A$18:$I$92,6,FALSE)</f>
        <v>0</v>
      </c>
      <c r="F454" s="567">
        <f>VLOOKUP(A454,'CHK Técnico-DB2'!$A$18:$I$92,5,FALSE)</f>
        <v>0</v>
      </c>
      <c r="G454" s="567" t="s">
        <v>66</v>
      </c>
    </row>
    <row r="455" spans="1:7" ht="51">
      <c r="A455" s="563">
        <f t="shared" si="10"/>
        <v>447</v>
      </c>
      <c r="B455" s="564" t="str">
        <f>VLOOKUP(A455,'CHK Técnico-DB2'!$A$18:$I$92,4,FALSE)</f>
        <v>Estandarización.</v>
      </c>
      <c r="C455" s="564" t="str">
        <f>VLOOKUP(A455,'CHK Técnico-DB2'!$A$18:$I$63,3,FALSE)</f>
        <v>Para nuevos archivos maestros y permanentes deben considerar siempre la PRIMARY KEY.</v>
      </c>
      <c r="D455" s="565" t="str">
        <f>VLOOKUP(A455,'CHK Técnico-DB2'!$A$18:$I$92,9,FALSE)</f>
        <v xml:space="preserve">  </v>
      </c>
      <c r="E455" s="566">
        <f>VLOOKUP(A455,'CHK Técnico-DB2'!$A$18:$I$92,6,FALSE)</f>
        <v>0</v>
      </c>
      <c r="F455" s="567">
        <f>VLOOKUP(A455,'CHK Técnico-DB2'!$A$18:$I$92,5,FALSE)</f>
        <v>0</v>
      </c>
      <c r="G455" s="567" t="s">
        <v>66</v>
      </c>
    </row>
    <row r="456" spans="1:7" ht="51">
      <c r="A456" s="563">
        <f t="shared" si="10"/>
        <v>448</v>
      </c>
      <c r="B456" s="564" t="str">
        <f>VLOOKUP(A456,'CHK Técnico-DB2'!$A$18:$I$92,4,FALSE)</f>
        <v>Estandarización.</v>
      </c>
      <c r="C456" s="564" t="str">
        <f>VLOOKUP(A456,'CHK Técnico-DB2'!$A$18:$I$63,3,FALSE)</f>
        <v>Para montos monetarios se usa el tipo NUMERIC especificando la cantidad de decimales.</v>
      </c>
      <c r="D456" s="565" t="str">
        <f>VLOOKUP(A456,'CHK Técnico-DB2'!$A$18:$I$92,9,FALSE)</f>
        <v xml:space="preserve">  </v>
      </c>
      <c r="E456" s="566">
        <f>VLOOKUP(A456,'CHK Técnico-DB2'!$A$18:$I$92,6,FALSE)</f>
        <v>0</v>
      </c>
      <c r="F456" s="567">
        <f>VLOOKUP(A456,'CHK Técnico-DB2'!$A$18:$I$92,5,FALSE)</f>
        <v>0</v>
      </c>
      <c r="G456" s="567" t="s">
        <v>66</v>
      </c>
    </row>
    <row r="457" spans="1:7" ht="38.25">
      <c r="A457" s="563">
        <f t="shared" si="10"/>
        <v>449</v>
      </c>
      <c r="B457" s="564" t="str">
        <f>VLOOKUP(A457,'CHK Técnico-DB2'!$A$18:$I$92,4,FALSE)</f>
        <v>Estandarización.</v>
      </c>
      <c r="C457" s="564" t="str">
        <f>VLOOKUP(A457,'CHK Técnico-DB2'!$A$18:$I$63,3,FALSE)</f>
        <v>Los campos no deben contener valores nulos a menos que sea necesario.</v>
      </c>
      <c r="D457" s="565" t="str">
        <f>VLOOKUP(A457,'CHK Técnico-DB2'!$A$18:$I$92,9,FALSE)</f>
        <v xml:space="preserve">  </v>
      </c>
      <c r="E457" s="566">
        <f>VLOOKUP(A457,'CHK Técnico-DB2'!$A$18:$I$92,6,FALSE)</f>
        <v>0</v>
      </c>
      <c r="F457" s="567">
        <f>VLOOKUP(A457,'CHK Técnico-DB2'!$A$18:$I$92,5,FALSE)</f>
        <v>0</v>
      </c>
      <c r="G457" s="567" t="s">
        <v>66</v>
      </c>
    </row>
    <row r="458" spans="1:7" ht="63.75">
      <c r="A458" s="563">
        <f t="shared" si="10"/>
        <v>450</v>
      </c>
      <c r="B458" s="564" t="str">
        <f>VLOOKUP(A458,'CHK Técnico-DB2'!$A$18:$I$92,4,FALSE)</f>
        <v>Estandarización.</v>
      </c>
      <c r="C458" s="564" t="str">
        <f>VLOOKUP(A458,'CHK Técnico-DB2'!$A$18:$I$63,3,FALSE)</f>
        <v>Cuando se requiere auditoria de cambios al archivo, se guarda fecha, hora y usuario de ingreso y de actualización.</v>
      </c>
      <c r="D458" s="565" t="str">
        <f>VLOOKUP(A458,'CHK Técnico-DB2'!$A$18:$I$92,9,FALSE)</f>
        <v xml:space="preserve">  </v>
      </c>
      <c r="E458" s="566">
        <f>VLOOKUP(A458,'CHK Técnico-DB2'!$A$18:$I$92,6,FALSE)</f>
        <v>0</v>
      </c>
      <c r="F458" s="567">
        <f>VLOOKUP(A458,'CHK Técnico-DB2'!$A$18:$I$92,5,FALSE)</f>
        <v>0</v>
      </c>
      <c r="G458" s="567" t="s">
        <v>66</v>
      </c>
    </row>
    <row r="459" spans="1:7" ht="38.25">
      <c r="A459" s="563">
        <f t="shared" si="10"/>
        <v>451</v>
      </c>
      <c r="B459" s="564" t="str">
        <f>VLOOKUP(A459,'CHK Técnico-DB2'!$A$18:$I$92,4,FALSE)</f>
        <v>Estandarización.</v>
      </c>
      <c r="C459" s="564" t="str">
        <f>VLOOKUP(A459,'CHK Técnico-DB2'!$A$18:$I$63,3,FALSE)</f>
        <v>Se ha establecido vistas que permitan acotar las búsquedas más comunes.</v>
      </c>
      <c r="D459" s="565" t="str">
        <f>VLOOKUP(A459,'CHK Técnico-DB2'!$A$18:$I$92,9,FALSE)</f>
        <v xml:space="preserve">  </v>
      </c>
      <c r="E459" s="566">
        <f>VLOOKUP(A459,'CHK Técnico-DB2'!$A$18:$I$92,6,FALSE)</f>
        <v>0</v>
      </c>
      <c r="F459" s="567">
        <f>VLOOKUP(A459,'CHK Técnico-DB2'!$A$18:$I$92,5,FALSE)</f>
        <v>0</v>
      </c>
      <c r="G459" s="567" t="s">
        <v>66</v>
      </c>
    </row>
    <row r="460" spans="1:7" ht="63.75">
      <c r="A460" s="563">
        <f t="shared" si="10"/>
        <v>452</v>
      </c>
      <c r="B460" s="564" t="str">
        <f>VLOOKUP(A460,'CHK Técnico-DB2'!$A$18:$I$92,4,FALSE)</f>
        <v>Estandarización.</v>
      </c>
      <c r="C460" s="564" t="str">
        <f>VLOOKUP(A460,'CHK Técnico-DB2'!$A$18:$I$63,3,FALSE)</f>
        <v>El nombre de la entidad debe hacer referencia a la información que guarda, puede estar separado por un guión bajo (_).</v>
      </c>
      <c r="D460" s="565" t="str">
        <f>VLOOKUP(A460,'CHK Técnico-DB2'!$A$18:$I$92,9,FALSE)</f>
        <v xml:space="preserve">  </v>
      </c>
      <c r="E460" s="566">
        <f>VLOOKUP(A460,'CHK Técnico-DB2'!$A$18:$I$92,6,FALSE)</f>
        <v>0</v>
      </c>
      <c r="F460" s="567">
        <f>VLOOKUP(A460,'CHK Técnico-DB2'!$A$18:$I$92,5,FALSE)</f>
        <v>0</v>
      </c>
      <c r="G460" s="567" t="s">
        <v>66</v>
      </c>
    </row>
    <row r="461" spans="1:7">
      <c r="A461" s="563">
        <f t="shared" si="10"/>
        <v>453</v>
      </c>
      <c r="B461" s="564">
        <f>VLOOKUP(A461,'CHK Técnico-DB2'!$A$18:$I$92,4,FALSE)</f>
        <v>0</v>
      </c>
      <c r="C461" s="564">
        <f>VLOOKUP(A461,'CHK Técnico-DB2'!$A$18:$I$63,3,FALSE)</f>
        <v>0</v>
      </c>
      <c r="D461" s="565" t="str">
        <f>VLOOKUP(A461,'CHK Técnico-DB2'!$A$18:$I$92,9,FALSE)</f>
        <v xml:space="preserve">  </v>
      </c>
      <c r="E461" s="566">
        <f>VLOOKUP(A461,'CHK Técnico-DB2'!$A$18:$I$92,6,FALSE)</f>
        <v>0</v>
      </c>
      <c r="F461" s="567">
        <f>VLOOKUP(A461,'CHK Técnico-DB2'!$A$18:$I$92,5,FALSE)</f>
        <v>0</v>
      </c>
      <c r="G461" s="567" t="s">
        <v>66</v>
      </c>
    </row>
    <row r="462" spans="1:7">
      <c r="A462" s="563">
        <f t="shared" si="10"/>
        <v>454</v>
      </c>
      <c r="B462" s="564">
        <f>VLOOKUP(A462,'CHK Técnico-DB2'!$A$18:$I$92,4,FALSE)</f>
        <v>0</v>
      </c>
      <c r="C462" s="564">
        <f>VLOOKUP(A462,'CHK Técnico-DB2'!$A$18:$I$63,3,FALSE)</f>
        <v>0</v>
      </c>
      <c r="D462" s="565">
        <f>VLOOKUP(A462,'CHK Técnico-DB2'!$A$18:$I$92,9,FALSE)</f>
        <v>0</v>
      </c>
      <c r="E462" s="566">
        <f>VLOOKUP(A462,'CHK Técnico-DB2'!$A$18:$I$92,6,FALSE)</f>
        <v>0</v>
      </c>
      <c r="F462" s="567">
        <f>VLOOKUP(A462,'CHK Técnico-DB2'!$A$18:$I$92,5,FALSE)</f>
        <v>0</v>
      </c>
      <c r="G462" s="567" t="s">
        <v>66</v>
      </c>
    </row>
    <row r="463" spans="1:7" ht="38.25">
      <c r="A463" s="563">
        <f t="shared" si="10"/>
        <v>455</v>
      </c>
      <c r="B463" s="564" t="str">
        <f>VLOOKUP(A463,'CHK Técnico-DB2'!$A$18:$I$92,4,FALSE)</f>
        <v>Estandarización.</v>
      </c>
      <c r="C463" s="564" t="str">
        <f>VLOOKUP(A463,'CHK Técnico-DB2'!$A$18:$I$63,3,FALSE)</f>
        <v>Existe descripción del cambio en el Stored  Procedures.</v>
      </c>
      <c r="D463" s="565" t="str">
        <f>VLOOKUP(A463,'CHK Técnico-DB2'!$A$18:$I$92,9,FALSE)</f>
        <v xml:space="preserve">  </v>
      </c>
      <c r="E463" s="566">
        <f>VLOOKUP(A463,'CHK Técnico-DB2'!$A$18:$I$92,6,FALSE)</f>
        <v>0</v>
      </c>
      <c r="F463" s="567">
        <f>VLOOKUP(A463,'CHK Técnico-DB2'!$A$18:$I$92,5,FALSE)</f>
        <v>0</v>
      </c>
      <c r="G463" s="567" t="s">
        <v>66</v>
      </c>
    </row>
    <row r="464" spans="1:7" ht="25.5">
      <c r="A464" s="563">
        <f t="shared" si="10"/>
        <v>456</v>
      </c>
      <c r="B464" s="564" t="str">
        <f>VLOOKUP(A464,'CHK Técnico-DB2'!$A$18:$I$92,4,FALSE)</f>
        <v>Estandarización.</v>
      </c>
      <c r="C464" s="564" t="str">
        <f>VLOOKUP(A464,'CHK Técnico-DB2'!$A$18:$I$63,3,FALSE)</f>
        <v>Todos los Cursores declarados son usados.</v>
      </c>
      <c r="D464" s="565">
        <f>VLOOKUP(A464,'CHK Técnico-DB2'!$A$18:$I$92,9,FALSE)</f>
        <v>0</v>
      </c>
      <c r="E464" s="566">
        <f>VLOOKUP(A464,'CHK Técnico-DB2'!$A$18:$I$92,6,FALSE)</f>
        <v>0</v>
      </c>
      <c r="F464" s="567">
        <f>VLOOKUP(A464,'CHK Técnico-DB2'!$A$18:$I$92,5,FALSE)</f>
        <v>0</v>
      </c>
      <c r="G464" s="567" t="s">
        <v>66</v>
      </c>
    </row>
    <row r="465" spans="1:7" ht="63.75">
      <c r="A465" s="563">
        <f t="shared" si="10"/>
        <v>457</v>
      </c>
      <c r="B465" s="564" t="str">
        <f>VLOOKUP(A465,'CHK Técnico-DB2'!$A$18:$I$92,4,FALSE)</f>
        <v>Técnico.</v>
      </c>
      <c r="C465" s="564" t="str">
        <f>VLOOKUP(A465,'CHK Técnico-DB2'!$A$18:$I$63,3,FALSE)</f>
        <v>En las sentencias SELECT se agilizan las uniones de tablas (JOIN) y los filtros (WHERE) haciendo uso de campos índice.</v>
      </c>
      <c r="D465" s="565">
        <f>VLOOKUP(A465,'CHK Técnico-DB2'!$A$18:$I$92,9,FALSE)</f>
        <v>0</v>
      </c>
      <c r="E465" s="566">
        <f>VLOOKUP(A465,'CHK Técnico-DB2'!$A$18:$I$92,6,FALSE)</f>
        <v>0</v>
      </c>
      <c r="F465" s="567">
        <f>VLOOKUP(A465,'CHK Técnico-DB2'!$A$18:$I$92,5,FALSE)</f>
        <v>0</v>
      </c>
      <c r="G465" s="567" t="s">
        <v>66</v>
      </c>
    </row>
    <row r="466" spans="1:7" ht="63.75">
      <c r="A466" s="563">
        <f t="shared" si="10"/>
        <v>458</v>
      </c>
      <c r="B466" s="564" t="str">
        <f>VLOOKUP(A466,'CHK Técnico-DB2'!$A$18:$I$92,4,FALSE)</f>
        <v>Técnico.</v>
      </c>
      <c r="C466" s="564" t="str">
        <f>VLOOKUP(A466,'CHK Técnico-DB2'!$A$18:$I$63,3,FALSE)</f>
        <v>Las sentencias FETCH contienen la misma cantidad de variables que el número de campos seleccionados en el CURSOR.</v>
      </c>
      <c r="D466" s="565">
        <f>VLOOKUP(A466,'CHK Técnico-DB2'!$A$18:$I$92,9,FALSE)</f>
        <v>0</v>
      </c>
      <c r="E466" s="566">
        <f>VLOOKUP(A466,'CHK Técnico-DB2'!$A$18:$I$92,6,FALSE)</f>
        <v>0</v>
      </c>
      <c r="F466" s="567">
        <f>VLOOKUP(A466,'CHK Técnico-DB2'!$A$18:$I$92,5,FALSE)</f>
        <v>0</v>
      </c>
      <c r="G466" s="567" t="s">
        <v>66</v>
      </c>
    </row>
    <row r="467" spans="1:7" ht="89.25">
      <c r="A467" s="563">
        <f t="shared" si="10"/>
        <v>459</v>
      </c>
      <c r="B467" s="564" t="str">
        <f>VLOOKUP(A467,'CHK Técnico-DB2'!$A$18:$I$92,4,FALSE)</f>
        <v>Técnico.</v>
      </c>
      <c r="C467" s="564" t="str">
        <f>VLOOKUP(A467,'CHK Técnico-DB2'!$A$18:$I$63,3,FALSE)</f>
        <v>Cumple con el estándar de documentación de fuentes (Luego del BEGIN principal se ha incluido el comentario según formato al inicio del fuente y en las lineas modificadas).</v>
      </c>
      <c r="D467" s="565">
        <f>VLOOKUP(A467,'CHK Técnico-DB2'!$A$18:$I$92,9,FALSE)</f>
        <v>0</v>
      </c>
      <c r="E467" s="566">
        <f>VLOOKUP(A467,'CHK Técnico-DB2'!$A$18:$I$92,6,FALSE)</f>
        <v>0</v>
      </c>
      <c r="F467" s="567">
        <f>VLOOKUP(A467,'CHK Técnico-DB2'!$A$18:$I$92,5,FALSE)</f>
        <v>0</v>
      </c>
      <c r="G467" s="567" t="s">
        <v>66</v>
      </c>
    </row>
    <row r="468" spans="1:7" ht="25.5">
      <c r="A468" s="563">
        <f t="shared" si="10"/>
        <v>460</v>
      </c>
      <c r="B468" s="564" t="str">
        <f>VLOOKUP(A468,'CHK Técnico-DB2'!$A$18:$I$92,4,FALSE)</f>
        <v>Técnico.</v>
      </c>
      <c r="C468" s="564" t="str">
        <f>VLOOKUP(A468,'CHK Técnico-DB2'!$A$18:$I$63,3,FALSE)</f>
        <v>Verificar que no exista sentencias SQL de pruebas.</v>
      </c>
      <c r="D468" s="565">
        <f>VLOOKUP(A468,'CHK Técnico-DB2'!$A$18:$I$92,9,FALSE)</f>
        <v>0</v>
      </c>
      <c r="E468" s="566">
        <f>VLOOKUP(A468,'CHK Técnico-DB2'!$A$18:$I$92,6,FALSE)</f>
        <v>0</v>
      </c>
      <c r="F468" s="567">
        <f>VLOOKUP(A468,'CHK Técnico-DB2'!$A$18:$I$92,5,FALSE)</f>
        <v>0</v>
      </c>
      <c r="G468" s="567" t="s">
        <v>66</v>
      </c>
    </row>
    <row r="469" spans="1:7" ht="38.25">
      <c r="A469" s="563">
        <f t="shared" si="10"/>
        <v>461</v>
      </c>
      <c r="B469" s="564" t="str">
        <f>VLOOKUP(A469,'CHK Técnico-DB2'!$A$18:$I$92,4,FALSE)</f>
        <v>Técnico.</v>
      </c>
      <c r="C469" s="564" t="str">
        <f>VLOOKUP(A469,'CHK Técnico-DB2'!$A$18:$I$63,3,FALSE)</f>
        <v>En el script generado cada sentencia termina con un punto y coma (;).</v>
      </c>
      <c r="D469" s="565">
        <f>VLOOKUP(A469,'CHK Técnico-DB2'!$A$18:$I$92,9,FALSE)</f>
        <v>0</v>
      </c>
      <c r="E469" s="566">
        <f>VLOOKUP(A469,'CHK Técnico-DB2'!$A$18:$I$92,6,FALSE)</f>
        <v>0</v>
      </c>
      <c r="F469" s="567">
        <f>VLOOKUP(A469,'CHK Técnico-DB2'!$A$18:$I$92,5,FALSE)</f>
        <v>0</v>
      </c>
      <c r="G469" s="567" t="s">
        <v>66</v>
      </c>
    </row>
    <row r="470" spans="1:7" ht="38.25">
      <c r="A470" s="563">
        <f t="shared" si="10"/>
        <v>462</v>
      </c>
      <c r="B470" s="564" t="str">
        <f>VLOOKUP(A470,'CHK Técnico-DB2'!$A$18:$I$92,4,FALSE)</f>
        <v>Técnico.</v>
      </c>
      <c r="C470" s="564" t="str">
        <f>VLOOKUP(A470,'CHK Técnico-DB2'!$A$18:$I$63,3,FALSE)</f>
        <v>Para Stored Procedures y Funciones se realiza manejo de errores.</v>
      </c>
      <c r="D470" s="565">
        <f>VLOOKUP(A470,'CHK Técnico-DB2'!$A$18:$I$92,9,FALSE)</f>
        <v>0</v>
      </c>
      <c r="E470" s="566">
        <f>VLOOKUP(A470,'CHK Técnico-DB2'!$A$18:$I$92,6,FALSE)</f>
        <v>0</v>
      </c>
      <c r="F470" s="567">
        <f>VLOOKUP(A470,'CHK Técnico-DB2'!$A$18:$I$92,5,FALSE)</f>
        <v>0</v>
      </c>
      <c r="G470" s="567" t="s">
        <v>66</v>
      </c>
    </row>
    <row r="471" spans="1:7" ht="102">
      <c r="A471" s="563">
        <f t="shared" si="10"/>
        <v>463</v>
      </c>
      <c r="B471" s="564" t="str">
        <f>VLOOKUP(A471,'CHK Técnico-DB2'!$A$18:$I$92,4,FALSE)</f>
        <v>Técnico.</v>
      </c>
      <c r="C471" s="564" t="str">
        <f>VLOOKUP(A471,'CHK Técnico-DB2'!$A$18:$I$63,3,FALSE)</f>
        <v>Para Stored Procedures y Funciones que procesen grandes cantidades de información o que sean muy complejos se generan registros LOG que permitan hacer seguimiento al proceso.</v>
      </c>
      <c r="D471" s="565">
        <f>VLOOKUP(A471,'CHK Técnico-DB2'!$A$18:$I$92,9,FALSE)</f>
        <v>0</v>
      </c>
      <c r="E471" s="566">
        <f>VLOOKUP(A471,'CHK Técnico-DB2'!$A$18:$I$92,6,FALSE)</f>
        <v>0</v>
      </c>
      <c r="F471" s="567">
        <f>VLOOKUP(A471,'CHK Técnico-DB2'!$A$18:$I$92,5,FALSE)</f>
        <v>0</v>
      </c>
      <c r="G471" s="567" t="s">
        <v>66</v>
      </c>
    </row>
    <row r="472" spans="1:7" ht="114.75">
      <c r="A472" s="563">
        <f t="shared" si="10"/>
        <v>464</v>
      </c>
      <c r="B472" s="564" t="str">
        <f>VLOOKUP(A472,'CHK Técnico-DB2'!$A$18:$I$92,4,FALSE)</f>
        <v>Técnico.</v>
      </c>
      <c r="C472" s="564" t="str">
        <f>VLOOKUP(A472,'CHK Técnico-DB2'!$A$18:$I$63,3,FALSE)</f>
        <v>Para Stored Procedures y Funciones el script considera la sentencia CREATE OR REPLACE de la siguiente manera:
CREATE OR REPLACE TipoComponente Nombre_Esquema.Nombre_Componente</v>
      </c>
      <c r="D472" s="565">
        <f>VLOOKUP(A472,'CHK Técnico-DB2'!$A$18:$I$92,9,FALSE)</f>
        <v>0</v>
      </c>
      <c r="E472" s="566">
        <f>VLOOKUP(A472,'CHK Técnico-DB2'!$A$18:$I$92,6,FALSE)</f>
        <v>0</v>
      </c>
      <c r="F472" s="567">
        <f>VLOOKUP(A472,'CHK Técnico-DB2'!$A$18:$I$92,5,FALSE)</f>
        <v>0</v>
      </c>
      <c r="G472" s="567" t="s">
        <v>66</v>
      </c>
    </row>
    <row r="473" spans="1:7">
      <c r="A473" s="563">
        <f t="shared" si="10"/>
        <v>465</v>
      </c>
      <c r="B473" s="564">
        <f>VLOOKUP(A473,'CHK Técnico-DB2'!$A$18:$I$92,4,FALSE)</f>
        <v>0</v>
      </c>
      <c r="C473" s="564">
        <f>VLOOKUP(A473,'CHK Técnico-DB2'!$A$18:$I$63,3,FALSE)</f>
        <v>0</v>
      </c>
      <c r="D473" s="565" t="str">
        <f>VLOOKUP(A473,'CHK Técnico-DB2'!$A$18:$I$92,9,FALSE)</f>
        <v xml:space="preserve">  </v>
      </c>
      <c r="E473" s="566">
        <f>VLOOKUP(A473,'CHK Técnico-DB2'!$A$18:$I$92,6,FALSE)</f>
        <v>0</v>
      </c>
      <c r="F473" s="567">
        <f>VLOOKUP(A473,'CHK Técnico-DB2'!$A$18:$I$92,5,FALSE)</f>
        <v>0</v>
      </c>
      <c r="G473" s="567" t="s">
        <v>66</v>
      </c>
    </row>
    <row r="474" spans="1:7">
      <c r="A474" s="563">
        <f t="shared" si="10"/>
        <v>466</v>
      </c>
      <c r="B474" s="564">
        <f>VLOOKUP(A474,'CHK Técnico-DB2'!$A$18:$I$92,4,FALSE)</f>
        <v>0</v>
      </c>
      <c r="C474" s="564">
        <f>VLOOKUP(A474,'CHK Técnico-DB2'!$A$18:$I$63,3,FALSE)</f>
        <v>0</v>
      </c>
      <c r="D474" s="565">
        <f>VLOOKUP(A474,'CHK Técnico-DB2'!$A$18:$I$92,9,FALSE)</f>
        <v>0</v>
      </c>
      <c r="E474" s="566">
        <f>VLOOKUP(A474,'CHK Técnico-DB2'!$A$18:$I$92,6,FALSE)</f>
        <v>0</v>
      </c>
      <c r="F474" s="567">
        <f>VLOOKUP(A474,'CHK Técnico-DB2'!$A$18:$I$92,5,FALSE)</f>
        <v>0</v>
      </c>
      <c r="G474" s="567" t="s">
        <v>66</v>
      </c>
    </row>
    <row r="475" spans="1:7" ht="38.25">
      <c r="A475" s="563">
        <f t="shared" si="10"/>
        <v>467</v>
      </c>
      <c r="B475" s="564" t="str">
        <f>VLOOKUP(A475,'CHK Técnico-DB2'!$A$18:$I$92,4,FALSE)</f>
        <v>Estandarización.</v>
      </c>
      <c r="C475" s="564" t="str">
        <f>VLOOKUP(A475,'CHK Técnico-DB2'!$A$18:$I$63,3,FALSE)</f>
        <v>Para Stored Procedures y Funciones no se colocan GRANTS.</v>
      </c>
      <c r="D475" s="565" t="str">
        <f>VLOOKUP(A475,'CHK Técnico-DB2'!$A$18:$I$92,9,FALSE)</f>
        <v xml:space="preserve">  </v>
      </c>
      <c r="E475" s="566">
        <f>VLOOKUP(A475,'CHK Técnico-DB2'!$A$18:$I$92,6,FALSE)</f>
        <v>0</v>
      </c>
      <c r="F475" s="567">
        <f>VLOOKUP(A475,'CHK Técnico-DB2'!$A$18:$I$92,5,FALSE)</f>
        <v>0</v>
      </c>
      <c r="G475" s="567" t="s">
        <v>66</v>
      </c>
    </row>
    <row r="476" spans="1:7">
      <c r="A476" s="563">
        <f t="shared" si="10"/>
        <v>468</v>
      </c>
      <c r="B476" s="564">
        <f>VLOOKUP(A476,'CHK Técnico-DB2'!$A$18:$I$92,4,FALSE)</f>
        <v>0</v>
      </c>
      <c r="C476" s="564">
        <f>VLOOKUP(A476,'CHK Técnico-DB2'!$A$18:$I$63,3,FALSE)</f>
        <v>0</v>
      </c>
      <c r="D476" s="565" t="str">
        <f>VLOOKUP(A476,'CHK Técnico-DB2'!$A$18:$I$92,9,FALSE)</f>
        <v xml:space="preserve">  </v>
      </c>
      <c r="E476" s="566">
        <f>VLOOKUP(A476,'CHK Técnico-DB2'!$A$18:$I$92,6,FALSE)</f>
        <v>0</v>
      </c>
      <c r="F476" s="567">
        <f>VLOOKUP(A476,'CHK Técnico-DB2'!$A$18:$I$92,5,FALSE)</f>
        <v>0</v>
      </c>
      <c r="G476" s="567" t="s">
        <v>66</v>
      </c>
    </row>
    <row r="477" spans="1:7">
      <c r="A477" s="563">
        <f t="shared" si="10"/>
        <v>469</v>
      </c>
      <c r="B477" s="564">
        <f>VLOOKUP(A477,'CHK Técnico-DB2'!$A$18:$I$92,4,FALSE)</f>
        <v>0</v>
      </c>
      <c r="C477" s="564">
        <f>VLOOKUP(A477,'CHK Técnico-DB2'!$A$18:$I$63,3,FALSE)</f>
        <v>0</v>
      </c>
      <c r="D477" s="565">
        <f>VLOOKUP(A477,'CHK Técnico-DB2'!$A$18:$I$92,9,FALSE)</f>
        <v>0</v>
      </c>
      <c r="E477" s="566">
        <f>VLOOKUP(A477,'CHK Técnico-DB2'!$A$18:$I$92,6,FALSE)</f>
        <v>0</v>
      </c>
      <c r="F477" s="567">
        <f>VLOOKUP(A477,'CHK Técnico-DB2'!$A$18:$I$92,5,FALSE)</f>
        <v>0</v>
      </c>
      <c r="G477" s="567" t="s">
        <v>66</v>
      </c>
    </row>
    <row r="478" spans="1:7" ht="38.25">
      <c r="A478" s="563">
        <f t="shared" si="10"/>
        <v>470</v>
      </c>
      <c r="B478" s="564" t="str">
        <f>VLOOKUP(A478,'CHK Técnico-DB2'!$A$18:$I$92,4,FALSE)</f>
        <v>Estandarización.</v>
      </c>
      <c r="C478" s="564" t="str">
        <f>VLOOKUP(A478,'CHK Técnico-DB2'!$A$18:$I$63,3,FALSE)</f>
        <v>Validar que el Script se encuentre especificado en el PR.</v>
      </c>
      <c r="D478" s="565">
        <f>VLOOKUP(A478,'CHK Técnico-DB2'!$A$18:$I$92,9,FALSE)</f>
        <v>0</v>
      </c>
      <c r="E478" s="566">
        <f>VLOOKUP(A478,'CHK Técnico-DB2'!$A$18:$I$92,6,FALSE)</f>
        <v>0</v>
      </c>
      <c r="F478" s="567">
        <f>VLOOKUP(A478,'CHK Técnico-DB2'!$A$18:$I$92,5,FALSE)</f>
        <v>0</v>
      </c>
      <c r="G478" s="567" t="s">
        <v>66</v>
      </c>
    </row>
    <row r="479" spans="1:7">
      <c r="A479" s="563">
        <f t="shared" si="10"/>
        <v>471</v>
      </c>
      <c r="B479" s="564">
        <f>VLOOKUP(A479,'CHK Técnico-DB2'!$A$18:$I$92,4,FALSE)</f>
        <v>0</v>
      </c>
      <c r="C479" s="564">
        <f>VLOOKUP(A479,'CHK Técnico-DB2'!$A$18:$I$63,3,FALSE)</f>
        <v>0</v>
      </c>
      <c r="D479" s="565">
        <f>VLOOKUP(A479,'CHK Técnico-DB2'!$A$18:$I$92,9,FALSE)</f>
        <v>0</v>
      </c>
      <c r="E479" s="566">
        <f>VLOOKUP(A479,'CHK Técnico-DB2'!$A$18:$I$92,6,FALSE)</f>
        <v>0</v>
      </c>
      <c r="F479" s="567">
        <f>VLOOKUP(A479,'CHK Técnico-DB2'!$A$18:$I$92,5,FALSE)</f>
        <v>0</v>
      </c>
      <c r="G479" s="567" t="s">
        <v>66</v>
      </c>
    </row>
    <row r="480" spans="1:7">
      <c r="A480" s="563">
        <f t="shared" si="10"/>
        <v>472</v>
      </c>
      <c r="B480" s="564">
        <f>VLOOKUP(A480,'CHK Técnico-DB2'!$A$18:$I$92,4,FALSE)</f>
        <v>0</v>
      </c>
      <c r="C480" s="564">
        <f>VLOOKUP(A480,'CHK Técnico-DB2'!$A$18:$I$63,3,FALSE)</f>
        <v>0</v>
      </c>
      <c r="D480" s="565">
        <f>VLOOKUP(A480,'CHK Técnico-DB2'!$A$18:$I$92,9,FALSE)</f>
        <v>0</v>
      </c>
      <c r="E480" s="566">
        <f>VLOOKUP(A480,'CHK Técnico-DB2'!$A$18:$I$92,6,FALSE)</f>
        <v>0</v>
      </c>
      <c r="F480" s="567">
        <f>VLOOKUP(A480,'CHK Técnico-DB2'!$A$18:$I$92,5,FALSE)</f>
        <v>0</v>
      </c>
      <c r="G480" s="567" t="s">
        <v>66</v>
      </c>
    </row>
    <row r="481" spans="1:7">
      <c r="A481" s="563">
        <f t="shared" si="10"/>
        <v>473</v>
      </c>
      <c r="B481" s="564" t="e">
        <f>VLOOKUP(A481,'CHK Técnico-DB2'!$A$18:$I$92,4,FALSE)</f>
        <v>#N/A</v>
      </c>
      <c r="C481" s="564" t="e">
        <f>VLOOKUP(A481,'CHK Técnico-Macros'!$A$18:$I$52,3,FALSE)</f>
        <v>#N/A</v>
      </c>
      <c r="D481" s="565" t="e">
        <f>VLOOKUP(A481,'CHK Técnico-Macros'!$A$18:$I$81,9,FALSE)</f>
        <v>#N/A</v>
      </c>
      <c r="E481" s="566" t="e">
        <f>VLOOKUP(A481,'CHK Técnico-Macros'!$A$18:$I$81,6,FALSE)</f>
        <v>#N/A</v>
      </c>
      <c r="F481" s="567" t="e">
        <f>VLOOKUP(A481,'CHK Técnico-Macros'!$A$18:$I$81,5,FALSE)</f>
        <v>#N/A</v>
      </c>
      <c r="G481" s="567" t="s">
        <v>66</v>
      </c>
    </row>
    <row r="482" spans="1:7">
      <c r="A482" s="563">
        <f t="shared" si="10"/>
        <v>474</v>
      </c>
      <c r="B482" s="564" t="e">
        <f>VLOOKUP(A482,'CHK Técnico-DB2'!$A$18:$I$92,4,FALSE)</f>
        <v>#N/A</v>
      </c>
      <c r="C482" s="564" t="e">
        <f>VLOOKUP(A482,'CHK Técnico-Macros'!$A$18:$I$52,3,FALSE)</f>
        <v>#N/A</v>
      </c>
      <c r="D482" s="565" t="e">
        <f>VLOOKUP(A482,'CHK Técnico-Macros'!$A$18:$I$81,9,FALSE)</f>
        <v>#N/A</v>
      </c>
      <c r="E482" s="566" t="e">
        <f>VLOOKUP(A482,'CHK Técnico-Macros'!$A$18:$I$81,6,FALSE)</f>
        <v>#N/A</v>
      </c>
      <c r="F482" s="567" t="e">
        <f>VLOOKUP(A482,'CHK Técnico-Macros'!$A$18:$I$81,5,FALSE)</f>
        <v>#N/A</v>
      </c>
      <c r="G482" s="567" t="s">
        <v>66</v>
      </c>
    </row>
    <row r="483" spans="1:7">
      <c r="A483" s="563">
        <f t="shared" si="10"/>
        <v>475</v>
      </c>
      <c r="B483" s="564" t="e">
        <f>VLOOKUP(A483,'CHK Técnico-DB2'!$A$18:$I$92,4,FALSE)</f>
        <v>#N/A</v>
      </c>
      <c r="C483" s="564" t="e">
        <f>VLOOKUP(A483,'CHK Técnico-Macros'!$A$18:$I$52,3,FALSE)</f>
        <v>#N/A</v>
      </c>
      <c r="D483" s="565" t="e">
        <f>VLOOKUP(A483,'CHK Técnico-Macros'!$A$18:$I$81,9,FALSE)</f>
        <v>#N/A</v>
      </c>
      <c r="E483" s="566" t="e">
        <f>VLOOKUP(A483,'CHK Técnico-Macros'!$A$18:$I$81,6,FALSE)</f>
        <v>#N/A</v>
      </c>
      <c r="F483" s="567" t="e">
        <f>VLOOKUP(A483,'CHK Técnico-Macros'!$A$18:$I$81,5,FALSE)</f>
        <v>#N/A</v>
      </c>
      <c r="G483" s="567" t="s">
        <v>66</v>
      </c>
    </row>
    <row r="484" spans="1:7">
      <c r="A484" s="563">
        <f t="shared" si="10"/>
        <v>476</v>
      </c>
      <c r="B484" s="564" t="e">
        <f>VLOOKUP(A484,'CHK Técnico-DB2'!$A$18:$I$92,4,FALSE)</f>
        <v>#N/A</v>
      </c>
      <c r="C484" s="564" t="e">
        <f>VLOOKUP(A484,'CHK Técnico-Macros'!$A$18:$I$52,3,FALSE)</f>
        <v>#N/A</v>
      </c>
      <c r="D484" s="565" t="e">
        <f>VLOOKUP(A484,'CHK Técnico-Macros'!$A$18:$I$81,9,FALSE)</f>
        <v>#N/A</v>
      </c>
      <c r="E484" s="566" t="e">
        <f>VLOOKUP(A484,'CHK Técnico-Macros'!$A$18:$I$81,6,FALSE)</f>
        <v>#N/A</v>
      </c>
      <c r="F484" s="567" t="e">
        <f>VLOOKUP(A484,'CHK Técnico-Macros'!$A$18:$I$81,5,FALSE)</f>
        <v>#N/A</v>
      </c>
      <c r="G484" s="567" t="s">
        <v>66</v>
      </c>
    </row>
    <row r="485" spans="1:7">
      <c r="A485" s="563">
        <f t="shared" si="10"/>
        <v>477</v>
      </c>
      <c r="B485" s="564" t="e">
        <f>VLOOKUP(A485,'CHK Técnico-DB2'!$A$18:$I$92,4,FALSE)</f>
        <v>#N/A</v>
      </c>
      <c r="C485" s="564" t="e">
        <f>VLOOKUP(A485,'CHK Técnico-Macros'!$A$18:$I$52,3,FALSE)</f>
        <v>#N/A</v>
      </c>
      <c r="D485" s="565" t="e">
        <f>VLOOKUP(A485,'CHK Técnico-Macros'!$A$18:$I$81,9,FALSE)</f>
        <v>#N/A</v>
      </c>
      <c r="E485" s="566" t="e">
        <f>VLOOKUP(A485,'CHK Técnico-Macros'!$A$18:$I$81,6,FALSE)</f>
        <v>#N/A</v>
      </c>
      <c r="F485" s="567" t="e">
        <f>VLOOKUP(A485,'CHK Técnico-Macros'!$A$18:$I$81,5,FALSE)</f>
        <v>#N/A</v>
      </c>
      <c r="G485" s="567" t="s">
        <v>66</v>
      </c>
    </row>
    <row r="486" spans="1:7">
      <c r="A486" s="563">
        <f t="shared" si="10"/>
        <v>478</v>
      </c>
      <c r="B486" s="564" t="e">
        <f>VLOOKUP(A486,'CHK Técnico-DB2'!$A$18:$I$92,4,FALSE)</f>
        <v>#N/A</v>
      </c>
      <c r="C486" s="564" t="e">
        <f>VLOOKUP(A486,'CHK Técnico-Macros'!$A$18:$I$52,3,FALSE)</f>
        <v>#N/A</v>
      </c>
      <c r="D486" s="565" t="e">
        <f>VLOOKUP(A486,'CHK Técnico-Macros'!$A$18:$I$81,9,FALSE)</f>
        <v>#N/A</v>
      </c>
      <c r="E486" s="566" t="e">
        <f>VLOOKUP(A486,'CHK Técnico-Macros'!$A$18:$I$81,6,FALSE)</f>
        <v>#N/A</v>
      </c>
      <c r="F486" s="567" t="e">
        <f>VLOOKUP(A486,'CHK Técnico-Macros'!$A$18:$I$81,5,FALSE)</f>
        <v>#N/A</v>
      </c>
      <c r="G486" s="567" t="s">
        <v>66</v>
      </c>
    </row>
    <row r="487" spans="1:7">
      <c r="A487" s="563">
        <f t="shared" si="10"/>
        <v>479</v>
      </c>
      <c r="B487" s="564" t="e">
        <f>VLOOKUP(A487,'CHK Técnico-DB2'!$A$18:$I$92,4,FALSE)</f>
        <v>#N/A</v>
      </c>
      <c r="C487" s="564" t="e">
        <f>VLOOKUP(A487,'CHK Técnico-Macros'!$A$18:$I$52,3,FALSE)</f>
        <v>#N/A</v>
      </c>
      <c r="D487" s="565" t="e">
        <f>VLOOKUP(A487,'CHK Técnico-Macros'!$A$18:$I$81,9,FALSE)</f>
        <v>#N/A</v>
      </c>
      <c r="E487" s="566" t="e">
        <f>VLOOKUP(A487,'CHK Técnico-Macros'!$A$18:$I$81,6,FALSE)</f>
        <v>#N/A</v>
      </c>
      <c r="F487" s="567" t="e">
        <f>VLOOKUP(A487,'CHK Técnico-Macros'!$A$18:$I$81,5,FALSE)</f>
        <v>#N/A</v>
      </c>
      <c r="G487" s="567" t="s">
        <v>66</v>
      </c>
    </row>
    <row r="488" spans="1:7">
      <c r="A488" s="563">
        <f t="shared" si="10"/>
        <v>480</v>
      </c>
      <c r="B488" s="564" t="e">
        <f>VLOOKUP(A488,'CHK Técnico-DB2'!$A$18:$I$92,4,FALSE)</f>
        <v>#N/A</v>
      </c>
      <c r="C488" s="564" t="e">
        <f>VLOOKUP(A488,'CHK Técnico-Macros'!$A$18:$I$52,3,FALSE)</f>
        <v>#N/A</v>
      </c>
      <c r="D488" s="565" t="e">
        <f>VLOOKUP(A488,'CHK Técnico-Macros'!$A$18:$I$81,9,FALSE)</f>
        <v>#N/A</v>
      </c>
      <c r="E488" s="566" t="e">
        <f>VLOOKUP(A488,'CHK Técnico-Macros'!$A$18:$I$81,6,FALSE)</f>
        <v>#N/A</v>
      </c>
      <c r="F488" s="567" t="e">
        <f>VLOOKUP(A488,'CHK Técnico-Macros'!$A$18:$I$81,5,FALSE)</f>
        <v>#N/A</v>
      </c>
      <c r="G488" s="567" t="s">
        <v>66</v>
      </c>
    </row>
    <row r="489" spans="1:7">
      <c r="A489" s="563">
        <f t="shared" si="10"/>
        <v>481</v>
      </c>
      <c r="B489" s="564" t="e">
        <f>VLOOKUP(A489,'CHK Técnico-DB2'!$A$18:$I$92,4,FALSE)</f>
        <v>#N/A</v>
      </c>
      <c r="C489" s="564" t="e">
        <f>VLOOKUP(A489,'CHK Técnico-Macros'!$A$18:$I$52,3,FALSE)</f>
        <v>#N/A</v>
      </c>
      <c r="D489" s="565" t="e">
        <f>VLOOKUP(A489,'CHK Técnico-Macros'!$A$18:$I$81,9,FALSE)</f>
        <v>#N/A</v>
      </c>
      <c r="E489" s="566" t="e">
        <f>VLOOKUP(A489,'CHK Técnico-Macros'!$A$18:$I$81,6,FALSE)</f>
        <v>#N/A</v>
      </c>
      <c r="F489" s="567" t="e">
        <f>VLOOKUP(A489,'CHK Técnico-Macros'!$A$18:$I$81,5,FALSE)</f>
        <v>#N/A</v>
      </c>
      <c r="G489" s="567" t="s">
        <v>66</v>
      </c>
    </row>
    <row r="490" spans="1:7">
      <c r="A490" s="76">
        <f t="shared" si="10"/>
        <v>482</v>
      </c>
      <c r="B490" s="77">
        <f>VLOOKUP(A490,'CHK Técnico-ORACLE'!$A$18:$I$81,4,FALSE)</f>
        <v>0</v>
      </c>
      <c r="C490" s="77">
        <f>VLOOKUP(A490,'CHK Técnico-ORACLE'!$A$18:$I$81,3,FALSE)</f>
        <v>0</v>
      </c>
      <c r="D490" s="78">
        <f>VLOOKUP(A490,'CHK Técnico-ORACLE'!$A$18:$I$81,9,FALSE)</f>
        <v>0</v>
      </c>
      <c r="E490" s="79">
        <f>VLOOKUP(A490,'CHK Técnico-ORACLE'!$A$18:$I$81,6,FALSE)</f>
        <v>0</v>
      </c>
      <c r="F490" s="80">
        <f>VLOOKUP(A490,'CHK Técnico-ORACLE'!$A$18:$I$81,5,FALSE)</f>
        <v>0</v>
      </c>
      <c r="G490" s="80" t="s">
        <v>66</v>
      </c>
    </row>
    <row r="491" spans="1:7" ht="51">
      <c r="A491" s="76">
        <f t="shared" si="10"/>
        <v>483</v>
      </c>
      <c r="B491" s="77" t="str">
        <f>VLOOKUP(A491,'CHK Técnico-ORACLE'!$A$18:$I$81,4,FALSE)</f>
        <v>Documentación</v>
      </c>
      <c r="C491" s="77" t="str">
        <f>VLOOKUP(A491,'CHK Técnico-ORACLE'!$A$18:$I$81,3,FALSE)</f>
        <v>Incluye sección de objetos Oracle a pasar O componente(s) para el pase automático</v>
      </c>
      <c r="D491" s="78">
        <f>VLOOKUP(A491,'CHK Técnico-ORACLE'!$A$18:$I$81,9,FALSE)</f>
        <v>0</v>
      </c>
      <c r="E491" s="79">
        <f>VLOOKUP(A491,'CHK Técnico-ORACLE'!$A$18:$I$81,6,FALSE)</f>
        <v>0</v>
      </c>
      <c r="F491" s="80">
        <f>VLOOKUP(A491,'CHK Técnico-ORACLE'!$A$18:$I$81,5,FALSE)</f>
        <v>0</v>
      </c>
      <c r="G491" s="80" t="s">
        <v>66</v>
      </c>
    </row>
    <row r="492" spans="1:7" ht="38.25">
      <c r="A492" s="76">
        <f t="shared" si="10"/>
        <v>484</v>
      </c>
      <c r="B492" s="77" t="str">
        <f>VLOOKUP(A492,'CHK Técnico-ORACLE'!$A$18:$I$81,4,FALSE)</f>
        <v>Homologación/Versionamiento</v>
      </c>
      <c r="C492" s="77" t="str">
        <f>VLOOKUP(A492,'CHK Técnico-ORACLE'!$A$18:$I$81,3,FALSE)</f>
        <v>Objetos considerados en pase son entregados por Harvest</v>
      </c>
      <c r="D492" s="78" t="str">
        <f>VLOOKUP(A492,'CHK Técnico-ORACLE'!$A$18:$I$81,9,FALSE)</f>
        <v xml:space="preserve">  </v>
      </c>
      <c r="E492" s="79">
        <f>VLOOKUP(A492,'CHK Técnico-ORACLE'!$A$18:$I$81,6,FALSE)</f>
        <v>0</v>
      </c>
      <c r="F492" s="80">
        <f>VLOOKUP(A492,'CHK Técnico-ORACLE'!$A$18:$I$81,5,FALSE)</f>
        <v>0</v>
      </c>
      <c r="G492" s="80" t="s">
        <v>66</v>
      </c>
    </row>
    <row r="493" spans="1:7" ht="51">
      <c r="A493" s="76">
        <f t="shared" si="10"/>
        <v>485</v>
      </c>
      <c r="B493" s="77" t="str">
        <f>VLOOKUP(A493,'CHK Técnico-ORACLE'!$A$18:$I$81,4,FALSE)</f>
        <v>Documentación</v>
      </c>
      <c r="C493" s="77" t="str">
        <f>VLOOKUP(A493,'CHK Técnico-ORACLE'!$A$18:$I$81,3,FALSE)</f>
        <v>Cuando se ha cambiado la estructura de un archivo se ha incluido el componente de reformateo</v>
      </c>
      <c r="D493" s="78" t="str">
        <f>VLOOKUP(A493,'CHK Técnico-ORACLE'!$A$18:$I$81,9,FALSE)</f>
        <v xml:space="preserve">  </v>
      </c>
      <c r="E493" s="79">
        <f>VLOOKUP(A493,'CHK Técnico-ORACLE'!$A$18:$I$81,6,FALSE)</f>
        <v>0</v>
      </c>
      <c r="F493" s="80">
        <f>VLOOKUP(A493,'CHK Técnico-ORACLE'!$A$18:$I$81,5,FALSE)</f>
        <v>0</v>
      </c>
      <c r="G493" s="80" t="s">
        <v>66</v>
      </c>
    </row>
    <row r="494" spans="1:7" ht="63.75">
      <c r="A494" s="76">
        <f t="shared" si="10"/>
        <v>486</v>
      </c>
      <c r="B494" s="77" t="str">
        <f>VLOOKUP(A494,'CHK Técnico-ORACLE'!$A$18:$I$81,4,FALSE)</f>
        <v>Documentación</v>
      </c>
      <c r="C494" s="77" t="str">
        <f>VLOOKUP(A494,'CHK Técnico-ORACLE'!$A$18:$I$81,3,FALSE)</f>
        <v>Se ha incluido las instrucciones para ejecución de los Scripts de actualización de datos requeridos</v>
      </c>
      <c r="D494" s="78" t="str">
        <f>VLOOKUP(A494,'CHK Técnico-ORACLE'!$A$18:$I$81,9,FALSE)</f>
        <v xml:space="preserve">  </v>
      </c>
      <c r="E494" s="79">
        <f>VLOOKUP(A494,'CHK Técnico-ORACLE'!$A$18:$I$81,6,FALSE)</f>
        <v>0</v>
      </c>
      <c r="F494" s="80">
        <f>VLOOKUP(A494,'CHK Técnico-ORACLE'!$A$18:$I$81,5,FALSE)</f>
        <v>0</v>
      </c>
      <c r="G494" s="80" t="s">
        <v>66</v>
      </c>
    </row>
    <row r="495" spans="1:7" ht="51">
      <c r="A495" s="76">
        <f t="shared" si="10"/>
        <v>487</v>
      </c>
      <c r="B495" s="77" t="str">
        <f>VLOOKUP(A495,'CHK Técnico-ORACLE'!$A$18:$I$81,4,FALSE)</f>
        <v>Homologación/Versionamiento</v>
      </c>
      <c r="C495" s="77" t="str">
        <f>VLOOKUP(A495,'CHK Técnico-ORACLE'!$A$18:$I$81,3,FALSE)</f>
        <v>¿La cantidad de objetos indicados en PR corresponde a los subidos en el Harvest y viceversa?</v>
      </c>
      <c r="D495" s="78" t="str">
        <f>VLOOKUP(A495,'CHK Técnico-ORACLE'!$A$18:$I$81,9,FALSE)</f>
        <v xml:space="preserve">  </v>
      </c>
      <c r="E495" s="79">
        <f>VLOOKUP(A495,'CHK Técnico-ORACLE'!$A$18:$I$81,6,FALSE)</f>
        <v>0</v>
      </c>
      <c r="F495" s="80">
        <f>VLOOKUP(A495,'CHK Técnico-ORACLE'!$A$18:$I$81,5,FALSE)</f>
        <v>0</v>
      </c>
      <c r="G495" s="80" t="s">
        <v>66</v>
      </c>
    </row>
    <row r="496" spans="1:7" ht="38.25">
      <c r="A496" s="76">
        <f t="shared" si="10"/>
        <v>488</v>
      </c>
      <c r="B496" s="77" t="str">
        <f>VLOOKUP(A496,'CHK Técnico-ORACLE'!$A$18:$I$81,4,FALSE)</f>
        <v>Homologación/Versionamiento</v>
      </c>
      <c r="C496" s="77" t="str">
        <f>VLOOKUP(A496,'CHK Técnico-ORACLE'!$A$18:$I$81,3,FALSE)</f>
        <v>¿Las rutas indicadas para los objetos corresponde a la ruta del Harvest?</v>
      </c>
      <c r="D496" s="78" t="str">
        <f>VLOOKUP(A496,'CHK Técnico-ORACLE'!$A$18:$I$81,9,FALSE)</f>
        <v xml:space="preserve">  </v>
      </c>
      <c r="E496" s="79">
        <f>VLOOKUP(A496,'CHK Técnico-ORACLE'!$A$18:$I$81,6,FALSE)</f>
        <v>0</v>
      </c>
      <c r="F496" s="80">
        <f>VLOOKUP(A496,'CHK Técnico-ORACLE'!$A$18:$I$81,5,FALSE)</f>
        <v>0</v>
      </c>
      <c r="G496" s="80" t="s">
        <v>66</v>
      </c>
    </row>
    <row r="497" spans="1:7" ht="51">
      <c r="A497" s="76">
        <f t="shared" si="10"/>
        <v>489</v>
      </c>
      <c r="B497" s="77" t="str">
        <f>VLOOKUP(A497,'CHK Técnico-ORACLE'!$A$18:$I$81,4,FALSE)</f>
        <v>Homologación/Versionamiento</v>
      </c>
      <c r="C497" s="77" t="str">
        <f>VLOOKUP(A497,'CHK Técnico-ORACLE'!$A$18:$I$81,3,FALSE)</f>
        <v>¿Para el caso de SCRIPT, se ha publicado en la ruta correcta de acuerdo al estándar.?</v>
      </c>
      <c r="D497" s="78" t="str">
        <f>VLOOKUP(A497,'CHK Técnico-ORACLE'!$A$18:$I$81,9,FALSE)</f>
        <v xml:space="preserve">  </v>
      </c>
      <c r="E497" s="79">
        <f>VLOOKUP(A497,'CHK Técnico-ORACLE'!$A$18:$I$81,6,FALSE)</f>
        <v>0</v>
      </c>
      <c r="F497" s="80">
        <f>VLOOKUP(A497,'CHK Técnico-ORACLE'!$A$18:$I$81,5,FALSE)</f>
        <v>0</v>
      </c>
      <c r="G497" s="80" t="s">
        <v>66</v>
      </c>
    </row>
    <row r="498" spans="1:7">
      <c r="A498" s="76">
        <f t="shared" si="10"/>
        <v>490</v>
      </c>
      <c r="B498" s="77">
        <f>VLOOKUP(A498,'CHK Técnico-ORACLE'!$A$18:$I$81,4,FALSE)</f>
        <v>0</v>
      </c>
      <c r="C498" s="77">
        <f>VLOOKUP(A498,'CHK Técnico-ORACLE'!$A$18:$I$81,3,FALSE)</f>
        <v>0</v>
      </c>
      <c r="D498" s="78">
        <f>VLOOKUP(A498,'CHK Técnico-ORACLE'!$A$18:$I$81,9,FALSE)</f>
        <v>0</v>
      </c>
      <c r="E498" s="79">
        <f>VLOOKUP(A498,'CHK Técnico-ORACLE'!$A$18:$I$81,6,FALSE)</f>
        <v>0</v>
      </c>
      <c r="F498" s="80">
        <f>VLOOKUP(A498,'CHK Técnico-ORACLE'!$A$18:$I$81,5,FALSE)</f>
        <v>0</v>
      </c>
      <c r="G498" s="80" t="s">
        <v>66</v>
      </c>
    </row>
    <row r="499" spans="1:7" ht="51">
      <c r="A499" s="76">
        <f t="shared" si="10"/>
        <v>491</v>
      </c>
      <c r="B499" s="77" t="str">
        <f>VLOOKUP(A499,'CHK Técnico-ORACLE'!$A$18:$I$81,4,FALSE)</f>
        <v>Estandarización</v>
      </c>
      <c r="C499" s="77" t="str">
        <f>VLOOKUP(A499,'CHK Técnico-ORACLE'!$A$18:$I$81,3,FALSE)</f>
        <v>Nombres de tablas nuevas descriptivos y singulares (ej: SOLICITUD_TRASPASO_ENTRADA)</v>
      </c>
      <c r="D499" s="78" t="str">
        <f>VLOOKUP(A499,'CHK Técnico-ORACLE'!$A$18:$I$81,9,FALSE)</f>
        <v xml:space="preserve">  </v>
      </c>
      <c r="E499" s="79">
        <f>VLOOKUP(A499,'CHK Técnico-ORACLE'!$A$18:$I$81,6,FALSE)</f>
        <v>0</v>
      </c>
      <c r="F499" s="80">
        <f>VLOOKUP(A499,'CHK Técnico-ORACLE'!$A$18:$I$81,5,FALSE)</f>
        <v>0</v>
      </c>
      <c r="G499" s="80" t="s">
        <v>66</v>
      </c>
    </row>
    <row r="500" spans="1:7" ht="51">
      <c r="A500" s="76">
        <f t="shared" si="10"/>
        <v>492</v>
      </c>
      <c r="B500" s="77" t="str">
        <f>VLOOKUP(A500,'CHK Técnico-ORACLE'!$A$18:$I$81,4,FALSE)</f>
        <v>Estandarización</v>
      </c>
      <c r="C500" s="77" t="str">
        <f>VLOOKUP(A500,'CHK Técnico-ORACLE'!$A$18:$I$81,3,FALSE)</f>
        <v>Nombres de campos nuevos con forma DATO_CALIFICADOR_SUJETO</v>
      </c>
      <c r="D500" s="78" t="str">
        <f>VLOOKUP(A500,'CHK Técnico-ORACLE'!$A$18:$I$81,9,FALSE)</f>
        <v xml:space="preserve">  </v>
      </c>
      <c r="E500" s="79">
        <f>VLOOKUP(A500,'CHK Técnico-ORACLE'!$A$18:$I$81,6,FALSE)</f>
        <v>0</v>
      </c>
      <c r="F500" s="80">
        <f>VLOOKUP(A500,'CHK Técnico-ORACLE'!$A$18:$I$81,5,FALSE)</f>
        <v>0</v>
      </c>
      <c r="G500" s="80" t="s">
        <v>66</v>
      </c>
    </row>
    <row r="501" spans="1:7" ht="38.25">
      <c r="A501" s="76">
        <f t="shared" ref="A501:A564" si="11">A500+1</f>
        <v>493</v>
      </c>
      <c r="B501" s="77" t="str">
        <f>VLOOKUP(A501,'CHK Técnico-ORACLE'!$A$18:$I$81,4,FALSE)</f>
        <v>Estandarización</v>
      </c>
      <c r="C501" s="77" t="str">
        <f>VLOOKUP(A501,'CHK Técnico-ORACLE'!$A$18:$I$81,3,FALSE)</f>
        <v>Nombres de índices nuevos con información de campos componentes</v>
      </c>
      <c r="D501" s="78" t="str">
        <f>VLOOKUP(A501,'CHK Técnico-ORACLE'!$A$18:$I$81,9,FALSE)</f>
        <v xml:space="preserve">  </v>
      </c>
      <c r="E501" s="79">
        <f>VLOOKUP(A501,'CHK Técnico-ORACLE'!$A$18:$I$81,6,FALSE)</f>
        <v>0</v>
      </c>
      <c r="F501" s="80">
        <f>VLOOKUP(A501,'CHK Técnico-ORACLE'!$A$18:$I$81,5,FALSE)</f>
        <v>0</v>
      </c>
      <c r="G501" s="80" t="s">
        <v>66</v>
      </c>
    </row>
    <row r="502" spans="1:7" ht="63.75">
      <c r="A502" s="76">
        <f t="shared" si="11"/>
        <v>494</v>
      </c>
      <c r="B502" s="77" t="str">
        <f>VLOOKUP(A502,'CHK Técnico-ORACLE'!$A$18:$I$81,4,FALSE)</f>
        <v>Estandarización</v>
      </c>
      <c r="C502" s="77" t="str">
        <f>VLOOKUP(A502,'CHK Técnico-ORACLE'!$A$18:$I$81,3,FALSE)</f>
        <v xml:space="preserve">Nombres de triggers nuevos con forma APL_INS/ELI/ACT_NOMBRETABLA_ANTES/DESPUES </v>
      </c>
      <c r="D502" s="78" t="str">
        <f>VLOOKUP(A502,'CHK Técnico-ORACLE'!$A$18:$I$81,9,FALSE)</f>
        <v xml:space="preserve">  </v>
      </c>
      <c r="E502" s="79">
        <f>VLOOKUP(A502,'CHK Técnico-ORACLE'!$A$18:$I$81,6,FALSE)</f>
        <v>0</v>
      </c>
      <c r="F502" s="80">
        <f>VLOOKUP(A502,'CHK Técnico-ORACLE'!$A$18:$I$81,5,FALSE)</f>
        <v>0</v>
      </c>
      <c r="G502" s="80" t="s">
        <v>66</v>
      </c>
    </row>
    <row r="503" spans="1:7" ht="51">
      <c r="A503" s="76">
        <f t="shared" si="11"/>
        <v>495</v>
      </c>
      <c r="B503" s="77" t="str">
        <f>VLOOKUP(A503,'CHK Técnico-ORACLE'!$A$18:$I$81,4,FALSE)</f>
        <v>Estandarización</v>
      </c>
      <c r="C503" s="77" t="str">
        <f>VLOOKUP(A503,'CHK Técnico-ORACLE'!$A$18:$I$81,3,FALSE)</f>
        <v>Nombres de procedures nuevos con forma APL_ACCION[_PROCESO]_ENTIDAD_CALIFICADOR</v>
      </c>
      <c r="D503" s="78" t="str">
        <f>VLOOKUP(A503,'CHK Técnico-ORACLE'!$A$18:$I$81,9,FALSE)</f>
        <v xml:space="preserve">  </v>
      </c>
      <c r="E503" s="79">
        <f>VLOOKUP(A503,'CHK Técnico-ORACLE'!$A$18:$I$81,6,FALSE)</f>
        <v>0</v>
      </c>
      <c r="F503" s="80">
        <f>VLOOKUP(A503,'CHK Técnico-ORACLE'!$A$18:$I$81,5,FALSE)</f>
        <v>0</v>
      </c>
      <c r="G503" s="80" t="s">
        <v>66</v>
      </c>
    </row>
    <row r="504" spans="1:7" ht="38.25">
      <c r="A504" s="76">
        <f t="shared" si="11"/>
        <v>496</v>
      </c>
      <c r="B504" s="77" t="str">
        <f>VLOOKUP(A504,'CHK Técnico-ORACLE'!$A$18:$I$81,4,FALSE)</f>
        <v>Estandarización</v>
      </c>
      <c r="C504" s="77" t="str">
        <f>VLOOKUP(A504,'CHK Técnico-ORACLE'!$A$18:$I$81,3,FALSE)</f>
        <v>Nombres de Jobs con formato APL - Descripción del Job</v>
      </c>
      <c r="D504" s="78" t="str">
        <f>VLOOKUP(A504,'CHK Técnico-ORACLE'!$A$18:$I$81,9,FALSE)</f>
        <v xml:space="preserve">  </v>
      </c>
      <c r="E504" s="79">
        <f>VLOOKUP(A504,'CHK Técnico-ORACLE'!$A$18:$I$81,6,FALSE)</f>
        <v>0</v>
      </c>
      <c r="F504" s="80">
        <f>VLOOKUP(A504,'CHK Técnico-ORACLE'!$A$18:$I$81,5,FALSE)</f>
        <v>0</v>
      </c>
      <c r="G504" s="80" t="s">
        <v>66</v>
      </c>
    </row>
    <row r="505" spans="1:7" ht="38.25">
      <c r="A505" s="76">
        <f t="shared" si="11"/>
        <v>497</v>
      </c>
      <c r="B505" s="77" t="str">
        <f>VLOOKUP(A505,'CHK Técnico-ORACLE'!$A$18:$I$81,4,FALSE)</f>
        <v>Estandarización</v>
      </c>
      <c r="C505" s="77" t="str">
        <f>VLOOKUP(A505,'CHK Técnico-ORACLE'!$A$18:$I$81,3,FALSE)</f>
        <v>La nomenclatura de los script, sigue el estándar:
Script_OT9999_N.SQL?</v>
      </c>
      <c r="D505" s="78" t="str">
        <f>VLOOKUP(A505,'CHK Técnico-ORACLE'!$A$18:$I$81,9,FALSE)</f>
        <v xml:space="preserve">  </v>
      </c>
      <c r="E505" s="79">
        <f>VLOOKUP(A505,'CHK Técnico-ORACLE'!$A$18:$I$81,6,FALSE)</f>
        <v>0</v>
      </c>
      <c r="F505" s="80">
        <f>VLOOKUP(A505,'CHK Técnico-ORACLE'!$A$18:$I$81,5,FALSE)</f>
        <v>0</v>
      </c>
      <c r="G505" s="80" t="s">
        <v>66</v>
      </c>
    </row>
    <row r="506" spans="1:7">
      <c r="A506" s="76">
        <f t="shared" si="11"/>
        <v>498</v>
      </c>
      <c r="B506" s="77">
        <f>VLOOKUP(A506,'CHK Técnico-ORACLE'!$A$18:$I$81,4,FALSE)</f>
        <v>0</v>
      </c>
      <c r="C506" s="77">
        <f>VLOOKUP(A506,'CHK Técnico-ORACLE'!$A$18:$I$81,3,FALSE)</f>
        <v>0</v>
      </c>
      <c r="D506" s="78">
        <f>VLOOKUP(A506,'CHK Técnico-ORACLE'!$A$18:$I$81,9,FALSE)</f>
        <v>0</v>
      </c>
      <c r="E506" s="79">
        <f>VLOOKUP(A506,'CHK Técnico-ORACLE'!$A$18:$I$81,6,FALSE)</f>
        <v>0</v>
      </c>
      <c r="F506" s="80">
        <f>VLOOKUP(A506,'CHK Técnico-ORACLE'!$A$18:$I$81,5,FALSE)</f>
        <v>0</v>
      </c>
      <c r="G506" s="80" t="s">
        <v>66</v>
      </c>
    </row>
    <row r="507" spans="1:7" ht="51">
      <c r="A507" s="76">
        <f t="shared" si="11"/>
        <v>499</v>
      </c>
      <c r="B507" s="77" t="str">
        <f>VLOOKUP(A507,'CHK Técnico-ORACLE'!$A$18:$I$81,4,FALSE)</f>
        <v>Estandarización</v>
      </c>
      <c r="C507" s="77" t="str">
        <f>VLOOKUP(A507,'CHK Técnico-ORACLE'!$A$18:$I$81,3,FALSE)</f>
        <v>Para nuevos archivos maestros permanentes se respeta la 3ra. Forma normal</v>
      </c>
      <c r="D507" s="78" t="str">
        <f>VLOOKUP(A507,'CHK Técnico-ORACLE'!$A$18:$I$81,9,FALSE)</f>
        <v xml:space="preserve">  </v>
      </c>
      <c r="E507" s="79">
        <f>VLOOKUP(A507,'CHK Técnico-ORACLE'!$A$18:$I$81,6,FALSE)</f>
        <v>0</v>
      </c>
      <c r="F507" s="80">
        <f>VLOOKUP(A507,'CHK Técnico-ORACLE'!$A$18:$I$81,5,FALSE)</f>
        <v>0</v>
      </c>
      <c r="G507" s="80" t="s">
        <v>66</v>
      </c>
    </row>
    <row r="508" spans="1:7" ht="38.25">
      <c r="A508" s="76">
        <f t="shared" si="11"/>
        <v>500</v>
      </c>
      <c r="B508" s="77" t="str">
        <f>VLOOKUP(A508,'CHK Técnico-ORACLE'!$A$18:$I$81,4,FALSE)</f>
        <v>Estandarización</v>
      </c>
      <c r="C508" s="77" t="str">
        <f>VLOOKUP(A508,'CHK Técnico-ORACLE'!$A$18:$I$81,3,FALSE)</f>
        <v>Las tablas tienen índice primario (a excepción de las tablas logs)</v>
      </c>
      <c r="D508" s="78" t="str">
        <f>VLOOKUP(A508,'CHK Técnico-ORACLE'!$A$18:$I$81,9,FALSE)</f>
        <v xml:space="preserve">  </v>
      </c>
      <c r="E508" s="79">
        <f>VLOOKUP(A508,'CHK Técnico-ORACLE'!$A$18:$I$81,6,FALSE)</f>
        <v>0</v>
      </c>
      <c r="F508" s="80">
        <f>VLOOKUP(A508,'CHK Técnico-ORACLE'!$A$18:$I$81,5,FALSE)</f>
        <v>0</v>
      </c>
      <c r="G508" s="80" t="s">
        <v>66</v>
      </c>
    </row>
    <row r="509" spans="1:7" ht="51">
      <c r="A509" s="76">
        <f t="shared" si="11"/>
        <v>501</v>
      </c>
      <c r="B509" s="77" t="str">
        <f>VLOOKUP(A509,'CHK Técnico-ORACLE'!$A$18:$I$81,4,FALSE)</f>
        <v>Estandarización</v>
      </c>
      <c r="C509" s="77" t="str">
        <f>VLOOKUP(A509,'CHK Técnico-ORACLE'!$A$18:$I$81,3,FALSE)</f>
        <v>Campos fecha en formato DATE (si se requiere registrar la fecha) o TIME (si requiere registrar la hora)</v>
      </c>
      <c r="D509" s="78" t="str">
        <f>VLOOKUP(A509,'CHK Técnico-ORACLE'!$A$18:$I$81,9,FALSE)</f>
        <v xml:space="preserve">  </v>
      </c>
      <c r="E509" s="79">
        <f>VLOOKUP(A509,'CHK Técnico-ORACLE'!$A$18:$I$81,6,FALSE)</f>
        <v>0</v>
      </c>
      <c r="F509" s="80">
        <f>VLOOKUP(A509,'CHK Técnico-ORACLE'!$A$18:$I$81,5,FALSE)</f>
        <v>0</v>
      </c>
      <c r="G509" s="80" t="s">
        <v>66</v>
      </c>
    </row>
    <row r="510" spans="1:7" ht="25.5">
      <c r="A510" s="76">
        <f t="shared" si="11"/>
        <v>502</v>
      </c>
      <c r="B510" s="77" t="str">
        <f>VLOOKUP(A510,'CHK Técnico-ORACLE'!$A$18:$I$81,4,FALSE)</f>
        <v>Estandarización</v>
      </c>
      <c r="C510" s="77" t="str">
        <f>VLOOKUP(A510,'CHK Técnico-ORACLE'!$A$18:$I$81,3,FALSE)</f>
        <v>Campos con valor monetario del tipo DECIMAL(15,2)</v>
      </c>
      <c r="D510" s="78" t="str">
        <f>VLOOKUP(A510,'CHK Técnico-ORACLE'!$A$18:$I$81,9,FALSE)</f>
        <v xml:space="preserve">  </v>
      </c>
      <c r="E510" s="79">
        <f>VLOOKUP(A510,'CHK Técnico-ORACLE'!$A$18:$I$81,6,FALSE)</f>
        <v>0</v>
      </c>
      <c r="F510" s="80">
        <f>VLOOKUP(A510,'CHK Técnico-ORACLE'!$A$18:$I$81,5,FALSE)</f>
        <v>0</v>
      </c>
      <c r="G510" s="80" t="s">
        <v>66</v>
      </c>
    </row>
    <row r="511" spans="1:7">
      <c r="A511" s="76">
        <f t="shared" si="11"/>
        <v>503</v>
      </c>
      <c r="B511" s="77">
        <f>VLOOKUP(A511,'CHK Técnico-ORACLE'!$A$18:$I$81,4,FALSE)</f>
        <v>0</v>
      </c>
      <c r="C511" s="77">
        <f>VLOOKUP(A511,'CHK Técnico-ORACLE'!$A$18:$I$81,3,FALSE)</f>
        <v>0</v>
      </c>
      <c r="D511" s="78">
        <f>VLOOKUP(A511,'CHK Técnico-ORACLE'!$A$18:$I$81,9,FALSE)</f>
        <v>0</v>
      </c>
      <c r="E511" s="79">
        <f>VLOOKUP(A511,'CHK Técnico-ORACLE'!$A$18:$I$81,6,FALSE)</f>
        <v>0</v>
      </c>
      <c r="F511" s="80">
        <f>VLOOKUP(A511,'CHK Técnico-ORACLE'!$A$18:$I$81,5,FALSE)</f>
        <v>0</v>
      </c>
      <c r="G511" s="80" t="s">
        <v>66</v>
      </c>
    </row>
    <row r="512" spans="1:7" ht="76.5">
      <c r="A512" s="76">
        <f t="shared" si="11"/>
        <v>504</v>
      </c>
      <c r="B512" s="77" t="str">
        <f>VLOOKUP(A512,'CHK Técnico-ORACLE'!$A$18:$I$81,4,FALSE)</f>
        <v>Estandarización</v>
      </c>
      <c r="C512" s="77" t="str">
        <f>VLOOKUP(A512,'CHK Técnico-ORACLE'!$A$18:$I$81,3,FALSE)</f>
        <v>Se usa la sentencia EXECUTE solo en caso de acceso a información de una base de datos distinta o para ejecutar procesos sobre la misma BD</v>
      </c>
      <c r="D512" s="78" t="str">
        <f>VLOOKUP(A512,'CHK Técnico-ORACLE'!$A$18:$I$81,9,FALSE)</f>
        <v xml:space="preserve">  </v>
      </c>
      <c r="E512" s="79">
        <f>VLOOKUP(A512,'CHK Técnico-ORACLE'!$A$18:$I$81,6,FALSE)</f>
        <v>0</v>
      </c>
      <c r="F512" s="80">
        <f>VLOOKUP(A512,'CHK Técnico-ORACLE'!$A$18:$I$81,5,FALSE)</f>
        <v>0</v>
      </c>
      <c r="G512" s="80" t="s">
        <v>66</v>
      </c>
    </row>
    <row r="513" spans="1:7" ht="38.25">
      <c r="A513" s="76">
        <f t="shared" si="11"/>
        <v>505</v>
      </c>
      <c r="B513" s="77" t="str">
        <f>VLOOKUP(A513,'CHK Técnico-ORACLE'!$A$18:$I$81,4,FALSE)</f>
        <v>Estandarización</v>
      </c>
      <c r="C513" s="77" t="str">
        <f>VLOOKUP(A513,'CHK Técnico-ORACLE'!$A$18:$I$81,3,FALSE)</f>
        <v>Declaración de variables con nombres que permitan la mantenibilidad</v>
      </c>
      <c r="D513" s="78" t="str">
        <f>VLOOKUP(A513,'CHK Técnico-ORACLE'!$A$18:$I$81,9,FALSE)</f>
        <v xml:space="preserve">  </v>
      </c>
      <c r="E513" s="79">
        <f>VLOOKUP(A513,'CHK Técnico-ORACLE'!$A$18:$I$81,6,FALSE)</f>
        <v>0</v>
      </c>
      <c r="F513" s="80">
        <f>VLOOKUP(A513,'CHK Técnico-ORACLE'!$A$18:$I$81,5,FALSE)</f>
        <v>0</v>
      </c>
      <c r="G513" s="80" t="s">
        <v>66</v>
      </c>
    </row>
    <row r="514" spans="1:7" ht="38.25">
      <c r="A514" s="76">
        <f t="shared" si="11"/>
        <v>506</v>
      </c>
      <c r="B514" s="77" t="str">
        <f>VLOOKUP(A514,'CHK Técnico-ORACLE'!$A$18:$I$81,4,FALSE)</f>
        <v>Estandarización</v>
      </c>
      <c r="C514" s="77" t="str">
        <f>VLOOKUP(A514,'CHK Técnico-ORACLE'!$A$18:$I$81,3,FALSE)</f>
        <v>Nombres cortos para variables que recorren bucles</v>
      </c>
      <c r="D514" s="78" t="str">
        <f>VLOOKUP(A514,'CHK Técnico-ORACLE'!$A$18:$I$81,9,FALSE)</f>
        <v xml:space="preserve">  </v>
      </c>
      <c r="E514" s="79">
        <f>VLOOKUP(A514,'CHK Técnico-ORACLE'!$A$18:$I$81,6,FALSE)</f>
        <v>0</v>
      </c>
      <c r="F514" s="80">
        <f>VLOOKUP(A514,'CHK Técnico-ORACLE'!$A$18:$I$81,5,FALSE)</f>
        <v>0</v>
      </c>
      <c r="G514" s="80" t="s">
        <v>66</v>
      </c>
    </row>
    <row r="515" spans="1:7" ht="38.25">
      <c r="A515" s="76">
        <f t="shared" si="11"/>
        <v>507</v>
      </c>
      <c r="B515" s="77" t="str">
        <f>VLOOKUP(A515,'CHK Técnico-ORACLE'!$A$18:$I$81,4,FALSE)</f>
        <v>Estandarización</v>
      </c>
      <c r="C515" s="77" t="str">
        <f>VLOOKUP(A515,'CHK Técnico-ORACLE'!$A$18:$I$81,3,FALSE)</f>
        <v>Sentencias SELECT se han escrito en forma estructurada y no de corrido</v>
      </c>
      <c r="D515" s="78" t="str">
        <f>VLOOKUP(A515,'CHK Técnico-ORACLE'!$A$18:$I$81,9,FALSE)</f>
        <v xml:space="preserve">  </v>
      </c>
      <c r="E515" s="79">
        <f>VLOOKUP(A515,'CHK Técnico-ORACLE'!$A$18:$I$81,6,FALSE)</f>
        <v>0</v>
      </c>
      <c r="F515" s="80">
        <f>VLOOKUP(A515,'CHK Técnico-ORACLE'!$A$18:$I$81,5,FALSE)</f>
        <v>0</v>
      </c>
      <c r="G515" s="80" t="s">
        <v>66</v>
      </c>
    </row>
    <row r="516" spans="1:7" ht="51">
      <c r="A516" s="76">
        <f t="shared" si="11"/>
        <v>508</v>
      </c>
      <c r="B516" s="77" t="str">
        <f>VLOOKUP(A516,'CHK Técnico-ORACLE'!$A$18:$I$81,4,FALSE)</f>
        <v>Estandarización</v>
      </c>
      <c r="C516" s="77" t="str">
        <f>VLOOKUP(A516,'CHK Técnico-ORACLE'!$A$18:$I$81,3,FALSE)</f>
        <v>Las instrucciones SELECT con OR, &lt;&gt; , NOT, IN tienen condición adicional "=" que limita búsqueda</v>
      </c>
      <c r="D516" s="78" t="str">
        <f>VLOOKUP(A516,'CHK Técnico-ORACLE'!$A$18:$I$81,9,FALSE)</f>
        <v xml:space="preserve">  </v>
      </c>
      <c r="E516" s="79">
        <f>VLOOKUP(A516,'CHK Técnico-ORACLE'!$A$18:$I$81,6,FALSE)</f>
        <v>0</v>
      </c>
      <c r="F516" s="80">
        <f>VLOOKUP(A516,'CHK Técnico-ORACLE'!$A$18:$I$81,5,FALSE)</f>
        <v>0</v>
      </c>
      <c r="G516" s="80" t="s">
        <v>66</v>
      </c>
    </row>
    <row r="517" spans="1:7" ht="51">
      <c r="A517" s="76">
        <f t="shared" si="11"/>
        <v>509</v>
      </c>
      <c r="B517" s="77" t="str">
        <f>VLOOKUP(A517,'CHK Técnico-ORACLE'!$A$18:$I$81,4,FALSE)</f>
        <v>Estandarización</v>
      </c>
      <c r="C517" s="77" t="str">
        <f>VLOOKUP(A517,'CHK Técnico-ORACLE'!$A$18:$I$81,3,FALSE)</f>
        <v>Condiciones con SUBSTR en SELECT tienen condición adicional "=" que limita búsqueda</v>
      </c>
      <c r="D517" s="78" t="str">
        <f>VLOOKUP(A517,'CHK Técnico-ORACLE'!$A$18:$I$81,9,FALSE)</f>
        <v xml:space="preserve">  </v>
      </c>
      <c r="E517" s="79">
        <f>VLOOKUP(A517,'CHK Técnico-ORACLE'!$A$18:$I$81,6,FALSE)</f>
        <v>0</v>
      </c>
      <c r="F517" s="80">
        <f>VLOOKUP(A517,'CHK Técnico-ORACLE'!$A$18:$I$81,5,FALSE)</f>
        <v>0</v>
      </c>
      <c r="G517" s="80" t="s">
        <v>66</v>
      </c>
    </row>
    <row r="518" spans="1:7" ht="51">
      <c r="A518" s="76">
        <f t="shared" si="11"/>
        <v>510</v>
      </c>
      <c r="B518" s="77" t="str">
        <f>VLOOKUP(A518,'CHK Técnico-ORACLE'!$A$18:$I$81,4,FALSE)</f>
        <v>Estandarización</v>
      </c>
      <c r="C518" s="77" t="str">
        <f>VLOOKUP(A518,'CHK Técnico-ORACLE'!$A$18:$I$81,3,FALSE)</f>
        <v>Para Stored Procedures Nuevos se incluye cabecera con objetivo y parámetros del SP.</v>
      </c>
      <c r="D518" s="78" t="str">
        <f>VLOOKUP(A518,'CHK Técnico-ORACLE'!$A$18:$I$81,9,FALSE)</f>
        <v xml:space="preserve">  </v>
      </c>
      <c r="E518" s="79">
        <f>VLOOKUP(A518,'CHK Técnico-ORACLE'!$A$18:$I$81,6,FALSE)</f>
        <v>0</v>
      </c>
      <c r="F518" s="80">
        <f>VLOOKUP(A518,'CHK Técnico-ORACLE'!$A$18:$I$81,5,FALSE)</f>
        <v>0</v>
      </c>
      <c r="G518" s="80" t="s">
        <v>66</v>
      </c>
    </row>
    <row r="519" spans="1:7" ht="51">
      <c r="A519" s="76">
        <f t="shared" si="11"/>
        <v>511</v>
      </c>
      <c r="B519" s="77" t="str">
        <f>VLOOKUP(A519,'CHK Técnico-ORACLE'!$A$18:$I$81,4,FALSE)</f>
        <v>Estandarización</v>
      </c>
      <c r="C519" s="77" t="str">
        <f>VLOOKUP(A519,'CHK Técnico-ORACLE'!$A$18:$I$81,3,FALSE)</f>
        <v>Se ha incluido la descripción del cambio en la parte superior según formato previsto.</v>
      </c>
      <c r="D519" s="78" t="str">
        <f>VLOOKUP(A519,'CHK Técnico-ORACLE'!$A$18:$I$81,9,FALSE)</f>
        <v xml:space="preserve">  </v>
      </c>
      <c r="E519" s="79">
        <f>VLOOKUP(A519,'CHK Técnico-ORACLE'!$A$18:$I$81,6,FALSE)</f>
        <v>0</v>
      </c>
      <c r="F519" s="80">
        <f>VLOOKUP(A519,'CHK Técnico-ORACLE'!$A$18:$I$81,5,FALSE)</f>
        <v>0</v>
      </c>
      <c r="G519" s="80" t="s">
        <v>66</v>
      </c>
    </row>
    <row r="520" spans="1:7" ht="51">
      <c r="A520" s="76">
        <f t="shared" si="11"/>
        <v>512</v>
      </c>
      <c r="B520" s="77" t="str">
        <f>VLOOKUP(A520,'CHK Técnico-ORACLE'!$A$18:$I$81,4,FALSE)</f>
        <v>Estandarización</v>
      </c>
      <c r="C520" s="77" t="str">
        <f>VLOOKUP(A520,'CHK Técnico-ORACLE'!$A$18:$I$81,3,FALSE)</f>
        <v>Se han incluido comentarios que permitan entender algoritmos complejos, Bloques de código</v>
      </c>
      <c r="D520" s="78" t="str">
        <f>VLOOKUP(A520,'CHK Técnico-ORACLE'!$A$18:$I$81,9,FALSE)</f>
        <v xml:space="preserve">  </v>
      </c>
      <c r="E520" s="79">
        <f>VLOOKUP(A520,'CHK Técnico-ORACLE'!$A$18:$I$81,6,FALSE)</f>
        <v>0</v>
      </c>
      <c r="F520" s="80">
        <f>VLOOKUP(A520,'CHK Técnico-ORACLE'!$A$18:$I$81,5,FALSE)</f>
        <v>0</v>
      </c>
      <c r="G520" s="80" t="s">
        <v>66</v>
      </c>
    </row>
    <row r="521" spans="1:7" ht="63.75">
      <c r="A521" s="76">
        <f t="shared" si="11"/>
        <v>513</v>
      </c>
      <c r="B521" s="77" t="str">
        <f>VLOOKUP(A521,'CHK Técnico-ORACLE'!$A$18:$I$81,4,FALSE)</f>
        <v>Estandarización</v>
      </c>
      <c r="C521" s="77" t="str">
        <f>VLOOKUP(A521,'CHK Técnico-ORACLE'!$A$18:$I$81,3,FALSE)</f>
        <v>¿Los SP, cuentan con sus permisos de acuerdo a los roles permitidos (para SP ejecutados por aplicaciones)?</v>
      </c>
      <c r="D521" s="78" t="str">
        <f>VLOOKUP(A521,'CHK Técnico-ORACLE'!$A$18:$I$81,9,FALSE)</f>
        <v xml:space="preserve">  </v>
      </c>
      <c r="E521" s="79">
        <f>VLOOKUP(A521,'CHK Técnico-ORACLE'!$A$18:$I$81,6,FALSE)</f>
        <v>0</v>
      </c>
      <c r="F521" s="80">
        <f>VLOOKUP(A521,'CHK Técnico-ORACLE'!$A$18:$I$81,5,FALSE)</f>
        <v>0</v>
      </c>
      <c r="G521" s="80" t="s">
        <v>66</v>
      </c>
    </row>
    <row r="522" spans="1:7" ht="25.5">
      <c r="A522" s="76">
        <f t="shared" si="11"/>
        <v>514</v>
      </c>
      <c r="B522" s="77" t="str">
        <f>VLOOKUP(A522,'CHK Técnico-ORACLE'!$A$18:$I$81,4,FALSE)</f>
        <v>Técnico</v>
      </c>
      <c r="C522" s="77" t="str">
        <f>VLOOKUP(A522,'CHK Técnico-ORACLE'!$A$18:$I$81,3,FALSE)</f>
        <v>Implementa manejo de excepciones</v>
      </c>
      <c r="D522" s="78" t="str">
        <f>VLOOKUP(A522,'CHK Técnico-ORACLE'!$A$18:$I$81,9,FALSE)</f>
        <v xml:space="preserve">  </v>
      </c>
      <c r="E522" s="79">
        <f>VLOOKUP(A522,'CHK Técnico-ORACLE'!$A$18:$I$81,6,FALSE)</f>
        <v>0</v>
      </c>
      <c r="F522" s="80">
        <f>VLOOKUP(A522,'CHK Técnico-ORACLE'!$A$18:$I$81,5,FALSE)</f>
        <v>0</v>
      </c>
      <c r="G522" s="80" t="s">
        <v>66</v>
      </c>
    </row>
    <row r="523" spans="1:7">
      <c r="A523" s="76">
        <f t="shared" si="11"/>
        <v>515</v>
      </c>
      <c r="B523" s="77">
        <f>VLOOKUP(A523,'CHK Técnico-ORACLE'!$A$18:$I$81,4,FALSE)</f>
        <v>0</v>
      </c>
      <c r="C523" s="77">
        <f>VLOOKUP(A523,'CHK Técnico-ORACLE'!$A$18:$I$81,3,FALSE)</f>
        <v>0</v>
      </c>
      <c r="D523" s="78">
        <f>VLOOKUP(A523,'CHK Técnico-ORACLE'!$A$18:$I$81,9,FALSE)</f>
        <v>0</v>
      </c>
      <c r="E523" s="79">
        <f>VLOOKUP(A523,'CHK Técnico-ORACLE'!$A$18:$I$81,6,FALSE)</f>
        <v>0</v>
      </c>
      <c r="F523" s="80">
        <f>VLOOKUP(A523,'CHK Técnico-ORACLE'!$A$18:$I$81,5,FALSE)</f>
        <v>0</v>
      </c>
      <c r="G523" s="80" t="s">
        <v>66</v>
      </c>
    </row>
    <row r="524" spans="1:7" ht="38.25">
      <c r="A524" s="76">
        <f t="shared" si="11"/>
        <v>516</v>
      </c>
      <c r="B524" s="77" t="str">
        <f>VLOOKUP(A524,'CHK Técnico-ORACLE'!$A$18:$I$81,4,FALSE)</f>
        <v>Estandarización</v>
      </c>
      <c r="C524" s="77" t="str">
        <f>VLOOKUP(A524,'CHK Técnico-ORACLE'!$A$18:$I$81,3,FALSE)</f>
        <v>Los views no tienen complejidad escondida ni lógica en exceso</v>
      </c>
      <c r="D524" s="78" t="str">
        <f>VLOOKUP(A524,'CHK Técnico-ORACLE'!$A$18:$I$81,9,FALSE)</f>
        <v xml:space="preserve">  </v>
      </c>
      <c r="E524" s="79">
        <f>VLOOKUP(A524,'CHK Técnico-ORACLE'!$A$18:$I$81,6,FALSE)</f>
        <v>0</v>
      </c>
      <c r="F524" s="80">
        <f>VLOOKUP(A524,'CHK Técnico-ORACLE'!$A$18:$I$81,5,FALSE)</f>
        <v>0</v>
      </c>
      <c r="G524" s="80" t="s">
        <v>66</v>
      </c>
    </row>
    <row r="525" spans="1:7">
      <c r="A525" s="76">
        <f t="shared" si="11"/>
        <v>517</v>
      </c>
      <c r="B525" s="77">
        <f>VLOOKUP(A525,'CHK Técnico-ORACLE'!$A$18:$I$81,4,FALSE)</f>
        <v>0</v>
      </c>
      <c r="C525" s="77">
        <f>VLOOKUP(A525,'CHK Técnico-ORACLE'!$A$18:$I$81,3,FALSE)</f>
        <v>0</v>
      </c>
      <c r="D525" s="78">
        <f>VLOOKUP(A525,'CHK Técnico-ORACLE'!$A$18:$I$81,9,FALSE)</f>
        <v>0</v>
      </c>
      <c r="E525" s="79">
        <f>VLOOKUP(A525,'CHK Técnico-ORACLE'!$A$18:$I$81,6,FALSE)</f>
        <v>0</v>
      </c>
      <c r="F525" s="80">
        <f>VLOOKUP(A525,'CHK Técnico-ORACLE'!$A$18:$I$81,5,FALSE)</f>
        <v>0</v>
      </c>
      <c r="G525" s="80" t="s">
        <v>66</v>
      </c>
    </row>
    <row r="526" spans="1:7" ht="38.25">
      <c r="A526" s="76">
        <f t="shared" si="11"/>
        <v>518</v>
      </c>
      <c r="B526" s="77" t="str">
        <f>VLOOKUP(A526,'CHK Técnico-ORACLE'!$A$18:$I$81,4,FALSE)</f>
        <v>Estandarización</v>
      </c>
      <c r="C526" s="77" t="str">
        <f>VLOOKUP(A526,'CHK Técnico-ORACLE'!$A$18:$I$81,3,FALSE)</f>
        <v>Para aplicaciones on-line se ha definido un rol en la Base de Datos</v>
      </c>
      <c r="D526" s="78" t="str">
        <f>VLOOKUP(A526,'CHK Técnico-ORACLE'!$A$18:$I$81,9,FALSE)</f>
        <v xml:space="preserve">  </v>
      </c>
      <c r="E526" s="79">
        <f>VLOOKUP(A526,'CHK Técnico-ORACLE'!$A$18:$I$81,6,FALSE)</f>
        <v>0</v>
      </c>
      <c r="F526" s="80">
        <f>VLOOKUP(A526,'CHK Técnico-ORACLE'!$A$18:$I$81,5,FALSE)</f>
        <v>0</v>
      </c>
      <c r="G526" s="80" t="s">
        <v>66</v>
      </c>
    </row>
    <row r="527" spans="1:7" ht="38.25">
      <c r="A527" s="76">
        <f t="shared" si="11"/>
        <v>519</v>
      </c>
      <c r="B527" s="77" t="str">
        <f>VLOOKUP(A527,'CHK Técnico-ORACLE'!$A$18:$I$81,4,FALSE)</f>
        <v>Estandarización</v>
      </c>
      <c r="C527" s="77" t="str">
        <f>VLOOKUP(A527,'CHK Técnico-ORACLE'!$A$18:$I$81,3,FALSE)</f>
        <v>Para aplicaciones on-line los scripts de los procedures tienen GRANT a este rol</v>
      </c>
      <c r="D527" s="78" t="str">
        <f>VLOOKUP(A527,'CHK Técnico-ORACLE'!$A$18:$I$81,9,FALSE)</f>
        <v xml:space="preserve">  </v>
      </c>
      <c r="E527" s="79">
        <f>VLOOKUP(A527,'CHK Técnico-ORACLE'!$A$18:$I$81,6,FALSE)</f>
        <v>0</v>
      </c>
      <c r="F527" s="80">
        <f>VLOOKUP(A527,'CHK Técnico-ORACLE'!$A$18:$I$81,5,FALSE)</f>
        <v>0</v>
      </c>
      <c r="G527" s="80" t="s">
        <v>66</v>
      </c>
    </row>
    <row r="528" spans="1:7" ht="51">
      <c r="A528" s="76">
        <f t="shared" si="11"/>
        <v>520</v>
      </c>
      <c r="B528" s="77" t="str">
        <f>VLOOKUP(A528,'CHK Técnico-ORACLE'!$A$18:$I$81,4,FALSE)</f>
        <v>Estandarización</v>
      </c>
      <c r="C528" s="77" t="str">
        <f>VLOOKUP(A528,'CHK Técnico-ORACLE'!$A$18:$I$81,3,FALSE)</f>
        <v>No existen autorizaciones para ejecución de procedures directamente a usuarios o grupos</v>
      </c>
      <c r="D528" s="78" t="str">
        <f>VLOOKUP(A528,'CHK Técnico-ORACLE'!$A$18:$I$81,9,FALSE)</f>
        <v xml:space="preserve">  </v>
      </c>
      <c r="E528" s="79">
        <f>VLOOKUP(A528,'CHK Técnico-ORACLE'!$A$18:$I$81,6,FALSE)</f>
        <v>0</v>
      </c>
      <c r="F528" s="80">
        <f>VLOOKUP(A528,'CHK Técnico-ORACLE'!$A$18:$I$81,5,FALSE)</f>
        <v>0</v>
      </c>
      <c r="G528" s="80" t="s">
        <v>66</v>
      </c>
    </row>
    <row r="529" spans="1:7">
      <c r="A529" s="76">
        <f t="shared" si="11"/>
        <v>521</v>
      </c>
      <c r="B529" s="77">
        <f>VLOOKUP(A529,'CHK Técnico-ORACLE'!$A$18:$I$81,4,FALSE)</f>
        <v>0</v>
      </c>
      <c r="C529" s="77">
        <f>VLOOKUP(A529,'CHK Técnico-ORACLE'!$A$18:$I$81,3,FALSE)</f>
        <v>0</v>
      </c>
      <c r="D529" s="78">
        <f>VLOOKUP(A529,'CHK Técnico-ORACLE'!$A$18:$I$81,9,FALSE)</f>
        <v>0</v>
      </c>
      <c r="E529" s="79">
        <f>VLOOKUP(A529,'CHK Técnico-ORACLE'!$A$18:$I$81,6,FALSE)</f>
        <v>0</v>
      </c>
      <c r="F529" s="80">
        <f>VLOOKUP(A529,'CHK Técnico-ORACLE'!$A$18:$I$81,5,FALSE)</f>
        <v>0</v>
      </c>
      <c r="G529" s="80" t="s">
        <v>66</v>
      </c>
    </row>
    <row r="530" spans="1:7" ht="38.25">
      <c r="A530" s="76">
        <f t="shared" si="11"/>
        <v>522</v>
      </c>
      <c r="B530" s="77" t="str">
        <f>VLOOKUP(A530,'CHK Técnico-ORACLE'!$A$18:$I$81,4,FALSE)</f>
        <v>Documentación</v>
      </c>
      <c r="C530" s="77" t="str">
        <f>VLOOKUP(A530,'CHK Técnico-ORACLE'!$A$18:$I$81,3,FALSE)</f>
        <v>Se han incluido todos los objetos considerados en la etapa de diseño</v>
      </c>
      <c r="D530" s="78" t="str">
        <f>VLOOKUP(A530,'CHK Técnico-ORACLE'!$A$18:$I$81,9,FALSE)</f>
        <v xml:space="preserve">  </v>
      </c>
      <c r="E530" s="79">
        <f>VLOOKUP(A530,'CHK Técnico-ORACLE'!$A$18:$I$81,6,FALSE)</f>
        <v>0</v>
      </c>
      <c r="F530" s="80">
        <f>VLOOKUP(A530,'CHK Técnico-ORACLE'!$A$18:$I$81,5,FALSE)</f>
        <v>0</v>
      </c>
      <c r="G530" s="80" t="s">
        <v>66</v>
      </c>
    </row>
    <row r="531" spans="1:7" ht="51">
      <c r="A531" s="76">
        <f t="shared" si="11"/>
        <v>523</v>
      </c>
      <c r="B531" s="77" t="str">
        <f>VLOOKUP(A531,'CHK Técnico-ORACLE'!$A$18:$I$81,4,FALSE)</f>
        <v>Homologación/Versionamiento</v>
      </c>
      <c r="C531" s="77" t="str">
        <f>VLOOKUP(A531,'CHK Técnico-ORACLE'!$A$18:$I$81,3,FALSE)</f>
        <v>Existe un script por cada objetos del tipo STORED PROCEDURE, TABLE, VIEW nuevo o modificado</v>
      </c>
      <c r="D531" s="78" t="str">
        <f>VLOOKUP(A531,'CHK Técnico-ORACLE'!$A$18:$I$81,9,FALSE)</f>
        <v xml:space="preserve">  </v>
      </c>
      <c r="E531" s="79">
        <f>VLOOKUP(A531,'CHK Técnico-ORACLE'!$A$18:$I$81,6,FALSE)</f>
        <v>0</v>
      </c>
      <c r="F531" s="80">
        <f>VLOOKUP(A531,'CHK Técnico-ORACLE'!$A$18:$I$81,5,FALSE)</f>
        <v>0</v>
      </c>
      <c r="G531" s="80" t="s">
        <v>66</v>
      </c>
    </row>
    <row r="532" spans="1:7" ht="51">
      <c r="A532" s="76">
        <f t="shared" si="11"/>
        <v>524</v>
      </c>
      <c r="B532" s="77" t="str">
        <f>VLOOKUP(A532,'CHK Técnico-ORACLE'!$A$18:$I$81,4,FALSE)</f>
        <v>Estandarización</v>
      </c>
      <c r="C532" s="77" t="str">
        <f>VLOOKUP(A532,'CHK Técnico-ORACLE'!$A$18:$I$81,3,FALSE)</f>
        <v>Los scripts de Tablas se han generado con sus índices, foreign keys, defaults y constraints</v>
      </c>
      <c r="D532" s="78" t="str">
        <f>VLOOKUP(A532,'CHK Técnico-ORACLE'!$A$18:$I$81,9,FALSE)</f>
        <v xml:space="preserve">  </v>
      </c>
      <c r="E532" s="79">
        <f>VLOOKUP(A532,'CHK Técnico-ORACLE'!$A$18:$I$81,6,FALSE)</f>
        <v>0</v>
      </c>
      <c r="F532" s="80">
        <f>VLOOKUP(A532,'CHK Técnico-ORACLE'!$A$18:$I$81,5,FALSE)</f>
        <v>0</v>
      </c>
      <c r="G532" s="80" t="s">
        <v>66</v>
      </c>
    </row>
    <row r="533" spans="1:7" ht="38.25">
      <c r="A533" s="76">
        <f t="shared" si="11"/>
        <v>525</v>
      </c>
      <c r="B533" s="77" t="str">
        <f>VLOOKUP(A533,'CHK Técnico-ORACLE'!$A$18:$I$81,4,FALSE)</f>
        <v>Estandarización</v>
      </c>
      <c r="C533" s="77" t="str">
        <f>VLOOKUP(A533,'CHK Técnico-ORACLE'!$A$18:$I$81,3,FALSE)</f>
        <v>Los scripts han sido generados con Windows Text (Ansi)</v>
      </c>
      <c r="D533" s="78" t="str">
        <f>VLOOKUP(A533,'CHK Técnico-ORACLE'!$A$18:$I$81,9,FALSE)</f>
        <v xml:space="preserve">  </v>
      </c>
      <c r="E533" s="79">
        <f>VLOOKUP(A533,'CHK Técnico-ORACLE'!$A$18:$I$81,6,FALSE)</f>
        <v>0</v>
      </c>
      <c r="F533" s="80">
        <f>VLOOKUP(A533,'CHK Técnico-ORACLE'!$A$18:$I$81,5,FALSE)</f>
        <v>0</v>
      </c>
      <c r="G533" s="80" t="s">
        <v>66</v>
      </c>
    </row>
    <row r="534" spans="1:7" ht="38.25">
      <c r="A534" s="76">
        <f t="shared" si="11"/>
        <v>526</v>
      </c>
      <c r="B534" s="77" t="str">
        <f>VLOOKUP(A534,'CHK Técnico-ORACLE'!$A$18:$I$81,4,FALSE)</f>
        <v>Homologación/Versionamiento</v>
      </c>
      <c r="C534" s="77" t="str">
        <f>VLOOKUP(A534,'CHK Técnico-ORACLE'!$A$18:$I$81,3,FALSE)</f>
        <v>Los scripts han sido incluidos en su subdirectorio correcto en Harvest</v>
      </c>
      <c r="D534" s="78" t="str">
        <f>VLOOKUP(A534,'CHK Técnico-ORACLE'!$A$18:$I$81,9,FALSE)</f>
        <v xml:space="preserve">  </v>
      </c>
      <c r="E534" s="79">
        <f>VLOOKUP(A534,'CHK Técnico-ORACLE'!$A$18:$I$81,6,FALSE)</f>
        <v>0</v>
      </c>
      <c r="F534" s="80">
        <f>VLOOKUP(A534,'CHK Técnico-ORACLE'!$A$18:$I$81,5,FALSE)</f>
        <v>0</v>
      </c>
      <c r="G534" s="80" t="s">
        <v>66</v>
      </c>
    </row>
    <row r="535" spans="1:7" ht="51">
      <c r="A535" s="76">
        <f t="shared" si="11"/>
        <v>527</v>
      </c>
      <c r="B535" s="77" t="str">
        <f>VLOOKUP(A535,'CHK Técnico-ORACLE'!$A$18:$I$81,4,FALSE)</f>
        <v>Documentación</v>
      </c>
      <c r="C535" s="77" t="str">
        <f>VLOOKUP(A535,'CHK Técnico-ORACLE'!$A$18:$I$81,3,FALSE)</f>
        <v>Se ha actualizado la documentación prevista en la evaluación de la orden de trabajo o proyecto</v>
      </c>
      <c r="D535" s="78" t="str">
        <f>VLOOKUP(A535,'CHK Técnico-ORACLE'!$A$18:$I$81,9,FALSE)</f>
        <v xml:space="preserve">  </v>
      </c>
      <c r="E535" s="79">
        <f>VLOOKUP(A535,'CHK Técnico-ORACLE'!$A$18:$I$81,6,FALSE)</f>
        <v>0</v>
      </c>
      <c r="F535" s="80">
        <f>VLOOKUP(A535,'CHK Técnico-ORACLE'!$A$18:$I$81,5,FALSE)</f>
        <v>0</v>
      </c>
      <c r="G535" s="80" t="s">
        <v>66</v>
      </c>
    </row>
    <row r="536" spans="1:7" ht="51">
      <c r="A536" s="76">
        <f t="shared" si="11"/>
        <v>528</v>
      </c>
      <c r="B536" s="77" t="str">
        <f>VLOOKUP(A536,'CHK Técnico-ORACLE'!$A$18:$I$81,4,FALSE)</f>
        <v>Documentación</v>
      </c>
      <c r="C536" s="77" t="str">
        <f>VLOOKUP(A536,'CHK Técnico-ORACLE'!$A$18:$I$81,3,FALSE)</f>
        <v>Se han incluido el documento de casos de pruebas con los escenarios previstos</v>
      </c>
      <c r="D536" s="78" t="str">
        <f>VLOOKUP(A536,'CHK Técnico-ORACLE'!$A$18:$I$81,9,FALSE)</f>
        <v xml:space="preserve">  </v>
      </c>
      <c r="E536" s="79">
        <f>VLOOKUP(A536,'CHK Técnico-ORACLE'!$A$18:$I$81,6,FALSE)</f>
        <v>0</v>
      </c>
      <c r="F536" s="80">
        <f>VLOOKUP(A536,'CHK Técnico-ORACLE'!$A$18:$I$81,5,FALSE)</f>
        <v>0</v>
      </c>
      <c r="G536" s="80" t="s">
        <v>66</v>
      </c>
    </row>
    <row r="537" spans="1:7">
      <c r="A537" s="76">
        <f t="shared" si="11"/>
        <v>529</v>
      </c>
      <c r="B537" s="77">
        <f>VLOOKUP(A537,'CHK Técnico-ORACLE'!$A$18:$I$81,4,FALSE)</f>
        <v>0</v>
      </c>
      <c r="C537" s="77">
        <f>VLOOKUP(A537,'CHK Técnico-ORACLE'!$A$18:$I$81,3,FALSE)</f>
        <v>0</v>
      </c>
      <c r="D537" s="78">
        <f>VLOOKUP(A537,'CHK Técnico-ORACLE'!$A$18:$I$81,9,FALSE)</f>
        <v>0</v>
      </c>
      <c r="E537" s="79">
        <f>VLOOKUP(A537,'CHK Técnico-ORACLE'!$A$18:$I$81,6,FALSE)</f>
        <v>0</v>
      </c>
      <c r="F537" s="80">
        <f>VLOOKUP(A537,'CHK Técnico-ORACLE'!$A$18:$I$81,5,FALSE)</f>
        <v>0</v>
      </c>
      <c r="G537" s="80" t="s">
        <v>66</v>
      </c>
    </row>
    <row r="538" spans="1:7" ht="51">
      <c r="A538" s="76">
        <f t="shared" si="11"/>
        <v>530</v>
      </c>
      <c r="B538" s="77" t="str">
        <f>VLOOKUP(A538,'CHK Técnico-ORACLE'!$A$18:$I$81,4,FALSE)</f>
        <v>Homologación/Versionamiento</v>
      </c>
      <c r="C538" s="77" t="str">
        <f>VLOOKUP(A538,'CHK Técnico-ORACLE'!$A$18:$I$81,3,FALSE)</f>
        <v>Una persona distinta al programador ha realizado comparación de fuentes modificados</v>
      </c>
      <c r="D538" s="78" t="str">
        <f>VLOOKUP(A538,'CHK Técnico-ORACLE'!$A$18:$I$81,9,FALSE)</f>
        <v xml:space="preserve">  </v>
      </c>
      <c r="E538" s="79">
        <f>VLOOKUP(A538,'CHK Técnico-ORACLE'!$A$18:$I$81,6,FALSE)</f>
        <v>0</v>
      </c>
      <c r="F538" s="80">
        <f>VLOOKUP(A538,'CHK Técnico-ORACLE'!$A$18:$I$81,5,FALSE)</f>
        <v>0</v>
      </c>
      <c r="G538" s="80" t="s">
        <v>66</v>
      </c>
    </row>
    <row r="539" spans="1:7" ht="51">
      <c r="A539" s="76">
        <f t="shared" si="11"/>
        <v>531</v>
      </c>
      <c r="B539" s="77" t="str">
        <f>VLOOKUP(A539,'CHK Técnico-ORACLE'!$A$18:$I$81,4,FALSE)</f>
        <v>Funcionalidad</v>
      </c>
      <c r="C539" s="77" t="str">
        <f>VLOOKUP(A539,'CHK Técnico-ORACLE'!$A$18:$I$81,3,FALSE)</f>
        <v>Los cambios de fuente se muestran relacionados con las especificaciones funcionales</v>
      </c>
      <c r="D539" s="78" t="str">
        <f>VLOOKUP(A539,'CHK Técnico-ORACLE'!$A$18:$I$81,9,FALSE)</f>
        <v xml:space="preserve">  </v>
      </c>
      <c r="E539" s="79">
        <f>VLOOKUP(A539,'CHK Técnico-ORACLE'!$A$18:$I$81,6,FALSE)</f>
        <v>0</v>
      </c>
      <c r="F539" s="80">
        <f>VLOOKUP(A539,'CHK Técnico-ORACLE'!$A$18:$I$81,5,FALSE)</f>
        <v>0</v>
      </c>
      <c r="G539" s="80" t="s">
        <v>66</v>
      </c>
    </row>
    <row r="540" spans="1:7" ht="25.5">
      <c r="A540" s="76">
        <f t="shared" si="11"/>
        <v>532</v>
      </c>
      <c r="B540" s="77" t="str">
        <f>VLOOKUP(A540,'CHK Técnico-ORACLE'!$A$18:$I$81,4,FALSE)</f>
        <v>Estandarización</v>
      </c>
      <c r="C540" s="77" t="str">
        <f>VLOOKUP(A540,'CHK Técnico-ORACLE'!$A$18:$I$81,3,FALSE)</f>
        <v>Se ha evitado la introducción de hardcodes</v>
      </c>
      <c r="D540" s="78" t="str">
        <f>VLOOKUP(A540,'CHK Técnico-ORACLE'!$A$18:$I$81,9,FALSE)</f>
        <v xml:space="preserve">  </v>
      </c>
      <c r="E540" s="79">
        <f>VLOOKUP(A540,'CHK Técnico-ORACLE'!$A$18:$I$81,6,FALSE)</f>
        <v>0</v>
      </c>
      <c r="F540" s="80">
        <f>VLOOKUP(A540,'CHK Técnico-ORACLE'!$A$18:$I$81,5,FALSE)</f>
        <v>0</v>
      </c>
      <c r="G540" s="80" t="s">
        <v>66</v>
      </c>
    </row>
    <row r="541" spans="1:7" ht="38.25">
      <c r="A541" s="76">
        <f t="shared" si="11"/>
        <v>533</v>
      </c>
      <c r="B541" s="77" t="str">
        <f>VLOOKUP(A541,'CHK Técnico-ORACLE'!$A$18:$I$81,4,FALSE)</f>
        <v>Estandarización</v>
      </c>
      <c r="C541" s="77" t="str">
        <f>VLOOKUP(A541,'CHK Técnico-ORACLE'!$A$18:$I$81,3,FALSE)</f>
        <v>Se ha hecho revisión buscando posible código fraudulento</v>
      </c>
      <c r="D541" s="78" t="str">
        <f>VLOOKUP(A541,'CHK Técnico-ORACLE'!$A$18:$I$81,9,FALSE)</f>
        <v xml:space="preserve">  </v>
      </c>
      <c r="E541" s="79">
        <f>VLOOKUP(A541,'CHK Técnico-ORACLE'!$A$18:$I$81,6,FALSE)</f>
        <v>0</v>
      </c>
      <c r="F541" s="80">
        <f>VLOOKUP(A541,'CHK Técnico-ORACLE'!$A$18:$I$81,5,FALSE)</f>
        <v>0</v>
      </c>
      <c r="G541" s="80" t="s">
        <v>66</v>
      </c>
    </row>
    <row r="542" spans="1:7">
      <c r="A542" s="76">
        <f t="shared" si="11"/>
        <v>534</v>
      </c>
      <c r="B542" s="77">
        <f>VLOOKUP(A542,'CHK Técnico-ORACLE'!$A$18:$I$81,4,FALSE)</f>
        <v>0</v>
      </c>
      <c r="C542" s="77">
        <f>VLOOKUP(A542,'CHK Técnico-ORACLE'!$A$18:$I$81,3,FALSE)</f>
        <v>0</v>
      </c>
      <c r="D542" s="78">
        <f>VLOOKUP(A542,'CHK Técnico-ORACLE'!$A$18:$I$81,9,FALSE)</f>
        <v>0</v>
      </c>
      <c r="E542" s="79">
        <f>VLOOKUP(A542,'CHK Técnico-ORACLE'!$A$18:$I$81,6,FALSE)</f>
        <v>0</v>
      </c>
      <c r="F542" s="80">
        <f>VLOOKUP(A542,'CHK Técnico-ORACLE'!$A$18:$I$81,5,FALSE)</f>
        <v>0</v>
      </c>
      <c r="G542" s="80" t="s">
        <v>66</v>
      </c>
    </row>
    <row r="543" spans="1:7" ht="51">
      <c r="A543" s="76">
        <f t="shared" si="11"/>
        <v>535</v>
      </c>
      <c r="B543" s="77" t="str">
        <f>VLOOKUP(A543,'CHK Técnico-ORACLE'!$A$18:$I$81,4,FALSE)</f>
        <v>Estandarización</v>
      </c>
      <c r="C543" s="77" t="str">
        <f>VLOOKUP(A543,'CHK Técnico-ORACLE'!$A$18:$I$81,3,FALSE)</f>
        <v>¿Se ha colocado la cabecera de creación o modificación de acuerdo al estándar?</v>
      </c>
      <c r="D543" s="78" t="str">
        <f>VLOOKUP(A543,'CHK Técnico-ORACLE'!$A$18:$I$81,9,FALSE)</f>
        <v xml:space="preserve">  </v>
      </c>
      <c r="E543" s="79">
        <f>VLOOKUP(A543,'CHK Técnico-ORACLE'!$A$18:$I$81,6,FALSE)</f>
        <v>0</v>
      </c>
      <c r="F543" s="80">
        <f>VLOOKUP(A543,'CHK Técnico-ORACLE'!$A$18:$I$81,5,FALSE)</f>
        <v>0</v>
      </c>
      <c r="G543" s="80" t="s">
        <v>66</v>
      </c>
    </row>
    <row r="544" spans="1:7" ht="38.25">
      <c r="A544" s="76">
        <f t="shared" si="11"/>
        <v>536</v>
      </c>
      <c r="B544" s="77" t="str">
        <f>VLOOKUP(A544,'CHK Técnico-ORACLE'!$A$18:$I$81,4,FALSE)</f>
        <v>Estandarización</v>
      </c>
      <c r="C544" s="77" t="str">
        <f>VLOOKUP(A544,'CHK Técnico-ORACLE'!$A$18:$I$81,3,FALSE)</f>
        <v>¿Se han calificado los objetos en su respectivo esquema?</v>
      </c>
      <c r="D544" s="78" t="str">
        <f>VLOOKUP(A544,'CHK Técnico-ORACLE'!$A$18:$I$81,9,FALSE)</f>
        <v xml:space="preserve">  </v>
      </c>
      <c r="E544" s="79">
        <f>VLOOKUP(A544,'CHK Técnico-ORACLE'!$A$18:$I$81,6,FALSE)</f>
        <v>0</v>
      </c>
      <c r="F544" s="80">
        <f>VLOOKUP(A544,'CHK Técnico-ORACLE'!$A$18:$I$81,5,FALSE)</f>
        <v>0</v>
      </c>
      <c r="G544" s="80" t="s">
        <v>66</v>
      </c>
    </row>
    <row r="545" spans="1:7" ht="51">
      <c r="A545" s="76">
        <f t="shared" si="11"/>
        <v>537</v>
      </c>
      <c r="B545" s="77" t="str">
        <f>VLOOKUP(A545,'CHK Técnico-ORACLE'!$A$18:$I$81,4,FALSE)</f>
        <v>Estandarización</v>
      </c>
      <c r="C545" s="77" t="str">
        <f>VLOOKUP(A545,'CHK Técnico-ORACLE'!$A$18:$I$81,3,FALSE)</f>
        <v>¿Para las sentencias SELECT se han escrito en forma estructurada y no de corrido?</v>
      </c>
      <c r="D545" s="78" t="str">
        <f>VLOOKUP(A545,'CHK Técnico-ORACLE'!$A$18:$I$81,9,FALSE)</f>
        <v xml:space="preserve">  </v>
      </c>
      <c r="E545" s="79">
        <f>VLOOKUP(A545,'CHK Técnico-ORACLE'!$A$18:$I$81,6,FALSE)</f>
        <v>0</v>
      </c>
      <c r="F545" s="80">
        <f>VLOOKUP(A545,'CHK Técnico-ORACLE'!$A$18:$I$81,5,FALSE)</f>
        <v>0</v>
      </c>
      <c r="G545" s="80" t="s">
        <v>66</v>
      </c>
    </row>
    <row r="546" spans="1:7" ht="89.25">
      <c r="A546" s="76">
        <f t="shared" si="11"/>
        <v>538</v>
      </c>
      <c r="B546" s="77" t="str">
        <f>VLOOKUP(A546,'CHK Técnico-ORACLE'!$A$18:$I$81,4,FALSE)</f>
        <v>Estandarización</v>
      </c>
      <c r="C546" s="77" t="str">
        <f>VLOOKUP(A546,'CHK Técnico-ORACLE'!$A$18:$I$81,3,FALSE)</f>
        <v>¿Se ha utilizado condicionales para los casos de ALTER TABLE para agregar nuevos campos (Para evitar que se obtenga por error de campo ya existente)?</v>
      </c>
      <c r="D546" s="78" t="str">
        <f>VLOOKUP(A546,'CHK Técnico-ORACLE'!$A$18:$I$81,9,FALSE)</f>
        <v xml:space="preserve">  </v>
      </c>
      <c r="E546" s="79">
        <f>VLOOKUP(A546,'CHK Técnico-ORACLE'!$A$18:$I$81,6,FALSE)</f>
        <v>0</v>
      </c>
      <c r="F546" s="80">
        <f>VLOOKUP(A546,'CHK Técnico-ORACLE'!$A$18:$I$81,5,FALSE)</f>
        <v>0</v>
      </c>
      <c r="G546" s="80" t="s">
        <v>66</v>
      </c>
    </row>
    <row r="547" spans="1:7" ht="89.25">
      <c r="A547" s="76">
        <f t="shared" si="11"/>
        <v>539</v>
      </c>
      <c r="B547" s="77" t="str">
        <f>VLOOKUP(A547,'CHK Técnico-ORACLE'!$A$18:$I$81,4,FALSE)</f>
        <v>Estandarización</v>
      </c>
      <c r="C547" s="77" t="str">
        <f>VLOOKUP(A547,'CHK Técnico-ORACLE'!$A$18:$I$81,3,FALSE)</f>
        <v>¿Se ha utilizado condicionales para los casos de los INSERT  a tablas de parámetros (para evitar que salga error por violación de PK al momento de ejecutar) ?</v>
      </c>
      <c r="D547" s="78" t="str">
        <f>VLOOKUP(A547,'CHK Técnico-ORACLE'!$A$18:$I$81,9,FALSE)</f>
        <v xml:space="preserve">  </v>
      </c>
      <c r="E547" s="79">
        <f>VLOOKUP(A547,'CHK Técnico-ORACLE'!$A$18:$I$81,6,FALSE)</f>
        <v>0</v>
      </c>
      <c r="F547" s="80">
        <f>VLOOKUP(A547,'CHK Técnico-ORACLE'!$A$18:$I$81,5,FALSE)</f>
        <v>0</v>
      </c>
      <c r="G547" s="80" t="s">
        <v>66</v>
      </c>
    </row>
    <row r="548" spans="1:7">
      <c r="A548" s="76">
        <f t="shared" si="11"/>
        <v>540</v>
      </c>
      <c r="B548" s="77">
        <f>VLOOKUP(A548,'CHK Técnico-ORACLE'!$A$18:$I$81,4,FALSE)</f>
        <v>0</v>
      </c>
      <c r="C548" s="77">
        <f>VLOOKUP(A548,'CHK Técnico-ORACLE'!$A$18:$I$81,3,FALSE)</f>
        <v>0</v>
      </c>
      <c r="D548" s="78">
        <f>VLOOKUP(A548,'CHK Técnico-ORACLE'!$A$18:$I$81,9,FALSE)</f>
        <v>0</v>
      </c>
      <c r="E548" s="79">
        <f>VLOOKUP(A548,'CHK Técnico-ORACLE'!$A$18:$I$81,6,FALSE)</f>
        <v>0</v>
      </c>
      <c r="F548" s="80">
        <f>VLOOKUP(A548,'CHK Técnico-ORACLE'!$A$18:$I$81,5,FALSE)</f>
        <v>0</v>
      </c>
      <c r="G548" s="80" t="s">
        <v>66</v>
      </c>
    </row>
    <row r="549" spans="1:7" ht="102">
      <c r="A549" s="76">
        <f t="shared" si="11"/>
        <v>541</v>
      </c>
      <c r="B549" s="77" t="str">
        <f>VLOOKUP(A549,'CHK Técnico-ORACLE'!$A$18:$I$81,4,FALSE)</f>
        <v>Estandarización</v>
      </c>
      <c r="C549" s="77" t="str">
        <f>VLOOKUP(A549,'CHK Técnico-ORACLE'!$A$18:$I$81,3,FALSE)</f>
        <v>¿Se ha colocado la Nomenclatura de acuerdo a: 
Nombre del sinónimo  [ESQUEMA].[NOMBRE_OBJETO] 
Nombre del script  [ESQUEMA].[NOMBRE_OBJETO].sql ?</v>
      </c>
      <c r="D549" s="78" t="str">
        <f>VLOOKUP(A549,'CHK Técnico-ORACLE'!$A$18:$I$81,9,FALSE)</f>
        <v xml:space="preserve">  </v>
      </c>
      <c r="E549" s="79">
        <f>VLOOKUP(A549,'CHK Técnico-ORACLE'!$A$18:$I$81,6,FALSE)</f>
        <v>0</v>
      </c>
      <c r="F549" s="80">
        <f>VLOOKUP(A549,'CHK Técnico-ORACLE'!$A$18:$I$81,5,FALSE)</f>
        <v>0</v>
      </c>
      <c r="G549" s="80" t="s">
        <v>66</v>
      </c>
    </row>
    <row r="550" spans="1:7" ht="51">
      <c r="A550" s="76">
        <f t="shared" si="11"/>
        <v>542</v>
      </c>
      <c r="B550" s="77" t="str">
        <f>VLOOKUP(A550,'CHK Técnico-ORACLE'!$A$18:$I$81,4,FALSE)</f>
        <v>Estandarización</v>
      </c>
      <c r="C550" s="77" t="str">
        <f>VLOOKUP(A550,'CHK Técnico-ORACLE'!$A$18:$I$81,3,FALSE)</f>
        <v xml:space="preserve">¿El sinónimo hace referencia a un objeto en producción?
</v>
      </c>
      <c r="D550" s="78" t="str">
        <f>VLOOKUP(A550,'CHK Técnico-ORACLE'!$A$18:$I$81,9,FALSE)</f>
        <v xml:space="preserve">  </v>
      </c>
      <c r="E550" s="79">
        <f>VLOOKUP(A550,'CHK Técnico-ORACLE'!$A$18:$I$81,6,FALSE)</f>
        <v>0</v>
      </c>
      <c r="F550" s="80">
        <f>VLOOKUP(A550,'CHK Técnico-ORACLE'!$A$18:$I$81,5,FALSE)</f>
        <v>0</v>
      </c>
      <c r="G550" s="80" t="s">
        <v>66</v>
      </c>
    </row>
    <row r="551" spans="1:7">
      <c r="A551" s="76">
        <f t="shared" si="11"/>
        <v>543</v>
      </c>
      <c r="B551" s="77">
        <f>VLOOKUP(A551,'CHK Técnico-ORACLE'!$A$18:$I$81,4,FALSE)</f>
        <v>0</v>
      </c>
      <c r="C551" s="77">
        <f>VLOOKUP(A551,'CHK Técnico-ORACLE'!$A$18:$I$81,3,FALSE)</f>
        <v>0</v>
      </c>
      <c r="D551" s="78">
        <f>VLOOKUP(A551,'CHK Técnico-ORACLE'!$A$18:$I$81,9,FALSE)</f>
        <v>0</v>
      </c>
      <c r="E551" s="79">
        <f>VLOOKUP(A551,'CHK Técnico-ORACLE'!$A$18:$I$81,6,FALSE)</f>
        <v>0</v>
      </c>
      <c r="F551" s="80">
        <f>VLOOKUP(A551,'CHK Técnico-ORACLE'!$A$18:$I$81,5,FALSE)</f>
        <v>0</v>
      </c>
      <c r="G551" s="80" t="s">
        <v>66</v>
      </c>
    </row>
    <row r="552" spans="1:7">
      <c r="A552" s="76">
        <f t="shared" si="11"/>
        <v>544</v>
      </c>
      <c r="B552" s="77">
        <f>VLOOKUP(A552,'CHK Técnico-ORACLE'!$A$18:$I$81,4,FALSE)</f>
        <v>0</v>
      </c>
      <c r="C552" s="77">
        <f>VLOOKUP(A552,'CHK Técnico-ORACLE'!$A$18:$I$81,3,FALSE)</f>
        <v>0</v>
      </c>
      <c r="D552" s="78">
        <f>VLOOKUP(A552,'CHK Técnico-ORACLE'!$A$18:$I$81,9,FALSE)</f>
        <v>0</v>
      </c>
      <c r="E552" s="79">
        <f>VLOOKUP(A552,'CHK Técnico-ORACLE'!$A$18:$I$81,6,FALSE)</f>
        <v>0</v>
      </c>
      <c r="F552" s="80">
        <f>VLOOKUP(A552,'CHK Técnico-ORACLE'!$A$18:$I$81,5,FALSE)</f>
        <v>0</v>
      </c>
      <c r="G552" s="80" t="s">
        <v>66</v>
      </c>
    </row>
    <row r="553" spans="1:7">
      <c r="A553" s="76">
        <f t="shared" si="11"/>
        <v>545</v>
      </c>
      <c r="B553" s="77">
        <f>VLOOKUP(A553,'CHK Técnico-ORACLE'!$A$18:$I$81,4,FALSE)</f>
        <v>0</v>
      </c>
      <c r="C553" s="77">
        <f>VLOOKUP(A553,'CHK Técnico-ORACLE'!$A$18:$I$81,3,FALSE)</f>
        <v>0</v>
      </c>
      <c r="D553" s="78">
        <f>VLOOKUP(A553,'CHK Técnico-ORACLE'!$A$18:$I$81,9,FALSE)</f>
        <v>0</v>
      </c>
      <c r="E553" s="79">
        <f>VLOOKUP(A553,'CHK Técnico-ORACLE'!$A$18:$I$81,6,FALSE)</f>
        <v>0</v>
      </c>
      <c r="F553" s="80">
        <f>VLOOKUP(A553,'CHK Técnico-ORACLE'!$A$18:$I$81,5,FALSE)</f>
        <v>0</v>
      </c>
      <c r="G553" s="80" t="s">
        <v>66</v>
      </c>
    </row>
    <row r="554" spans="1:7">
      <c r="A554" s="568">
        <f t="shared" si="11"/>
        <v>546</v>
      </c>
      <c r="B554" s="569">
        <f>VLOOKUP(A554,'CHK Técnico-ANGULAR'!$A$18:$I$81,4,FALSE)</f>
        <v>0</v>
      </c>
      <c r="C554" s="569">
        <f>VLOOKUP(A554,'CHK Técnico-ANGULAR'!$A$18:$I$81,3,FALSE)</f>
        <v>0</v>
      </c>
      <c r="D554" s="570">
        <f>VLOOKUP(A554,'CHK Técnico-ANGULAR'!$A$18:$I$81,9,FALSE)</f>
        <v>0</v>
      </c>
      <c r="E554" s="571">
        <f>VLOOKUP(A554,'CHK Técnico-ANGULAR'!$A$18:$I$81,6,FALSE)</f>
        <v>0</v>
      </c>
      <c r="F554" s="572">
        <f>VLOOKUP(A554,'CHK Técnico-ANGULAR'!$A$18:$I$81,5,FALSE)</f>
        <v>0</v>
      </c>
      <c r="G554" s="572" t="s">
        <v>66</v>
      </c>
    </row>
    <row r="555" spans="1:7" ht="38.25">
      <c r="A555" s="568">
        <f t="shared" si="11"/>
        <v>547</v>
      </c>
      <c r="B555" s="569" t="str">
        <f>VLOOKUP(A555,'CHK Técnico-ANGULAR'!$A$18:$I$81,4,FALSE)</f>
        <v>Documentación</v>
      </c>
      <c r="C555" s="569" t="str">
        <f>VLOOKUP(A555,'CHK Técnico-ANGULAR'!$A$18:$I$81,3,FALSE)</f>
        <v>Las instrucciones permiten realizar el pase a Testing y a Producción</v>
      </c>
      <c r="D555" s="570">
        <f>VLOOKUP(A555,'CHK Técnico-ANGULAR'!$A$18:$I$81,9,FALSE)</f>
        <v>0</v>
      </c>
      <c r="E555" s="571">
        <f>VLOOKUP(A555,'CHK Técnico-ANGULAR'!$A$18:$I$81,6,FALSE)</f>
        <v>0</v>
      </c>
      <c r="F555" s="572">
        <f>VLOOKUP(A555,'CHK Técnico-ANGULAR'!$A$18:$I$81,5,FALSE)</f>
        <v>0</v>
      </c>
      <c r="G555" s="572" t="s">
        <v>66</v>
      </c>
    </row>
    <row r="556" spans="1:7" ht="51">
      <c r="A556" s="568">
        <f t="shared" si="11"/>
        <v>548</v>
      </c>
      <c r="B556" s="569" t="str">
        <f>VLOOKUP(A556,'CHK Técnico-ANGULAR'!$A$18:$I$81,4,FALSE)</f>
        <v>Homologación/Versionamiento</v>
      </c>
      <c r="C556" s="569" t="str">
        <f>VLOOKUP(A556,'CHK Técnico-ANGULAR'!$A$18:$I$81,3,FALSE)</f>
        <v>¿La cantidad de objetos indicados en PR corresponde a los subidos en el Harvest?</v>
      </c>
      <c r="D556" s="570" t="str">
        <f>VLOOKUP(A556,'CHK Técnico-ANGULAR'!$A$18:$I$81,9,FALSE)</f>
        <v xml:space="preserve">  </v>
      </c>
      <c r="E556" s="571">
        <f>VLOOKUP(A556,'CHK Técnico-ANGULAR'!$A$18:$I$81,6,FALSE)</f>
        <v>0</v>
      </c>
      <c r="F556" s="572">
        <f>VLOOKUP(A556,'CHK Técnico-ANGULAR'!$A$18:$I$81,5,FALSE)</f>
        <v>0</v>
      </c>
      <c r="G556" s="572" t="s">
        <v>66</v>
      </c>
    </row>
    <row r="557" spans="1:7" ht="38.25">
      <c r="A557" s="568">
        <f t="shared" si="11"/>
        <v>549</v>
      </c>
      <c r="B557" s="569" t="str">
        <f>VLOOKUP(A557,'CHK Técnico-ANGULAR'!$A$18:$I$81,4,FALSE)</f>
        <v>Homologación/Versionamiento</v>
      </c>
      <c r="C557" s="569" t="str">
        <f>VLOOKUP(A557,'CHK Técnico-ANGULAR'!$A$18:$I$81,3,FALSE)</f>
        <v>¿Las rutas indicadas para los objetos corresponde a la ruta del Harvest?</v>
      </c>
      <c r="D557" s="570" t="str">
        <f>VLOOKUP(A557,'CHK Técnico-ANGULAR'!$A$18:$I$81,9,FALSE)</f>
        <v xml:space="preserve">  </v>
      </c>
      <c r="E557" s="571">
        <f>VLOOKUP(A557,'CHK Técnico-ANGULAR'!$A$18:$I$81,6,FALSE)</f>
        <v>0</v>
      </c>
      <c r="F557" s="572">
        <f>VLOOKUP(A557,'CHK Técnico-ANGULAR'!$A$18:$I$81,5,FALSE)</f>
        <v>0</v>
      </c>
      <c r="G557" s="572" t="s">
        <v>66</v>
      </c>
    </row>
    <row r="558" spans="1:7">
      <c r="A558" s="568">
        <f t="shared" si="11"/>
        <v>550</v>
      </c>
      <c r="B558" s="569">
        <f>VLOOKUP(A558,'CHK Técnico-ANGULAR'!$A$18:$I$81,4,FALSE)</f>
        <v>0</v>
      </c>
      <c r="C558" s="569">
        <f>VLOOKUP(A558,'CHK Técnico-ANGULAR'!$A$18:$I$81,3,FALSE)</f>
        <v>0</v>
      </c>
      <c r="D558" s="570">
        <f>VLOOKUP(A558,'CHK Técnico-ANGULAR'!$A$18:$I$81,9,FALSE)</f>
        <v>0</v>
      </c>
      <c r="E558" s="571">
        <f>VLOOKUP(A558,'CHK Técnico-ANGULAR'!$A$18:$I$81,6,FALSE)</f>
        <v>0</v>
      </c>
      <c r="F558" s="572">
        <f>VLOOKUP(A558,'CHK Técnico-ANGULAR'!$A$18:$I$81,5,FALSE)</f>
        <v>0</v>
      </c>
      <c r="G558" s="572" t="s">
        <v>66</v>
      </c>
    </row>
    <row r="559" spans="1:7" ht="25.5">
      <c r="A559" s="568">
        <f t="shared" si="11"/>
        <v>551</v>
      </c>
      <c r="B559" s="569" t="str">
        <f>VLOOKUP(A559,'CHK Técnico-ANGULAR'!$A$18:$I$81,4,FALSE)</f>
        <v xml:space="preserve">Estandarización </v>
      </c>
      <c r="C559" s="569" t="str">
        <f>VLOOKUP(A559,'CHK Técnico-ANGULAR'!$A$18:$I$81,3,FALSE)</f>
        <v>Nombres de constantes en Mayúsculas</v>
      </c>
      <c r="D559" s="570" t="str">
        <f>VLOOKUP(A559,'CHK Técnico-ANGULAR'!$A$18:$I$81,9,FALSE)</f>
        <v xml:space="preserve">  </v>
      </c>
      <c r="E559" s="571">
        <f>VLOOKUP(A559,'CHK Técnico-ANGULAR'!$A$18:$I$81,6,FALSE)</f>
        <v>0</v>
      </c>
      <c r="F559" s="572">
        <f>VLOOKUP(A559,'CHK Técnico-ANGULAR'!$A$18:$I$81,5,FALSE)</f>
        <v>0</v>
      </c>
      <c r="G559" s="572" t="s">
        <v>66</v>
      </c>
    </row>
    <row r="560" spans="1:7" ht="25.5">
      <c r="A560" s="568">
        <f t="shared" si="11"/>
        <v>552</v>
      </c>
      <c r="B560" s="569" t="str">
        <f>VLOOKUP(A560,'CHK Técnico-ANGULAR'!$A$18:$I$81,4,FALSE)</f>
        <v xml:space="preserve">Estandarización </v>
      </c>
      <c r="C560" s="569" t="str">
        <f>VLOOKUP(A560,'CHK Técnico-ANGULAR'!$A$18:$I$81,3,FALSE)</f>
        <v>Nombres de clases según estándar (ej: NombreClase)</v>
      </c>
      <c r="D560" s="570" t="str">
        <f>VLOOKUP(A560,'CHK Técnico-ANGULAR'!$A$18:$I$81,9,FALSE)</f>
        <v xml:space="preserve">  </v>
      </c>
      <c r="E560" s="571">
        <f>VLOOKUP(A560,'CHK Técnico-ANGULAR'!$A$18:$I$81,6,FALSE)</f>
        <v>0</v>
      </c>
      <c r="F560" s="572">
        <f>VLOOKUP(A560,'CHK Técnico-ANGULAR'!$A$18:$I$81,5,FALSE)</f>
        <v>0</v>
      </c>
      <c r="G560" s="572" t="s">
        <v>66</v>
      </c>
    </row>
    <row r="561" spans="1:7" ht="38.25">
      <c r="A561" s="568">
        <f t="shared" si="11"/>
        <v>553</v>
      </c>
      <c r="B561" s="569" t="str">
        <f>VLOOKUP(A561,'CHK Técnico-ANGULAR'!$A$18:$I$81,4,FALSE)</f>
        <v xml:space="preserve">Estandarización </v>
      </c>
      <c r="C561" s="569" t="str">
        <f>VLOOKUP(A561,'CHK Técnico-ANGULAR'!$A$18:$I$81,3,FALSE)</f>
        <v>Nombres de métodos según estándar recomendado (ej: generarReporte)</v>
      </c>
      <c r="D561" s="570" t="str">
        <f>VLOOKUP(A561,'CHK Técnico-ANGULAR'!$A$18:$I$81,9,FALSE)</f>
        <v xml:space="preserve">  </v>
      </c>
      <c r="E561" s="571">
        <f>VLOOKUP(A561,'CHK Técnico-ANGULAR'!$A$18:$I$81,6,FALSE)</f>
        <v>0</v>
      </c>
      <c r="F561" s="572">
        <f>VLOOKUP(A561,'CHK Técnico-ANGULAR'!$A$18:$I$81,5,FALSE)</f>
        <v>0</v>
      </c>
      <c r="G561" s="572" t="s">
        <v>66</v>
      </c>
    </row>
    <row r="562" spans="1:7">
      <c r="A562" s="568">
        <f t="shared" si="11"/>
        <v>554</v>
      </c>
      <c r="B562" s="569">
        <f>VLOOKUP(A562,'CHK Técnico-ANGULAR'!$A$18:$I$81,4,FALSE)</f>
        <v>0</v>
      </c>
      <c r="C562" s="569">
        <f>VLOOKUP(A562,'CHK Técnico-ANGULAR'!$A$18:$I$81,3,FALSE)</f>
        <v>0</v>
      </c>
      <c r="D562" s="570">
        <f>VLOOKUP(A562,'CHK Técnico-ANGULAR'!$A$18:$I$81,9,FALSE)</f>
        <v>0</v>
      </c>
      <c r="E562" s="571">
        <f>VLOOKUP(A562,'CHK Técnico-ANGULAR'!$A$18:$I$81,6,FALSE)</f>
        <v>0</v>
      </c>
      <c r="F562" s="572">
        <f>VLOOKUP(A562,'CHK Técnico-ANGULAR'!$A$18:$I$81,5,FALSE)</f>
        <v>0</v>
      </c>
      <c r="G562" s="572" t="s">
        <v>66</v>
      </c>
    </row>
    <row r="563" spans="1:7" ht="25.5">
      <c r="A563" s="568">
        <f t="shared" si="11"/>
        <v>555</v>
      </c>
      <c r="B563" s="569" t="str">
        <f>VLOOKUP(A563,'CHK Técnico-ANGULAR'!$A$18:$I$81,4,FALSE)</f>
        <v xml:space="preserve">Estandarización </v>
      </c>
      <c r="C563" s="569" t="str">
        <f>VLOOKUP(A563,'CHK Técnico-ANGULAR'!$A$18:$I$81,3,FALSE)</f>
        <v>Se declara cada variable en su propia línea</v>
      </c>
      <c r="D563" s="570" t="str">
        <f>VLOOKUP(A563,'CHK Técnico-ANGULAR'!$A$18:$I$81,9,FALSE)</f>
        <v xml:space="preserve">  </v>
      </c>
      <c r="E563" s="571">
        <f>VLOOKUP(A563,'CHK Técnico-ANGULAR'!$A$18:$I$81,6,FALSE)</f>
        <v>0</v>
      </c>
      <c r="F563" s="572">
        <f>VLOOKUP(A563,'CHK Técnico-ANGULAR'!$A$18:$I$81,5,FALSE)</f>
        <v>0</v>
      </c>
      <c r="G563" s="572" t="s">
        <v>66</v>
      </c>
    </row>
    <row r="564" spans="1:7" ht="38.25">
      <c r="A564" s="568">
        <f t="shared" si="11"/>
        <v>556</v>
      </c>
      <c r="B564" s="569" t="str">
        <f>VLOOKUP(A564,'CHK Técnico-ANGULAR'!$A$18:$I$81,4,FALSE)</f>
        <v xml:space="preserve">Estandarización </v>
      </c>
      <c r="C564" s="569" t="str">
        <f>VLOOKUP(A564,'CHK Técnico-ANGULAR'!$A$18:$I$81,3,FALSE)</f>
        <v>Se evita la coma para declaraciones o instrucciones múltiples</v>
      </c>
      <c r="D564" s="570" t="str">
        <f>VLOOKUP(A564,'CHK Técnico-ANGULAR'!$A$18:$I$81,9,FALSE)</f>
        <v xml:space="preserve">  </v>
      </c>
      <c r="E564" s="571">
        <f>VLOOKUP(A564,'CHK Técnico-ANGULAR'!$A$18:$I$81,6,FALSE)</f>
        <v>0</v>
      </c>
      <c r="F564" s="572">
        <f>VLOOKUP(A564,'CHK Técnico-ANGULAR'!$A$18:$I$81,5,FALSE)</f>
        <v>0</v>
      </c>
      <c r="G564" s="572" t="s">
        <v>66</v>
      </c>
    </row>
    <row r="565" spans="1:7" ht="25.5">
      <c r="A565" s="568">
        <f t="shared" ref="A565:A628" si="12">A564+1</f>
        <v>557</v>
      </c>
      <c r="B565" s="569" t="str">
        <f>VLOOKUP(A565,'CHK Técnico-ANGULAR'!$A$18:$I$81,4,FALSE)</f>
        <v xml:space="preserve">Estandarización </v>
      </c>
      <c r="C565" s="569" t="str">
        <f>VLOOKUP(A565,'CHK Técnico-ANGULAR'!$A$18:$I$81,3,FALSE)</f>
        <v>La condicional IF tienen la forma estándar</v>
      </c>
      <c r="D565" s="570" t="str">
        <f>VLOOKUP(A565,'CHK Técnico-ANGULAR'!$A$18:$I$81,9,FALSE)</f>
        <v xml:space="preserve">  </v>
      </c>
      <c r="E565" s="571">
        <f>VLOOKUP(A565,'CHK Técnico-ANGULAR'!$A$18:$I$81,6,FALSE)</f>
        <v>0</v>
      </c>
      <c r="F565" s="572">
        <f>VLOOKUP(A565,'CHK Técnico-ANGULAR'!$A$18:$I$81,5,FALSE)</f>
        <v>0</v>
      </c>
      <c r="G565" s="572" t="s">
        <v>66</v>
      </c>
    </row>
    <row r="566" spans="1:7" ht="38.25">
      <c r="A566" s="568">
        <f t="shared" si="12"/>
        <v>558</v>
      </c>
      <c r="B566" s="569" t="str">
        <f>VLOOKUP(A566,'CHK Técnico-ANGULAR'!$A$18:$I$81,4,FALSE)</f>
        <v xml:space="preserve">Estandarización </v>
      </c>
      <c r="C566" s="569" t="str">
        <f>VLOOKUP(A566,'CHK Técnico-ANGULAR'!$A$18:$I$81,3,FALSE)</f>
        <v>Las sentencias FOR, WHILE y SWITCH tienen la forma estándar</v>
      </c>
      <c r="D566" s="570" t="str">
        <f>VLOOKUP(A566,'CHK Técnico-ANGULAR'!$A$18:$I$81,9,FALSE)</f>
        <v xml:space="preserve">  </v>
      </c>
      <c r="E566" s="571">
        <f>VLOOKUP(A566,'CHK Técnico-ANGULAR'!$A$18:$I$81,6,FALSE)</f>
        <v>0</v>
      </c>
      <c r="F566" s="572">
        <f>VLOOKUP(A566,'CHK Técnico-ANGULAR'!$A$18:$I$81,5,FALSE)</f>
        <v>0</v>
      </c>
      <c r="G566" s="572" t="s">
        <v>66</v>
      </c>
    </row>
    <row r="567" spans="1:7" ht="38.25">
      <c r="A567" s="568">
        <f t="shared" si="12"/>
        <v>559</v>
      </c>
      <c r="B567" s="569" t="str">
        <f>VLOOKUP(A567,'CHK Técnico-ANGULAR'!$A$18:$I$81,4,FALSE)</f>
        <v xml:space="preserve">Estandarización </v>
      </c>
      <c r="C567" s="569" t="str">
        <f>VLOOKUP(A567,'CHK Técnico-ANGULAR'!$A$18:$I$81,3,FALSE)</f>
        <v>Se ha documentado en la parte superior el cambio según el formato estándar</v>
      </c>
      <c r="D567" s="570" t="str">
        <f>VLOOKUP(A567,'CHK Técnico-ANGULAR'!$A$18:$I$81,9,FALSE)</f>
        <v xml:space="preserve">  </v>
      </c>
      <c r="E567" s="571">
        <f>VLOOKUP(A567,'CHK Técnico-ANGULAR'!$A$18:$I$81,6,FALSE)</f>
        <v>0</v>
      </c>
      <c r="F567" s="572">
        <f>VLOOKUP(A567,'CHK Técnico-ANGULAR'!$A$18:$I$81,5,FALSE)</f>
        <v>0</v>
      </c>
      <c r="G567" s="572" t="s">
        <v>66</v>
      </c>
    </row>
    <row r="568" spans="1:7" ht="51">
      <c r="A568" s="568">
        <f t="shared" si="12"/>
        <v>560</v>
      </c>
      <c r="B568" s="569" t="str">
        <f>VLOOKUP(A568,'CHK Técnico-ANGULAR'!$A$18:$I$81,4,FALSE)</f>
        <v xml:space="preserve">Estandarización </v>
      </c>
      <c r="C568" s="569" t="str">
        <f>VLOOKUP(A568,'CHK Técnico-ANGULAR'!$A$18:$I$81,3,FALSE)</f>
        <v>Las nuevas clases, métodos y atributos se encuentran documentadas con comentarios</v>
      </c>
      <c r="D568" s="570" t="str">
        <f>VLOOKUP(A568,'CHK Técnico-ANGULAR'!$A$18:$I$81,9,FALSE)</f>
        <v xml:space="preserve">  </v>
      </c>
      <c r="E568" s="571">
        <f>VLOOKUP(A568,'CHK Técnico-ANGULAR'!$A$18:$I$81,6,FALSE)</f>
        <v>0</v>
      </c>
      <c r="F568" s="572">
        <f>VLOOKUP(A568,'CHK Técnico-ANGULAR'!$A$18:$I$81,5,FALSE)</f>
        <v>0</v>
      </c>
      <c r="G568" s="572" t="s">
        <v>66</v>
      </c>
    </row>
    <row r="569" spans="1:7" ht="51">
      <c r="A569" s="568">
        <f t="shared" si="12"/>
        <v>561</v>
      </c>
      <c r="B569" s="569" t="str">
        <f>VLOOKUP(A569,'CHK Técnico-ANGULAR'!$A$18:$I$81,4,FALSE)</f>
        <v xml:space="preserve">Estandarización </v>
      </c>
      <c r="C569" s="569" t="str">
        <f>VLOOKUP(A569,'CHK Técnico-ANGULAR'!$A$18:$I$81,3,FALSE)</f>
        <v>Se incluyen bloques de comentarios para lógica compleja o Bloques de instrucciones</v>
      </c>
      <c r="D569" s="570" t="str">
        <f>VLOOKUP(A569,'CHK Técnico-ANGULAR'!$A$18:$I$81,9,FALSE)</f>
        <v xml:space="preserve">  </v>
      </c>
      <c r="E569" s="571">
        <f>VLOOKUP(A569,'CHK Técnico-ANGULAR'!$A$18:$I$81,6,FALSE)</f>
        <v>0</v>
      </c>
      <c r="F569" s="572">
        <f>VLOOKUP(A569,'CHK Técnico-ANGULAR'!$A$18:$I$81,5,FALSE)</f>
        <v>0</v>
      </c>
      <c r="G569" s="572" t="s">
        <v>66</v>
      </c>
    </row>
    <row r="570" spans="1:7" ht="38.25">
      <c r="A570" s="568">
        <f t="shared" si="12"/>
        <v>562</v>
      </c>
      <c r="B570" s="569" t="str">
        <f>VLOOKUP(A570,'CHK Técnico-ANGULAR'!$A$18:$I$81,4,FALSE)</f>
        <v xml:space="preserve">Estandarización </v>
      </c>
      <c r="C570" s="569" t="str">
        <f>VLOOKUP(A570,'CHK Técnico-ANGULAR'!$A$18:$I$81,3,FALSE)</f>
        <v>Se usa el tipo decimal para información de montos monetarios</v>
      </c>
      <c r="D570" s="570" t="str">
        <f>VLOOKUP(A570,'CHK Técnico-ANGULAR'!$A$18:$I$81,9,FALSE)</f>
        <v xml:space="preserve">  </v>
      </c>
      <c r="E570" s="571">
        <f>VLOOKUP(A570,'CHK Técnico-ANGULAR'!$A$18:$I$81,6,FALSE)</f>
        <v>0</v>
      </c>
      <c r="F570" s="572">
        <f>VLOOKUP(A570,'CHK Técnico-ANGULAR'!$A$18:$I$81,5,FALSE)</f>
        <v>0</v>
      </c>
      <c r="G570" s="572" t="s">
        <v>66</v>
      </c>
    </row>
    <row r="571" spans="1:7" ht="25.5">
      <c r="A571" s="568">
        <f t="shared" si="12"/>
        <v>563</v>
      </c>
      <c r="B571" s="569" t="str">
        <f>VLOOKUP(A571,'CHK Técnico-ANGULAR'!$A$18:$I$81,4,FALSE)</f>
        <v xml:space="preserve">Estandarización </v>
      </c>
      <c r="C571" s="569" t="str">
        <f>VLOOKUP(A571,'CHK Técnico-ANGULAR'!$A$18:$I$81,3,FALSE)</f>
        <v>Se usa el clase Date para fechas</v>
      </c>
      <c r="D571" s="570" t="str">
        <f>VLOOKUP(A571,'CHK Técnico-ANGULAR'!$A$18:$I$81,9,FALSE)</f>
        <v xml:space="preserve">  </v>
      </c>
      <c r="E571" s="571">
        <f>VLOOKUP(A571,'CHK Técnico-ANGULAR'!$A$18:$I$81,6,FALSE)</f>
        <v>0</v>
      </c>
      <c r="F571" s="572">
        <f>VLOOKUP(A571,'CHK Técnico-ANGULAR'!$A$18:$I$81,5,FALSE)</f>
        <v>0</v>
      </c>
      <c r="G571" s="572" t="s">
        <v>66</v>
      </c>
    </row>
    <row r="572" spans="1:7" ht="51">
      <c r="A572" s="568">
        <f t="shared" si="12"/>
        <v>564</v>
      </c>
      <c r="B572" s="569" t="str">
        <f>VLOOKUP(A572,'CHK Técnico-ANGULAR'!$A$18:$I$81,4,FALSE)</f>
        <v xml:space="preserve">Estandarización </v>
      </c>
      <c r="C572" s="569" t="str">
        <f>VLOOKUP(A572,'CHK Técnico-ANGULAR'!$A$18:$I$81,3,FALSE)</f>
        <v>Legibilidad de código (Formateo, Identación, Salto de línea, espaciado, declaración de clases.)</v>
      </c>
      <c r="D572" s="570" t="str">
        <f>VLOOKUP(A572,'CHK Técnico-ANGULAR'!$A$18:$I$81,9,FALSE)</f>
        <v xml:space="preserve">  </v>
      </c>
      <c r="E572" s="571">
        <f>VLOOKUP(A572,'CHK Técnico-ANGULAR'!$A$18:$I$81,6,FALSE)</f>
        <v>0</v>
      </c>
      <c r="F572" s="572">
        <f>VLOOKUP(A572,'CHK Técnico-ANGULAR'!$A$18:$I$81,5,FALSE)</f>
        <v>0</v>
      </c>
      <c r="G572" s="572" t="s">
        <v>66</v>
      </c>
    </row>
    <row r="573" spans="1:7" ht="51">
      <c r="A573" s="568">
        <f t="shared" si="12"/>
        <v>565</v>
      </c>
      <c r="B573" s="569" t="str">
        <f>VLOOKUP(A573,'CHK Técnico-ANGULAR'!$A$18:$I$81,4,FALSE)</f>
        <v xml:space="preserve">Estandarización </v>
      </c>
      <c r="C573" s="569" t="str">
        <f>VLOOKUP(A573,'CHK Técnico-ANGULAR'!$A$18:$I$81,3,FALSE)</f>
        <v>Reglas de conversión de tipos.(No permitir funciones implícitas de conversión ejem: string a number)</v>
      </c>
      <c r="D573" s="570" t="str">
        <f>VLOOKUP(A573,'CHK Técnico-ANGULAR'!$A$18:$I$81,9,FALSE)</f>
        <v xml:space="preserve">  </v>
      </c>
      <c r="E573" s="571">
        <f>VLOOKUP(A573,'CHK Técnico-ANGULAR'!$A$18:$I$81,6,FALSE)</f>
        <v>0</v>
      </c>
      <c r="F573" s="572">
        <f>VLOOKUP(A573,'CHK Técnico-ANGULAR'!$A$18:$I$81,5,FALSE)</f>
        <v>0</v>
      </c>
      <c r="G573" s="572" t="s">
        <v>66</v>
      </c>
    </row>
    <row r="574" spans="1:7" ht="51">
      <c r="A574" s="568">
        <f t="shared" si="12"/>
        <v>566</v>
      </c>
      <c r="B574" s="569" t="str">
        <f>VLOOKUP(A574,'CHK Técnico-ANGULAR'!$A$18:$I$81,4,FALSE)</f>
        <v xml:space="preserve">Estandarización </v>
      </c>
      <c r="C574" s="569" t="str">
        <f>VLOOKUP(A574,'CHK Técnico-ANGULAR'!$A$18:$I$81,3,FALSE)</f>
        <v>La invocación a los servicios web se realiza mediante promesas u observables (Promises u Observables)</v>
      </c>
      <c r="D574" s="570" t="str">
        <f>VLOOKUP(A574,'CHK Técnico-ANGULAR'!$A$18:$I$81,9,FALSE)</f>
        <v xml:space="preserve">  </v>
      </c>
      <c r="E574" s="571">
        <f>VLOOKUP(A574,'CHK Técnico-ANGULAR'!$A$18:$I$81,6,FALSE)</f>
        <v>0</v>
      </c>
      <c r="F574" s="572">
        <f>VLOOKUP(A574,'CHK Técnico-ANGULAR'!$A$18:$I$81,5,FALSE)</f>
        <v>0</v>
      </c>
      <c r="G574" s="572" t="s">
        <v>66</v>
      </c>
    </row>
    <row r="575" spans="1:7">
      <c r="A575" s="568">
        <f t="shared" si="12"/>
        <v>567</v>
      </c>
      <c r="B575" s="569">
        <f>VLOOKUP(A575,'CHK Técnico-ANGULAR'!$A$18:$I$81,4,FALSE)</f>
        <v>0</v>
      </c>
      <c r="C575" s="569">
        <f>VLOOKUP(A575,'CHK Técnico-ANGULAR'!$A$18:$I$81,3,FALSE)</f>
        <v>0</v>
      </c>
      <c r="D575" s="570">
        <f>VLOOKUP(A575,'CHK Técnico-ANGULAR'!$A$18:$I$81,9,FALSE)</f>
        <v>0</v>
      </c>
      <c r="E575" s="571">
        <f>VLOOKUP(A575,'CHK Técnico-ANGULAR'!$A$18:$I$81,6,FALSE)</f>
        <v>0</v>
      </c>
      <c r="F575" s="572">
        <f>VLOOKUP(A575,'CHK Técnico-ANGULAR'!$A$18:$I$81,5,FALSE)</f>
        <v>0</v>
      </c>
      <c r="G575" s="572" t="s">
        <v>66</v>
      </c>
    </row>
    <row r="576" spans="1:7" ht="51">
      <c r="A576" s="568">
        <f t="shared" si="12"/>
        <v>568</v>
      </c>
      <c r="B576" s="569" t="str">
        <f>VLOOKUP(A576,'CHK Técnico-ANGULAR'!$A$18:$I$81,4,FALSE)</f>
        <v>Estandarización</v>
      </c>
      <c r="C576" s="569" t="str">
        <f>VLOOKUP(A576,'CHK Técnico-ANGULAR'!$A$18:$I$81,3,FALSE)</f>
        <v>Se usa includes de Javascript para rutinas de validación fecha, e-mails y otros comunes</v>
      </c>
      <c r="D576" s="570" t="str">
        <f>VLOOKUP(A576,'CHK Técnico-ANGULAR'!$A$18:$I$81,9,FALSE)</f>
        <v xml:space="preserve">  </v>
      </c>
      <c r="E576" s="571">
        <f>VLOOKUP(A576,'CHK Técnico-ANGULAR'!$A$18:$I$81,6,FALSE)</f>
        <v>0</v>
      </c>
      <c r="F576" s="572">
        <f>VLOOKUP(A576,'CHK Técnico-ANGULAR'!$A$18:$I$81,5,FALSE)</f>
        <v>0</v>
      </c>
      <c r="G576" s="572" t="s">
        <v>66</v>
      </c>
    </row>
    <row r="577" spans="1:7">
      <c r="A577" s="568">
        <f t="shared" si="12"/>
        <v>569</v>
      </c>
      <c r="B577" s="569" t="str">
        <f>VLOOKUP(A577,'CHK Técnico-ANGULAR'!$A$18:$I$81,4,FALSE)</f>
        <v>Estandarización</v>
      </c>
      <c r="C577" s="569" t="str">
        <f>VLOOKUP(A577,'CHK Técnico-ANGULAR'!$A$18:$I$81,3,FALSE)</f>
        <v>Se usa Style Sheet</v>
      </c>
      <c r="D577" s="570" t="str">
        <f>VLOOKUP(A577,'CHK Técnico-ANGULAR'!$A$18:$I$81,9,FALSE)</f>
        <v xml:space="preserve">  </v>
      </c>
      <c r="E577" s="571">
        <f>VLOOKUP(A577,'CHK Técnico-ANGULAR'!$A$18:$I$81,6,FALSE)</f>
        <v>0</v>
      </c>
      <c r="F577" s="572">
        <f>VLOOKUP(A577,'CHK Técnico-ANGULAR'!$A$18:$I$81,5,FALSE)</f>
        <v>0</v>
      </c>
      <c r="G577" s="572" t="s">
        <v>66</v>
      </c>
    </row>
    <row r="578" spans="1:7" ht="63.75">
      <c r="A578" s="568">
        <f t="shared" si="12"/>
        <v>570</v>
      </c>
      <c r="B578" s="569" t="str">
        <f>VLOOKUP(A578,'CHK Técnico-ANGULAR'!$A$18:$I$81,4,FALSE)</f>
        <v>Estandarización</v>
      </c>
      <c r="C578" s="569" t="str">
        <f>VLOOKUP(A578,'CHK Técnico-ANGULAR'!$A$18:$I$81,3,FALSE)</f>
        <v>En caso de nuevos desarrollos no existe codificación de reglas de negocio o de acceso a Base de datos</v>
      </c>
      <c r="D578" s="570" t="str">
        <f>VLOOKUP(A578,'CHK Técnico-ANGULAR'!$A$18:$I$81,9,FALSE)</f>
        <v xml:space="preserve">  </v>
      </c>
      <c r="E578" s="571">
        <f>VLOOKUP(A578,'CHK Técnico-ANGULAR'!$A$18:$I$81,6,FALSE)</f>
        <v>0</v>
      </c>
      <c r="F578" s="572">
        <f>VLOOKUP(A578,'CHK Técnico-ANGULAR'!$A$18:$I$81,5,FALSE)</f>
        <v>0</v>
      </c>
      <c r="G578" s="572" t="s">
        <v>66</v>
      </c>
    </row>
    <row r="579" spans="1:7">
      <c r="A579" s="568">
        <f t="shared" si="12"/>
        <v>571</v>
      </c>
      <c r="B579" s="569">
        <f>VLOOKUP(A579,'CHK Técnico-ANGULAR'!$A$18:$I$81,4,FALSE)</f>
        <v>0</v>
      </c>
      <c r="C579" s="569">
        <f>VLOOKUP(A579,'CHK Técnico-ANGULAR'!$A$18:$I$81,3,FALSE)</f>
        <v>0</v>
      </c>
      <c r="D579" s="570">
        <f>VLOOKUP(A579,'CHK Técnico-ANGULAR'!$A$18:$I$81,9,FALSE)</f>
        <v>0</v>
      </c>
      <c r="E579" s="571">
        <f>VLOOKUP(A579,'CHK Técnico-ANGULAR'!$A$18:$I$81,6,FALSE)</f>
        <v>0</v>
      </c>
      <c r="F579" s="572">
        <f>VLOOKUP(A579,'CHK Técnico-ANGULAR'!$A$18:$I$81,5,FALSE)</f>
        <v>0</v>
      </c>
      <c r="G579" s="572" t="s">
        <v>66</v>
      </c>
    </row>
    <row r="580" spans="1:7" ht="51">
      <c r="A580" s="568">
        <f t="shared" si="12"/>
        <v>572</v>
      </c>
      <c r="B580" s="569" t="str">
        <f>VLOOKUP(A580,'CHK Técnico-ANGULAR'!$A$18:$I$81,4,FALSE)</f>
        <v>Estandarización</v>
      </c>
      <c r="C580" s="569" t="str">
        <f>VLOOKUP(A580,'CHK Técnico-ANGULAR'!$A$18:$I$81,3,FALSE)</f>
        <v>Para grandes cambios o nuevas aplicaciones se ha realizado el checklist de seguridad</v>
      </c>
      <c r="D580" s="570" t="str">
        <f>VLOOKUP(A580,'CHK Técnico-ANGULAR'!$A$18:$I$81,9,FALSE)</f>
        <v xml:space="preserve">  </v>
      </c>
      <c r="E580" s="571">
        <f>VLOOKUP(A580,'CHK Técnico-ANGULAR'!$A$18:$I$81,6,FALSE)</f>
        <v>0</v>
      </c>
      <c r="F580" s="572">
        <f>VLOOKUP(A580,'CHK Técnico-ANGULAR'!$A$18:$I$81,5,FALSE)</f>
        <v>0</v>
      </c>
      <c r="G580" s="572" t="s">
        <v>66</v>
      </c>
    </row>
    <row r="581" spans="1:7" ht="51">
      <c r="A581" s="568">
        <f t="shared" si="12"/>
        <v>573</v>
      </c>
      <c r="B581" s="569" t="str">
        <f>VLOOKUP(A581,'CHK Técnico-ANGULAR'!$A$18:$I$81,4,FALSE)</f>
        <v>Estandarización</v>
      </c>
      <c r="C581" s="569" t="str">
        <f>VLOOKUP(A581,'CHK Técnico-ANGULAR'!$A$18:$I$81,3,FALSE)</f>
        <v>Validación de campos inputs y outputs en forms: tipo de datos, longitud, obligatoriedad, charset</v>
      </c>
      <c r="D581" s="570" t="str">
        <f>VLOOKUP(A581,'CHK Técnico-ANGULAR'!$A$18:$I$81,9,FALSE)</f>
        <v xml:space="preserve">  </v>
      </c>
      <c r="E581" s="571">
        <f>VLOOKUP(A581,'CHK Técnico-ANGULAR'!$A$18:$I$81,6,FALSE)</f>
        <v>0</v>
      </c>
      <c r="F581" s="572">
        <f>VLOOKUP(A581,'CHK Técnico-ANGULAR'!$A$18:$I$81,5,FALSE)</f>
        <v>0</v>
      </c>
      <c r="G581" s="572" t="s">
        <v>66</v>
      </c>
    </row>
    <row r="582" spans="1:7" ht="25.5">
      <c r="A582" s="568">
        <f t="shared" si="12"/>
        <v>574</v>
      </c>
      <c r="B582" s="569" t="str">
        <f>VLOOKUP(A582,'CHK Técnico-ANGULAR'!$A$18:$I$81,4,FALSE)</f>
        <v>Estandarización</v>
      </c>
      <c r="C582" s="569" t="str">
        <f>VLOOKUP(A582,'CHK Técnico-ANGULAR'!$A$18:$I$81,3,FALSE)</f>
        <v>El tamaño de los URLs no exceden los 120 caracteres</v>
      </c>
      <c r="D582" s="570" t="str">
        <f>VLOOKUP(A582,'CHK Técnico-ANGULAR'!$A$18:$I$81,9,FALSE)</f>
        <v xml:space="preserve">  </v>
      </c>
      <c r="E582" s="571">
        <f>VLOOKUP(A582,'CHK Técnico-ANGULAR'!$A$18:$I$81,6,FALSE)</f>
        <v>0</v>
      </c>
      <c r="F582" s="572">
        <f>VLOOKUP(A582,'CHK Técnico-ANGULAR'!$A$18:$I$81,5,FALSE)</f>
        <v>0</v>
      </c>
      <c r="G582" s="572" t="s">
        <v>66</v>
      </c>
    </row>
    <row r="583" spans="1:7" ht="38.25">
      <c r="A583" s="568">
        <f t="shared" si="12"/>
        <v>575</v>
      </c>
      <c r="B583" s="569" t="str">
        <f>VLOOKUP(A583,'CHK Técnico-ANGULAR'!$A$18:$I$81,4,FALSE)</f>
        <v>Técnico</v>
      </c>
      <c r="C583" s="569" t="str">
        <f>VLOOKUP(A583,'CHK Técnico-ANGULAR'!$A$18:$I$81,3,FALSE)</f>
        <v>Se ha evitado bypassear el uso de una clave cuando esta se requiera</v>
      </c>
      <c r="D583" s="570" t="str">
        <f>VLOOKUP(A583,'CHK Técnico-ANGULAR'!$A$18:$I$81,9,FALSE)</f>
        <v xml:space="preserve">  </v>
      </c>
      <c r="E583" s="571">
        <f>VLOOKUP(A583,'CHK Técnico-ANGULAR'!$A$18:$I$81,6,FALSE)</f>
        <v>0</v>
      </c>
      <c r="F583" s="572">
        <f>VLOOKUP(A583,'CHK Técnico-ANGULAR'!$A$18:$I$81,5,FALSE)</f>
        <v>0</v>
      </c>
      <c r="G583" s="572" t="s">
        <v>66</v>
      </c>
    </row>
    <row r="584" spans="1:7" ht="38.25">
      <c r="A584" s="568">
        <f t="shared" si="12"/>
        <v>576</v>
      </c>
      <c r="B584" s="569" t="str">
        <f>VLOOKUP(A584,'CHK Técnico-ANGULAR'!$A$18:$I$81,4,FALSE)</f>
        <v>Estandarización</v>
      </c>
      <c r="C584" s="569" t="str">
        <f>VLOOKUP(A584,'CHK Técnico-ANGULAR'!$A$18:$I$81,3,FALSE)</f>
        <v>Se ha evitado el acceso de directorio de servidores mediante URLs</v>
      </c>
      <c r="D584" s="570" t="str">
        <f>VLOOKUP(A584,'CHK Técnico-ANGULAR'!$A$18:$I$81,9,FALSE)</f>
        <v xml:space="preserve">  </v>
      </c>
      <c r="E584" s="571">
        <f>VLOOKUP(A584,'CHK Técnico-ANGULAR'!$A$18:$I$81,6,FALSE)</f>
        <v>0</v>
      </c>
      <c r="F584" s="572">
        <f>VLOOKUP(A584,'CHK Técnico-ANGULAR'!$A$18:$I$81,5,FALSE)</f>
        <v>0</v>
      </c>
      <c r="G584" s="572" t="s">
        <v>66</v>
      </c>
    </row>
    <row r="585" spans="1:7" ht="38.25">
      <c r="A585" s="568">
        <f t="shared" si="12"/>
        <v>577</v>
      </c>
      <c r="B585" s="569" t="str">
        <f>VLOOKUP(A585,'CHK Técnico-ANGULAR'!$A$18:$I$81,4,FALSE)</f>
        <v>Estandarización</v>
      </c>
      <c r="C585" s="569" t="str">
        <f>VLOOKUP(A585,'CHK Técnico-ANGULAR'!$A$18:$I$81,3,FALSE)</f>
        <v>Se ha evitado el uso en el URL o descarga de .exe, .bat, .dll, .ocx, .com</v>
      </c>
      <c r="D585" s="570" t="str">
        <f>VLOOKUP(A585,'CHK Técnico-ANGULAR'!$A$18:$I$81,9,FALSE)</f>
        <v xml:space="preserve">  </v>
      </c>
      <c r="E585" s="571">
        <f>VLOOKUP(A585,'CHK Técnico-ANGULAR'!$A$18:$I$81,6,FALSE)</f>
        <v>0</v>
      </c>
      <c r="F585" s="572">
        <f>VLOOKUP(A585,'CHK Técnico-ANGULAR'!$A$18:$I$81,5,FALSE)</f>
        <v>0</v>
      </c>
      <c r="G585" s="572" t="s">
        <v>66</v>
      </c>
    </row>
    <row r="586" spans="1:7" ht="25.5">
      <c r="A586" s="568">
        <f t="shared" si="12"/>
        <v>578</v>
      </c>
      <c r="B586" s="569" t="str">
        <f>VLOOKUP(A586,'CHK Técnico-ANGULAR'!$A$18:$I$81,4,FALSE)</f>
        <v>Estandarización</v>
      </c>
      <c r="C586" s="569" t="str">
        <f>VLOOKUP(A586,'CHK Técnico-ANGULAR'!$A$18:$I$81,3,FALSE)</f>
        <v>Los passwords son manejados con encriptación</v>
      </c>
      <c r="D586" s="570" t="str">
        <f>VLOOKUP(A586,'CHK Técnico-ANGULAR'!$A$18:$I$81,9,FALSE)</f>
        <v xml:space="preserve">  </v>
      </c>
      <c r="E586" s="571">
        <f>VLOOKUP(A586,'CHK Técnico-ANGULAR'!$A$18:$I$81,6,FALSE)</f>
        <v>0</v>
      </c>
      <c r="F586" s="572">
        <f>VLOOKUP(A586,'CHK Técnico-ANGULAR'!$A$18:$I$81,5,FALSE)</f>
        <v>0</v>
      </c>
      <c r="G586" s="572" t="s">
        <v>66</v>
      </c>
    </row>
    <row r="587" spans="1:7" ht="38.25">
      <c r="A587" s="568">
        <f t="shared" si="12"/>
        <v>579</v>
      </c>
      <c r="B587" s="569" t="str">
        <f>VLOOKUP(A587,'CHK Técnico-ANGULAR'!$A$18:$I$81,4,FALSE)</f>
        <v>Estandarización</v>
      </c>
      <c r="C587" s="569" t="str">
        <f>VLOOKUP(A587,'CHK Técnico-ANGULAR'!$A$18:$I$81,3,FALSE)</f>
        <v>La aplicación corre con los privilegios mínimos que requiere para su ejecución</v>
      </c>
      <c r="D587" s="570" t="str">
        <f>VLOOKUP(A587,'CHK Técnico-ANGULAR'!$A$18:$I$81,9,FALSE)</f>
        <v xml:space="preserve">  </v>
      </c>
      <c r="E587" s="571">
        <f>VLOOKUP(A587,'CHK Técnico-ANGULAR'!$A$18:$I$81,6,FALSE)</f>
        <v>0</v>
      </c>
      <c r="F587" s="572">
        <f>VLOOKUP(A587,'CHK Técnico-ANGULAR'!$A$18:$I$81,5,FALSE)</f>
        <v>0</v>
      </c>
      <c r="G587" s="572" t="s">
        <v>66</v>
      </c>
    </row>
    <row r="588" spans="1:7">
      <c r="A588" s="568">
        <f t="shared" si="12"/>
        <v>580</v>
      </c>
      <c r="B588" s="569">
        <f>VLOOKUP(A588,'CHK Técnico-ANGULAR'!$A$18:$I$81,4,FALSE)</f>
        <v>0</v>
      </c>
      <c r="C588" s="569">
        <f>VLOOKUP(A588,'CHK Técnico-ANGULAR'!$A$18:$I$81,3,FALSE)</f>
        <v>0</v>
      </c>
      <c r="D588" s="570">
        <f>VLOOKUP(A588,'CHK Técnico-ANGULAR'!$A$18:$I$81,9,FALSE)</f>
        <v>0</v>
      </c>
      <c r="E588" s="571">
        <f>VLOOKUP(A588,'CHK Técnico-ANGULAR'!$A$18:$I$81,6,FALSE)</f>
        <v>0</v>
      </c>
      <c r="F588" s="572">
        <f>VLOOKUP(A588,'CHK Técnico-ANGULAR'!$A$18:$I$81,5,FALSE)</f>
        <v>0</v>
      </c>
      <c r="G588" s="572" t="s">
        <v>66</v>
      </c>
    </row>
    <row r="589" spans="1:7" ht="25.5">
      <c r="A589" s="568">
        <f t="shared" si="12"/>
        <v>581</v>
      </c>
      <c r="B589" s="569" t="str">
        <f>VLOOKUP(A589,'CHK Técnico-ANGULAR'!$A$18:$I$81,4,FALSE)</f>
        <v>Estandarización</v>
      </c>
      <c r="C589" s="569" t="str">
        <f>VLOOKUP(A589,'CHK Técnico-ANGULAR'!$A$18:$I$81,3,FALSE)</f>
        <v>La aplicación fue creada con la versión 5 de angular</v>
      </c>
      <c r="D589" s="570" t="str">
        <f>VLOOKUP(A589,'CHK Técnico-ANGULAR'!$A$18:$I$81,9,FALSE)</f>
        <v xml:space="preserve">  </v>
      </c>
      <c r="E589" s="571">
        <f>VLOOKUP(A589,'CHK Técnico-ANGULAR'!$A$18:$I$81,6,FALSE)</f>
        <v>0</v>
      </c>
      <c r="F589" s="572">
        <f>VLOOKUP(A589,'CHK Técnico-ANGULAR'!$A$18:$I$81,5,FALSE)</f>
        <v>0</v>
      </c>
      <c r="G589" s="572" t="s">
        <v>66</v>
      </c>
    </row>
    <row r="590" spans="1:7" ht="51">
      <c r="A590" s="568">
        <f t="shared" si="12"/>
        <v>582</v>
      </c>
      <c r="B590" s="569" t="str">
        <f>VLOOKUP(A590,'CHK Técnico-ANGULAR'!$A$18:$I$81,4,FALSE)</f>
        <v>Estandarización</v>
      </c>
      <c r="C590" s="569" t="str">
        <f>VLOOKUP(A590,'CHK Técnico-ANGULAR'!$A$18:$I$81,3,FALSE)</f>
        <v>La aplicación fue creada con la última plantilla aprobada (No se creó mediante Angular CLI)</v>
      </c>
      <c r="D590" s="570" t="str">
        <f>VLOOKUP(A590,'CHK Técnico-ANGULAR'!$A$18:$I$81,9,FALSE)</f>
        <v xml:space="preserve">  </v>
      </c>
      <c r="E590" s="571">
        <f>VLOOKUP(A590,'CHK Técnico-ANGULAR'!$A$18:$I$81,6,FALSE)</f>
        <v>0</v>
      </c>
      <c r="F590" s="572">
        <f>VLOOKUP(A590,'CHK Técnico-ANGULAR'!$A$18:$I$81,5,FALSE)</f>
        <v>0</v>
      </c>
      <c r="G590" s="572" t="s">
        <v>66</v>
      </c>
    </row>
    <row r="591" spans="1:7" ht="63.75">
      <c r="A591" s="568">
        <f t="shared" si="12"/>
        <v>583</v>
      </c>
      <c r="B591" s="569" t="str">
        <f>VLOOKUP(A591,'CHK Técnico-ANGULAR'!$A$18:$I$81,4,FALSE)</f>
        <v>Estandarización</v>
      </c>
      <c r="C591" s="569" t="str">
        <f>VLOOKUP(A591,'CHK Técnico-ANGULAR'!$A$18:$I$81,3,FALSE)</f>
        <v>La aplicación está preparada para conectarse directamente a los servidores de producción de los servicios web</v>
      </c>
      <c r="D591" s="570" t="str">
        <f>VLOOKUP(A591,'CHK Técnico-ANGULAR'!$A$18:$I$81,9,FALSE)</f>
        <v xml:space="preserve">  </v>
      </c>
      <c r="E591" s="571">
        <f>VLOOKUP(A591,'CHK Técnico-ANGULAR'!$A$18:$I$81,6,FALSE)</f>
        <v>0</v>
      </c>
      <c r="F591" s="572">
        <f>VLOOKUP(A591,'CHK Técnico-ANGULAR'!$A$18:$I$81,5,FALSE)</f>
        <v>0</v>
      </c>
      <c r="G591" s="572" t="s">
        <v>66</v>
      </c>
    </row>
    <row r="592" spans="1:7" ht="38.25">
      <c r="A592" s="568">
        <f t="shared" si="12"/>
        <v>584</v>
      </c>
      <c r="B592" s="569" t="str">
        <f>VLOOKUP(A592,'CHK Técnico-ANGULAR'!$A$18:$I$81,4,FALSE)</f>
        <v>Estandarización</v>
      </c>
      <c r="C592" s="569" t="str">
        <f>VLOOKUP(A592,'CHK Técnico-ANGULAR'!$A$18:$I$81,3,FALSE)</f>
        <v>La comunicación a los servicios web se hace mediante peticiones POST</v>
      </c>
      <c r="D592" s="570" t="str">
        <f>VLOOKUP(A592,'CHK Técnico-ANGULAR'!$A$18:$I$81,9,FALSE)</f>
        <v xml:space="preserve">  </v>
      </c>
      <c r="E592" s="571">
        <f>VLOOKUP(A592,'CHK Técnico-ANGULAR'!$A$18:$I$81,6,FALSE)</f>
        <v>0</v>
      </c>
      <c r="F592" s="572">
        <f>VLOOKUP(A592,'CHK Técnico-ANGULAR'!$A$18:$I$81,5,FALSE)</f>
        <v>0</v>
      </c>
      <c r="G592" s="572" t="s">
        <v>66</v>
      </c>
    </row>
    <row r="593" spans="1:7" ht="51">
      <c r="A593" s="568">
        <f t="shared" si="12"/>
        <v>585</v>
      </c>
      <c r="B593" s="569" t="str">
        <f>VLOOKUP(A593,'CHK Técnico-ANGULAR'!$A$18:$I$81,4,FALSE)</f>
        <v>Estandarización</v>
      </c>
      <c r="C593" s="569" t="str">
        <f>VLOOKUP(A593,'CHK Técnico-ANGULAR'!$A$18:$I$81,3,FALSE)</f>
        <v>La información que viaje entre el navegador y el servidor esta en formato JSON</v>
      </c>
      <c r="D593" s="570" t="str">
        <f>VLOOKUP(A593,'CHK Técnico-ANGULAR'!$A$18:$I$81,9,FALSE)</f>
        <v xml:space="preserve">  </v>
      </c>
      <c r="E593" s="571">
        <f>VLOOKUP(A593,'CHK Técnico-ANGULAR'!$A$18:$I$81,6,FALSE)</f>
        <v>0</v>
      </c>
      <c r="F593" s="572">
        <f>VLOOKUP(A593,'CHK Técnico-ANGULAR'!$A$18:$I$81,5,FALSE)</f>
        <v>0</v>
      </c>
      <c r="G593" s="572" t="s">
        <v>66</v>
      </c>
    </row>
    <row r="594" spans="1:7" ht="51">
      <c r="A594" s="568">
        <f t="shared" si="12"/>
        <v>586</v>
      </c>
      <c r="B594" s="569" t="str">
        <f>VLOOKUP(A594,'CHK Técnico-ANGULAR'!$A$18:$I$81,4,FALSE)</f>
        <v>Estandarización</v>
      </c>
      <c r="C594" s="569" t="str">
        <f>VLOOKUP(A594,'CHK Técnico-ANGULAR'!$A$18:$I$81,3,FALSE)</f>
        <v>El compilado generado fue creado utilizando las propiedades de compilación –prod y --aot</v>
      </c>
      <c r="D594" s="570" t="str">
        <f>VLOOKUP(A594,'CHK Técnico-ANGULAR'!$A$18:$I$81,9,FALSE)</f>
        <v xml:space="preserve">  </v>
      </c>
      <c r="E594" s="571">
        <f>VLOOKUP(A594,'CHK Técnico-ANGULAR'!$A$18:$I$81,6,FALSE)</f>
        <v>0</v>
      </c>
      <c r="F594" s="572">
        <f>VLOOKUP(A594,'CHK Técnico-ANGULAR'!$A$18:$I$81,5,FALSE)</f>
        <v>0</v>
      </c>
      <c r="G594" s="572" t="s">
        <v>66</v>
      </c>
    </row>
    <row r="595" spans="1:7" ht="63.75">
      <c r="A595" s="568">
        <f t="shared" si="12"/>
        <v>587</v>
      </c>
      <c r="B595" s="569" t="str">
        <f>VLOOKUP(A595,'CHK Técnico-ANGULAR'!$A$18:$I$81,4,FALSE)</f>
        <v>Estandarización</v>
      </c>
      <c r="C595" s="569" t="str">
        <f>VLOOKUP(A595,'CHK Técnico-ANGULAR'!$A$18:$I$81,3,FALSE)</f>
        <v>No se ha dejado comandos console.log (usado para validaciones en el ambiente de desarrollo) para ambiente productivo</v>
      </c>
      <c r="D595" s="570" t="str">
        <f>VLOOKUP(A595,'CHK Técnico-ANGULAR'!$A$18:$I$81,9,FALSE)</f>
        <v xml:space="preserve">  </v>
      </c>
      <c r="E595" s="571">
        <f>VLOOKUP(A595,'CHK Técnico-ANGULAR'!$A$18:$I$81,6,FALSE)</f>
        <v>0</v>
      </c>
      <c r="F595" s="572">
        <f>VLOOKUP(A595,'CHK Técnico-ANGULAR'!$A$18:$I$81,5,FALSE)</f>
        <v>0</v>
      </c>
      <c r="G595" s="572" t="s">
        <v>66</v>
      </c>
    </row>
    <row r="596" spans="1:7">
      <c r="A596" s="568">
        <f t="shared" si="12"/>
        <v>588</v>
      </c>
      <c r="B596" s="569">
        <f>VLOOKUP(A596,'CHK Técnico-ANGULAR'!$A$18:$I$81,4,FALSE)</f>
        <v>0</v>
      </c>
      <c r="C596" s="569">
        <f>VLOOKUP(A596,'CHK Técnico-ANGULAR'!$A$18:$I$81,3,FALSE)</f>
        <v>0</v>
      </c>
      <c r="D596" s="570">
        <f>VLOOKUP(A596,'CHK Técnico-ANGULAR'!$A$18:$I$81,9,FALSE)</f>
        <v>0</v>
      </c>
      <c r="E596" s="571">
        <f>VLOOKUP(A596,'CHK Técnico-ANGULAR'!$A$18:$I$81,6,FALSE)</f>
        <v>0</v>
      </c>
      <c r="F596" s="572">
        <f>VLOOKUP(A596,'CHK Técnico-ANGULAR'!$A$18:$I$81,5,FALSE)</f>
        <v>0</v>
      </c>
      <c r="G596" s="572" t="s">
        <v>66</v>
      </c>
    </row>
    <row r="597" spans="1:7" ht="51">
      <c r="A597" s="568">
        <f t="shared" si="12"/>
        <v>589</v>
      </c>
      <c r="B597" s="569" t="str">
        <f>VLOOKUP(A597,'CHK Técnico-ANGULAR'!$A$18:$I$81,4,FALSE)</f>
        <v>Documentación</v>
      </c>
      <c r="C597" s="569" t="str">
        <f>VLOOKUP(A597,'CHK Técnico-ANGULAR'!$A$18:$I$81,3,FALSE)</f>
        <v>Se ha actualizado la documentación prevista en la evaluación de la orden de trabajo o proyecto</v>
      </c>
      <c r="D597" s="570" t="str">
        <f>VLOOKUP(A597,'CHK Técnico-ANGULAR'!$A$18:$I$81,9,FALSE)</f>
        <v xml:space="preserve">  </v>
      </c>
      <c r="E597" s="571">
        <f>VLOOKUP(A597,'CHK Técnico-ANGULAR'!$A$18:$I$81,6,FALSE)</f>
        <v>0</v>
      </c>
      <c r="F597" s="572">
        <f>VLOOKUP(A597,'CHK Técnico-ANGULAR'!$A$18:$I$81,5,FALSE)</f>
        <v>0</v>
      </c>
      <c r="G597" s="572" t="s">
        <v>66</v>
      </c>
    </row>
    <row r="598" spans="1:7" ht="38.25">
      <c r="A598" s="568">
        <f t="shared" si="12"/>
        <v>590</v>
      </c>
      <c r="B598" s="569" t="str">
        <f>VLOOKUP(A598,'CHK Técnico-ANGULAR'!$A$18:$I$81,4,FALSE)</f>
        <v>Documentación</v>
      </c>
      <c r="C598" s="569" t="str">
        <f>VLOOKUP(A598,'CHK Técnico-ANGULAR'!$A$18:$I$81,3,FALSE)</f>
        <v>Se ha incluido el documento de casos de pruebas con los escenarios previstos</v>
      </c>
      <c r="D598" s="570" t="str">
        <f>VLOOKUP(A598,'CHK Técnico-ANGULAR'!$A$18:$I$81,9,FALSE)</f>
        <v xml:space="preserve">  </v>
      </c>
      <c r="E598" s="571">
        <f>VLOOKUP(A598,'CHK Técnico-ANGULAR'!$A$18:$I$81,6,FALSE)</f>
        <v>0</v>
      </c>
      <c r="F598" s="572">
        <f>VLOOKUP(A598,'CHK Técnico-ANGULAR'!$A$18:$I$81,5,FALSE)</f>
        <v>0</v>
      </c>
      <c r="G598" s="572" t="s">
        <v>66</v>
      </c>
    </row>
    <row r="599" spans="1:7">
      <c r="A599" s="568">
        <f t="shared" si="12"/>
        <v>591</v>
      </c>
      <c r="B599" s="569">
        <f>VLOOKUP(A599,'CHK Técnico-ANGULAR'!$A$18:$I$81,4,FALSE)</f>
        <v>0</v>
      </c>
      <c r="C599" s="569">
        <f>VLOOKUP(A599,'CHK Técnico-ANGULAR'!$A$18:$I$81,3,FALSE)</f>
        <v>0</v>
      </c>
      <c r="D599" s="570">
        <f>VLOOKUP(A599,'CHK Técnico-ANGULAR'!$A$18:$I$81,9,FALSE)</f>
        <v>0</v>
      </c>
      <c r="E599" s="571">
        <f>VLOOKUP(A599,'CHK Técnico-ANGULAR'!$A$18:$I$81,6,FALSE)</f>
        <v>0</v>
      </c>
      <c r="F599" s="572">
        <f>VLOOKUP(A599,'CHK Técnico-ANGULAR'!$A$18:$I$81,5,FALSE)</f>
        <v>0</v>
      </c>
      <c r="G599" s="572" t="s">
        <v>66</v>
      </c>
    </row>
    <row r="600" spans="1:7" ht="51">
      <c r="A600" s="568">
        <f t="shared" si="12"/>
        <v>592</v>
      </c>
      <c r="B600" s="569" t="str">
        <f>VLOOKUP(A600,'CHK Técnico-ANGULAR'!$A$18:$I$81,4,FALSE)</f>
        <v>Homologación/ Versionamiento</v>
      </c>
      <c r="C600" s="569" t="str">
        <f>VLOOKUP(A600,'CHK Técnico-ANGULAR'!$A$18:$I$81,3,FALSE)</f>
        <v>Una persona distinta al programador ha realizado comparación de fuentes modificados</v>
      </c>
      <c r="D600" s="570" t="str">
        <f>VLOOKUP(A600,'CHK Técnico-ANGULAR'!$A$18:$I$81,9,FALSE)</f>
        <v xml:space="preserve">  </v>
      </c>
      <c r="E600" s="571">
        <f>VLOOKUP(A600,'CHK Técnico-ANGULAR'!$A$18:$I$81,6,FALSE)</f>
        <v>0</v>
      </c>
      <c r="F600" s="572">
        <f>VLOOKUP(A600,'CHK Técnico-ANGULAR'!$A$18:$I$81,5,FALSE)</f>
        <v>0</v>
      </c>
      <c r="G600" s="572" t="s">
        <v>66</v>
      </c>
    </row>
    <row r="601" spans="1:7" ht="51">
      <c r="A601" s="568">
        <f t="shared" si="12"/>
        <v>593</v>
      </c>
      <c r="B601" s="569" t="str">
        <f>VLOOKUP(A601,'CHK Técnico-ANGULAR'!$A$18:$I$81,4,FALSE)</f>
        <v>Funcionalidad</v>
      </c>
      <c r="C601" s="569" t="str">
        <f>VLOOKUP(A601,'CHK Técnico-ANGULAR'!$A$18:$I$81,3,FALSE)</f>
        <v>Los cambios de fuente se muestran relacionados con las especificaciones funcionales</v>
      </c>
      <c r="D601" s="570" t="str">
        <f>VLOOKUP(A601,'CHK Técnico-ANGULAR'!$A$18:$I$81,9,FALSE)</f>
        <v xml:space="preserve">  </v>
      </c>
      <c r="E601" s="571">
        <f>VLOOKUP(A601,'CHK Técnico-ANGULAR'!$A$18:$I$81,6,FALSE)</f>
        <v>0</v>
      </c>
      <c r="F601" s="572">
        <f>VLOOKUP(A601,'CHK Técnico-ANGULAR'!$A$18:$I$81,5,FALSE)</f>
        <v>0</v>
      </c>
      <c r="G601" s="572" t="s">
        <v>66</v>
      </c>
    </row>
    <row r="602" spans="1:7" ht="25.5">
      <c r="A602" s="568">
        <f t="shared" si="12"/>
        <v>594</v>
      </c>
      <c r="B602" s="569" t="str">
        <f>VLOOKUP(A602,'CHK Técnico-ANGULAR'!$A$18:$I$81,4,FALSE)</f>
        <v>Estandarización</v>
      </c>
      <c r="C602" s="569" t="str">
        <f>VLOOKUP(A602,'CHK Técnico-ANGULAR'!$A$18:$I$81,3,FALSE)</f>
        <v>Se ha evitado la introducción de hardcodes</v>
      </c>
      <c r="D602" s="570" t="str">
        <f>VLOOKUP(A602,'CHK Técnico-ANGULAR'!$A$18:$I$81,9,FALSE)</f>
        <v xml:space="preserve">  </v>
      </c>
      <c r="E602" s="571">
        <f>VLOOKUP(A602,'CHK Técnico-ANGULAR'!$A$18:$I$81,6,FALSE)</f>
        <v>0</v>
      </c>
      <c r="F602" s="572">
        <f>VLOOKUP(A602,'CHK Técnico-ANGULAR'!$A$18:$I$81,5,FALSE)</f>
        <v>0</v>
      </c>
      <c r="G602" s="572" t="s">
        <v>66</v>
      </c>
    </row>
    <row r="603" spans="1:7" ht="38.25">
      <c r="A603" s="568">
        <f t="shared" si="12"/>
        <v>595</v>
      </c>
      <c r="B603" s="569" t="str">
        <f>VLOOKUP(A603,'CHK Técnico-ANGULAR'!$A$18:$I$81,4,FALSE)</f>
        <v>Estandarización</v>
      </c>
      <c r="C603" s="569" t="str">
        <f>VLOOKUP(A603,'CHK Técnico-ANGULAR'!$A$18:$I$81,3,FALSE)</f>
        <v>Se ha hecho revisión de fuentes buscando posible código fraudulento</v>
      </c>
      <c r="D603" s="570" t="str">
        <f>VLOOKUP(A603,'CHK Técnico-ANGULAR'!$A$18:$I$81,9,FALSE)</f>
        <v xml:space="preserve">  </v>
      </c>
      <c r="E603" s="571">
        <f>VLOOKUP(A603,'CHK Técnico-ANGULAR'!$A$18:$I$81,6,FALSE)</f>
        <v>0</v>
      </c>
      <c r="F603" s="572">
        <f>VLOOKUP(A603,'CHK Técnico-ANGULAR'!$A$18:$I$81,5,FALSE)</f>
        <v>0</v>
      </c>
      <c r="G603" s="572" t="s">
        <v>66</v>
      </c>
    </row>
    <row r="604" spans="1:7">
      <c r="A604" s="573">
        <f t="shared" si="12"/>
        <v>596</v>
      </c>
      <c r="B604" s="574">
        <f>VLOOKUP(A604,'CHK Técnico-ETL'!$A$18:$I$81,4,FALSE)</f>
        <v>0</v>
      </c>
      <c r="C604" s="574">
        <f>VLOOKUP(A604,'CHK Técnico-ETL'!$A$18:$I$81,3,FALSE)</f>
        <v>0</v>
      </c>
      <c r="D604" s="575">
        <f>VLOOKUP(A604,'CHK Técnico-ETL'!$A$18:$I$81,9,FALSE)</f>
        <v>0</v>
      </c>
      <c r="E604" s="576">
        <f>VLOOKUP(A604,'CHK Técnico-ETL'!$A$18:$I$81,6,FALSE)</f>
        <v>0</v>
      </c>
      <c r="F604" s="577">
        <f>VLOOKUP(A604,'CHK Técnico-ETL'!$A$18:$I$81,5,FALSE)</f>
        <v>0</v>
      </c>
      <c r="G604" s="577" t="s">
        <v>66</v>
      </c>
    </row>
    <row r="605" spans="1:7" ht="38.25">
      <c r="A605" s="573">
        <f t="shared" si="12"/>
        <v>597</v>
      </c>
      <c r="B605" s="574" t="str">
        <f>VLOOKUP(A605,'CHK Técnico-ETL'!$A$18:$I$81,4,FALSE)</f>
        <v>Documentación</v>
      </c>
      <c r="C605" s="574" t="str">
        <f>VLOOKUP(A605,'CHK Técnico-ETL'!$A$18:$I$81,3,FALSE)</f>
        <v>Se hizo referencia al manual de instalación de la ruta de Harvest</v>
      </c>
      <c r="D605" s="575">
        <f>VLOOKUP(A605,'CHK Técnico-ETL'!$A$18:$I$81,9,FALSE)</f>
        <v>0</v>
      </c>
      <c r="E605" s="576">
        <f>VLOOKUP(A605,'CHK Técnico-ETL'!$A$18:$I$81,6,FALSE)</f>
        <v>0</v>
      </c>
      <c r="F605" s="577">
        <f>VLOOKUP(A605,'CHK Técnico-ETL'!$A$18:$I$81,5,FALSE)</f>
        <v>0</v>
      </c>
      <c r="G605" s="577" t="s">
        <v>66</v>
      </c>
    </row>
    <row r="606" spans="1:7" ht="38.25">
      <c r="A606" s="573">
        <f t="shared" si="12"/>
        <v>598</v>
      </c>
      <c r="B606" s="574" t="str">
        <f>VLOOKUP(A606,'CHK Técnico-ETL'!$A$18:$I$81,4,FALSE)</f>
        <v>Documentación</v>
      </c>
      <c r="C606" s="574" t="str">
        <f>VLOOKUP(A606,'CHK Técnico-ETL'!$A$18:$I$81,3,FALSE)</f>
        <v>Las instrucciones permiten realizar el pase a Testing y a Producción</v>
      </c>
      <c r="D606" s="575" t="str">
        <f>VLOOKUP(A606,'CHK Técnico-ETL'!$A$18:$I$81,9,FALSE)</f>
        <v xml:space="preserve">  </v>
      </c>
      <c r="E606" s="576">
        <f>VLOOKUP(A606,'CHK Técnico-ETL'!$A$18:$I$81,6,FALSE)</f>
        <v>0</v>
      </c>
      <c r="F606" s="577">
        <f>VLOOKUP(A606,'CHK Técnico-ETL'!$A$18:$I$81,5,FALSE)</f>
        <v>0</v>
      </c>
      <c r="G606" s="577" t="s">
        <v>66</v>
      </c>
    </row>
    <row r="607" spans="1:7" ht="51">
      <c r="A607" s="573">
        <f t="shared" si="12"/>
        <v>599</v>
      </c>
      <c r="B607" s="574" t="str">
        <f>VLOOKUP(A607,'CHK Técnico-ETL'!$A$18:$I$81,4,FALSE)</f>
        <v>Homologación/ Versionamiento</v>
      </c>
      <c r="C607" s="574" t="str">
        <f>VLOOKUP(A607,'CHK Técnico-ETL'!$A$18:$I$81,3,FALSE)</f>
        <v>¿La cantidad de objetos indicados en PR corresponde a los subidos en el Harvest?</v>
      </c>
      <c r="D607" s="575" t="str">
        <f>VLOOKUP(A607,'CHK Técnico-ETL'!$A$18:$I$81,9,FALSE)</f>
        <v xml:space="preserve">  </v>
      </c>
      <c r="E607" s="576">
        <f>VLOOKUP(A607,'CHK Técnico-ETL'!$A$18:$I$81,6,FALSE)</f>
        <v>0</v>
      </c>
      <c r="F607" s="577">
        <f>VLOOKUP(A607,'CHK Técnico-ETL'!$A$18:$I$81,5,FALSE)</f>
        <v>0</v>
      </c>
      <c r="G607" s="577" t="s">
        <v>66</v>
      </c>
    </row>
    <row r="608" spans="1:7" ht="38.25">
      <c r="A608" s="573">
        <f t="shared" si="12"/>
        <v>600</v>
      </c>
      <c r="B608" s="574" t="str">
        <f>VLOOKUP(A608,'CHK Técnico-ETL'!$A$18:$I$81,4,FALSE)</f>
        <v>Homologación/ Versionamiento</v>
      </c>
      <c r="C608" s="574" t="str">
        <f>VLOOKUP(A608,'CHK Técnico-ETL'!$A$18:$I$81,3,FALSE)</f>
        <v>¿Las rutas indicadas para los objetos corresponde a la ruta del Harvest?</v>
      </c>
      <c r="D608" s="575" t="str">
        <f>VLOOKUP(A608,'CHK Técnico-ETL'!$A$18:$I$81,9,FALSE)</f>
        <v xml:space="preserve">  </v>
      </c>
      <c r="E608" s="576">
        <f>VLOOKUP(A608,'CHK Técnico-ETL'!$A$18:$I$81,6,FALSE)</f>
        <v>0</v>
      </c>
      <c r="F608" s="577">
        <f>VLOOKUP(A608,'CHK Técnico-ETL'!$A$18:$I$81,5,FALSE)</f>
        <v>0</v>
      </c>
      <c r="G608" s="577" t="s">
        <v>66</v>
      </c>
    </row>
    <row r="609" spans="1:7">
      <c r="A609" s="573">
        <f t="shared" si="12"/>
        <v>601</v>
      </c>
      <c r="B609" s="574">
        <f>VLOOKUP(A609,'CHK Técnico-ETL'!$A$18:$I$81,4,FALSE)</f>
        <v>0</v>
      </c>
      <c r="C609" s="574">
        <f>VLOOKUP(A609,'CHK Técnico-ETL'!$A$18:$I$81,3,FALSE)</f>
        <v>0</v>
      </c>
      <c r="D609" s="575">
        <f>VLOOKUP(A609,'CHK Técnico-ETL'!$A$18:$I$81,9,FALSE)</f>
        <v>0</v>
      </c>
      <c r="E609" s="576">
        <f>VLOOKUP(A609,'CHK Técnico-ETL'!$A$18:$I$81,6,FALSE)</f>
        <v>0</v>
      </c>
      <c r="F609" s="577">
        <f>VLOOKUP(A609,'CHK Técnico-ETL'!$A$18:$I$81,5,FALSE)</f>
        <v>0</v>
      </c>
      <c r="G609" s="577" t="s">
        <v>66</v>
      </c>
    </row>
    <row r="610" spans="1:7" ht="38.25">
      <c r="A610" s="573">
        <f t="shared" si="12"/>
        <v>602</v>
      </c>
      <c r="B610" s="574" t="str">
        <f>VLOOKUP(A610,'CHK Técnico-ETL'!$A$18:$I$81,4,FALSE)</f>
        <v>Configuración</v>
      </c>
      <c r="C610" s="574" t="str">
        <f>VLOOKUP(A610,'CHK Técnico-ETL'!$A$18:$I$81,3,FALSE)</f>
        <v>Se encuentra con los valores del entorno de producción</v>
      </c>
      <c r="D610" s="575" t="str">
        <f>VLOOKUP(A610,'CHK Técnico-ETL'!$A$18:$I$81,9,FALSE)</f>
        <v xml:space="preserve">  </v>
      </c>
      <c r="E610" s="576">
        <f>VLOOKUP(A610,'CHK Técnico-ETL'!$A$18:$I$81,6,FALSE)</f>
        <v>0</v>
      </c>
      <c r="F610" s="577">
        <f>VLOOKUP(A610,'CHK Técnico-ETL'!$A$18:$I$81,5,FALSE)</f>
        <v>0</v>
      </c>
      <c r="G610" s="577" t="s">
        <v>66</v>
      </c>
    </row>
    <row r="611" spans="1:7" ht="25.5">
      <c r="A611" s="573">
        <f t="shared" si="12"/>
        <v>603</v>
      </c>
      <c r="B611" s="574" t="str">
        <f>VLOOKUP(A611,'CHK Técnico-ETL'!$A$18:$I$81,4,FALSE)</f>
        <v>Configuración</v>
      </c>
      <c r="C611" s="574" t="str">
        <f>VLOOKUP(A611,'CHK Técnico-ETL'!$A$18:$I$81,3,FALSE)</f>
        <v>Tiene el mismo nombre del archivo de extensión .dtsx</v>
      </c>
      <c r="D611" s="575" t="str">
        <f>VLOOKUP(A611,'CHK Técnico-ETL'!$A$18:$I$81,9,FALSE)</f>
        <v xml:space="preserve">  </v>
      </c>
      <c r="E611" s="576">
        <f>VLOOKUP(A611,'CHK Técnico-ETL'!$A$18:$I$81,6,FALSE)</f>
        <v>0</v>
      </c>
      <c r="F611" s="577">
        <f>VLOOKUP(A611,'CHK Técnico-ETL'!$A$18:$I$81,5,FALSE)</f>
        <v>0</v>
      </c>
      <c r="G611" s="577" t="s">
        <v>66</v>
      </c>
    </row>
    <row r="612" spans="1:7" ht="38.25">
      <c r="A612" s="573">
        <f t="shared" si="12"/>
        <v>604</v>
      </c>
      <c r="B612" s="574" t="str">
        <f>VLOOKUP(A612,'CHK Técnico-ETL'!$A$18:$I$81,4,FALSE)</f>
        <v>Configuración</v>
      </c>
      <c r="C612" s="574" t="str">
        <f>VLOOKUP(A612,'CHK Técnico-ETL'!$A$18:$I$81,3,FALSE)</f>
        <v>Se encuentra en la misma de carpeta del archivo de extensión .dtsx</v>
      </c>
      <c r="D612" s="575" t="str">
        <f>VLOOKUP(A612,'CHK Técnico-ETL'!$A$18:$I$81,9,FALSE)</f>
        <v xml:space="preserve">  </v>
      </c>
      <c r="E612" s="576">
        <f>VLOOKUP(A612,'CHK Técnico-ETL'!$A$18:$I$81,6,FALSE)</f>
        <v>0</v>
      </c>
      <c r="F612" s="577">
        <f>VLOOKUP(A612,'CHK Técnico-ETL'!$A$18:$I$81,5,FALSE)</f>
        <v>0</v>
      </c>
      <c r="G612" s="577" t="s">
        <v>66</v>
      </c>
    </row>
    <row r="613" spans="1:7" ht="51">
      <c r="A613" s="573">
        <f t="shared" si="12"/>
        <v>605</v>
      </c>
      <c r="B613" s="574" t="str">
        <f>VLOOKUP(A613,'CHK Técnico-ETL'!$A$18:$I$81,4,FALSE)</f>
        <v>Configuración</v>
      </c>
      <c r="C613" s="574" t="str">
        <f>VLOOKUP(A613,'CHK Técnico-ETL'!$A$18:$I$81,3,FALSE)</f>
        <v>Se valido que solo contiene información con valores que varíen entre entornos de despliegue</v>
      </c>
      <c r="D613" s="575" t="str">
        <f>VLOOKUP(A613,'CHK Técnico-ETL'!$A$18:$I$81,9,FALSE)</f>
        <v xml:space="preserve">  </v>
      </c>
      <c r="E613" s="576">
        <f>VLOOKUP(A613,'CHK Técnico-ETL'!$A$18:$I$81,6,FALSE)</f>
        <v>0</v>
      </c>
      <c r="F613" s="577">
        <f>VLOOKUP(A613,'CHK Técnico-ETL'!$A$18:$I$81,5,FALSE)</f>
        <v>0</v>
      </c>
      <c r="G613" s="577" t="s">
        <v>66</v>
      </c>
    </row>
    <row r="614" spans="1:7" ht="38.25">
      <c r="A614" s="573">
        <f t="shared" si="12"/>
        <v>606</v>
      </c>
      <c r="B614" s="574" t="str">
        <f>VLOOKUP(A614,'CHK Técnico-ETL'!$A$18:$I$81,4,FALSE)</f>
        <v>Configuración</v>
      </c>
      <c r="C614" s="574" t="str">
        <f>VLOOKUP(A614,'CHK Técnico-ETL'!$A$18:$I$81,3,FALSE)</f>
        <v xml:space="preserve">Se validó que se encuentran todas las conexiones a base de datos del archivo .dtsx </v>
      </c>
      <c r="D614" s="575" t="str">
        <f>VLOOKUP(A614,'CHK Técnico-ETL'!$A$18:$I$81,9,FALSE)</f>
        <v xml:space="preserve">  </v>
      </c>
      <c r="E614" s="576">
        <f>VLOOKUP(A614,'CHK Técnico-ETL'!$A$18:$I$81,6,FALSE)</f>
        <v>0</v>
      </c>
      <c r="F614" s="577">
        <f>VLOOKUP(A614,'CHK Técnico-ETL'!$A$18:$I$81,5,FALSE)</f>
        <v>0</v>
      </c>
      <c r="G614" s="577" t="s">
        <v>66</v>
      </c>
    </row>
    <row r="615" spans="1:7">
      <c r="A615" s="573">
        <f t="shared" si="12"/>
        <v>607</v>
      </c>
      <c r="B615" s="574">
        <f>VLOOKUP(A615,'CHK Técnico-ETL'!$A$18:$I$81,4,FALSE)</f>
        <v>0</v>
      </c>
      <c r="C615" s="574">
        <f>VLOOKUP(A615,'CHK Técnico-ETL'!$A$18:$I$81,3,FALSE)</f>
        <v>0</v>
      </c>
      <c r="D615" s="575">
        <f>VLOOKUP(A615,'CHK Técnico-ETL'!$A$18:$I$81,9,FALSE)</f>
        <v>0</v>
      </c>
      <c r="E615" s="576">
        <f>VLOOKUP(A615,'CHK Técnico-ETL'!$A$18:$I$81,6,FALSE)</f>
        <v>0</v>
      </c>
      <c r="F615" s="577">
        <f>VLOOKUP(A615,'CHK Técnico-ETL'!$A$18:$I$81,5,FALSE)</f>
        <v>0</v>
      </c>
      <c r="G615" s="577" t="s">
        <v>66</v>
      </c>
    </row>
    <row r="616" spans="1:7" ht="25.5">
      <c r="A616" s="573">
        <f t="shared" si="12"/>
        <v>608</v>
      </c>
      <c r="B616" s="574" t="str">
        <f>VLOOKUP(A616,'CHK Técnico-ETL'!$A$18:$I$81,4,FALSE)</f>
        <v xml:space="preserve">Estandarización </v>
      </c>
      <c r="C616" s="574" t="str">
        <f>VLOOKUP(A616,'CHK Técnico-ETL'!$A$18:$I$81,3,FALSE)</f>
        <v>Nombres de clases según estándar (ej: NombreClase)</v>
      </c>
      <c r="D616" s="575" t="str">
        <f>VLOOKUP(A616,'CHK Técnico-ETL'!$A$18:$I$81,9,FALSE)</f>
        <v xml:space="preserve">  </v>
      </c>
      <c r="E616" s="576">
        <f>VLOOKUP(A616,'CHK Técnico-ETL'!$A$18:$I$81,6,FALSE)</f>
        <v>0</v>
      </c>
      <c r="F616" s="577">
        <f>VLOOKUP(A616,'CHK Técnico-ETL'!$A$18:$I$81,5,FALSE)</f>
        <v>0</v>
      </c>
      <c r="G616" s="577" t="s">
        <v>66</v>
      </c>
    </row>
    <row r="617" spans="1:7" ht="38.25">
      <c r="A617" s="573">
        <f t="shared" si="12"/>
        <v>609</v>
      </c>
      <c r="B617" s="574">
        <f>VLOOKUP(A617,'CHK Técnico-ETL'!$A$18:$I$81,4,FALSE)</f>
        <v>0</v>
      </c>
      <c r="C617" s="574" t="str">
        <f>VLOOKUP(A617,'CHK Técnico-ETL'!$A$18:$I$81,3,FALSE)</f>
        <v>Nombres de las tareas deben referenciar a la acción que realicen</v>
      </c>
      <c r="D617" s="575" t="str">
        <f>VLOOKUP(A617,'CHK Técnico-ETL'!$A$18:$I$81,9,FALSE)</f>
        <v xml:space="preserve">  </v>
      </c>
      <c r="E617" s="576">
        <f>VLOOKUP(A617,'CHK Técnico-ETL'!$A$18:$I$81,6,FALSE)</f>
        <v>0</v>
      </c>
      <c r="F617" s="577">
        <f>VLOOKUP(A617,'CHK Técnico-ETL'!$A$18:$I$81,5,FALSE)</f>
        <v>0</v>
      </c>
      <c r="G617" s="577" t="s">
        <v>66</v>
      </c>
    </row>
    <row r="618" spans="1:7" ht="51">
      <c r="A618" s="573">
        <f t="shared" si="12"/>
        <v>610</v>
      </c>
      <c r="B618" s="574" t="str">
        <f>VLOOKUP(A618,'CHK Técnico-ETL'!$A$18:$I$81,4,FALSE)</f>
        <v xml:space="preserve">Estandarización </v>
      </c>
      <c r="C618" s="574" t="str">
        <f>VLOOKUP(A618,'CHK Técnico-ETL'!$A$18:$I$81,3,FALSE)</f>
        <v>Nombres de variables nemotécnico deben hacer referencia a los valores que contiene</v>
      </c>
      <c r="D618" s="575" t="str">
        <f>VLOOKUP(A618,'CHK Técnico-ETL'!$A$18:$I$81,9,FALSE)</f>
        <v xml:space="preserve">  </v>
      </c>
      <c r="E618" s="576">
        <f>VLOOKUP(A618,'CHK Técnico-ETL'!$A$18:$I$81,6,FALSE)</f>
        <v>0</v>
      </c>
      <c r="F618" s="577">
        <f>VLOOKUP(A618,'CHK Técnico-ETL'!$A$18:$I$81,5,FALSE)</f>
        <v>0</v>
      </c>
      <c r="G618" s="577" t="s">
        <v>66</v>
      </c>
    </row>
    <row r="619" spans="1:7" ht="89.25">
      <c r="A619" s="573">
        <f t="shared" si="12"/>
        <v>611</v>
      </c>
      <c r="B619" s="574" t="str">
        <f>VLOOKUP(A619,'CHK Técnico-ETL'!$A$18:$I$81,4,FALSE)</f>
        <v xml:space="preserve">Estandarización </v>
      </c>
      <c r="C619" s="574" t="str">
        <f>VLOOKUP(A619,'CHK Técnico-ETL'!$A$18:$I$81,3,FALSE)</f>
        <v>Nombre de paquete cumple con la siguiente nomenclatura:
ETL_[APL]_[DESCRIPCIÓN].dtsx (eje: ETL_ACRE_Generar_Archivo.dtsx)</v>
      </c>
      <c r="D619" s="575" t="str">
        <f>VLOOKUP(A619,'CHK Técnico-ETL'!$A$18:$I$81,9,FALSE)</f>
        <v xml:space="preserve">  </v>
      </c>
      <c r="E619" s="576">
        <f>VLOOKUP(A619,'CHK Técnico-ETL'!$A$18:$I$81,6,FALSE)</f>
        <v>0</v>
      </c>
      <c r="F619" s="577">
        <f>VLOOKUP(A619,'CHK Técnico-ETL'!$A$18:$I$81,5,FALSE)</f>
        <v>0</v>
      </c>
      <c r="G619" s="577" t="s">
        <v>66</v>
      </c>
    </row>
    <row r="620" spans="1:7">
      <c r="A620" s="573">
        <f t="shared" si="12"/>
        <v>612</v>
      </c>
      <c r="B620" s="574">
        <f>VLOOKUP(A620,'CHK Técnico-ETL'!$A$18:$I$81,4,FALSE)</f>
        <v>0</v>
      </c>
      <c r="C620" s="574">
        <f>VLOOKUP(A620,'CHK Técnico-ETL'!$A$18:$I$81,3,FALSE)</f>
        <v>0</v>
      </c>
      <c r="D620" s="575">
        <f>VLOOKUP(A620,'CHK Técnico-ETL'!$A$18:$I$81,9,FALSE)</f>
        <v>0</v>
      </c>
      <c r="E620" s="576">
        <f>VLOOKUP(A620,'CHK Técnico-ETL'!$A$18:$I$81,6,FALSE)</f>
        <v>0</v>
      </c>
      <c r="F620" s="577">
        <f>VLOOKUP(A620,'CHK Técnico-ETL'!$A$18:$I$81,5,FALSE)</f>
        <v>0</v>
      </c>
      <c r="G620" s="577" t="s">
        <v>66</v>
      </c>
    </row>
    <row r="621" spans="1:7" ht="25.5">
      <c r="A621" s="573">
        <f t="shared" si="12"/>
        <v>613</v>
      </c>
      <c r="B621" s="574" t="str">
        <f>VLOOKUP(A621,'CHK Técnico-ETL'!$A$18:$I$81,4,FALSE)</f>
        <v xml:space="preserve">Estandarización </v>
      </c>
      <c r="C621" s="574" t="str">
        <f>VLOOKUP(A621,'CHK Técnico-ETL'!$A$18:$I$81,3,FALSE)</f>
        <v xml:space="preserve">Se evitó el uso del componente  ¨Script task¨ </v>
      </c>
      <c r="D621" s="575" t="str">
        <f>VLOOKUP(A621,'CHK Técnico-ETL'!$A$18:$I$81,9,FALSE)</f>
        <v xml:space="preserve">  </v>
      </c>
      <c r="E621" s="576">
        <f>VLOOKUP(A621,'CHK Técnico-ETL'!$A$18:$I$81,6,FALSE)</f>
        <v>0</v>
      </c>
      <c r="F621" s="577">
        <f>VLOOKUP(A621,'CHK Técnico-ETL'!$A$18:$I$81,5,FALSE)</f>
        <v>0</v>
      </c>
      <c r="G621" s="577" t="s">
        <v>66</v>
      </c>
    </row>
    <row r="622" spans="1:7" ht="51">
      <c r="A622" s="573">
        <f t="shared" si="12"/>
        <v>614</v>
      </c>
      <c r="B622" s="574" t="str">
        <f>VLOOKUP(A622,'CHK Técnico-ETL'!$A$18:$I$81,4,FALSE)</f>
        <v xml:space="preserve">Estandarización </v>
      </c>
      <c r="C622" s="574" t="str">
        <f>VLOOKUP(A622,'CHK Técnico-ETL'!$A$18:$I$81,3,FALSE)</f>
        <v>En caso de usar el componente ¨Script task¨ completar la pestaña de CHK Técnico-.NET</v>
      </c>
      <c r="D622" s="575" t="str">
        <f>VLOOKUP(A622,'CHK Técnico-ETL'!$A$18:$I$81,9,FALSE)</f>
        <v xml:space="preserve">  </v>
      </c>
      <c r="E622" s="576">
        <f>VLOOKUP(A622,'CHK Técnico-ETL'!$A$18:$I$81,6,FALSE)</f>
        <v>0</v>
      </c>
      <c r="F622" s="577">
        <f>VLOOKUP(A622,'CHK Técnico-ETL'!$A$18:$I$81,5,FALSE)</f>
        <v>0</v>
      </c>
      <c r="G622" s="577" t="s">
        <v>66</v>
      </c>
    </row>
    <row r="623" spans="1:7" ht="25.5">
      <c r="A623" s="573">
        <f t="shared" si="12"/>
        <v>615</v>
      </c>
      <c r="B623" s="574" t="str">
        <f>VLOOKUP(A623,'CHK Técnico-ETL'!$A$18:$I$81,4,FALSE)</f>
        <v xml:space="preserve">Estandarización </v>
      </c>
      <c r="C623" s="574" t="str">
        <f>VLOOKUP(A623,'CHK Técnico-ETL'!$A$18:$I$81,3,FALSE)</f>
        <v>Se verificó la ruta del archivo log en el .dtsConfig</v>
      </c>
      <c r="D623" s="575" t="str">
        <f>VLOOKUP(A623,'CHK Técnico-ETL'!$A$18:$I$81,9,FALSE)</f>
        <v xml:space="preserve">  </v>
      </c>
      <c r="E623" s="576">
        <f>VLOOKUP(A623,'CHK Técnico-ETL'!$A$18:$I$81,6,FALSE)</f>
        <v>0</v>
      </c>
      <c r="F623" s="577">
        <f>VLOOKUP(A623,'CHK Técnico-ETL'!$A$18:$I$81,5,FALSE)</f>
        <v>0</v>
      </c>
      <c r="G623" s="577" t="s">
        <v>66</v>
      </c>
    </row>
    <row r="624" spans="1:7">
      <c r="A624" s="573">
        <f t="shared" si="12"/>
        <v>616</v>
      </c>
      <c r="B624" s="574">
        <f>VLOOKUP(A624,'CHK Técnico-ETL'!$A$18:$I$81,4,FALSE)</f>
        <v>0</v>
      </c>
      <c r="C624" s="574">
        <f>VLOOKUP(A624,'CHK Técnico-ETL'!$A$18:$I$81,3,FALSE)</f>
        <v>0</v>
      </c>
      <c r="D624" s="575">
        <f>VLOOKUP(A624,'CHK Técnico-ETL'!$A$18:$I$81,9,FALSE)</f>
        <v>0</v>
      </c>
      <c r="E624" s="576">
        <f>VLOOKUP(A624,'CHK Técnico-ETL'!$A$18:$I$81,6,FALSE)</f>
        <v>0</v>
      </c>
      <c r="F624" s="577">
        <f>VLOOKUP(A624,'CHK Técnico-ETL'!$A$18:$I$81,5,FALSE)</f>
        <v>0</v>
      </c>
      <c r="G624" s="577" t="s">
        <v>66</v>
      </c>
    </row>
    <row r="625" spans="1:7" ht="38.25">
      <c r="A625" s="573">
        <f t="shared" si="12"/>
        <v>617</v>
      </c>
      <c r="B625" s="574" t="str">
        <f>VLOOKUP(A625,'CHK Técnico-ETL'!$A$18:$I$81,4,FALSE)</f>
        <v xml:space="preserve">Estandarización </v>
      </c>
      <c r="C625" s="574" t="str">
        <f>VLOOKUP(A625,'CHK Técnico-ETL'!$A$18:$I$81,3,FALSE)</f>
        <v>Se usó la autenticación de SQL Server para las conexiones a base de datos</v>
      </c>
      <c r="D625" s="575" t="str">
        <f>VLOOKUP(A625,'CHK Técnico-ETL'!$A$18:$I$81,9,FALSE)</f>
        <v xml:space="preserve">  </v>
      </c>
      <c r="E625" s="576">
        <f>VLOOKUP(A625,'CHK Técnico-ETL'!$A$18:$I$81,6,FALSE)</f>
        <v>0</v>
      </c>
      <c r="F625" s="577">
        <f>VLOOKUP(A625,'CHK Técnico-ETL'!$A$18:$I$81,5,FALSE)</f>
        <v>0</v>
      </c>
      <c r="G625" s="577" t="s">
        <v>66</v>
      </c>
    </row>
    <row r="626" spans="1:7" ht="38.25">
      <c r="A626" s="573">
        <f t="shared" si="12"/>
        <v>618</v>
      </c>
      <c r="B626" s="574" t="str">
        <f>VLOOKUP(A626,'CHK Técnico-ETL'!$A$18:$I$81,4,FALSE)</f>
        <v xml:space="preserve">Estandarización </v>
      </c>
      <c r="C626" s="574" t="str">
        <f>VLOOKUP(A626,'CHK Técnico-ETL'!$A$18:$I$81,3,FALSE)</f>
        <v>Se evitó el uso del tipo de coneción del OLE DB Source</v>
      </c>
      <c r="D626" s="575" t="str">
        <f>VLOOKUP(A626,'CHK Técnico-ETL'!$A$18:$I$81,9,FALSE)</f>
        <v xml:space="preserve">  </v>
      </c>
      <c r="E626" s="576">
        <f>VLOOKUP(A626,'CHK Técnico-ETL'!$A$18:$I$81,6,FALSE)</f>
        <v>0</v>
      </c>
      <c r="F626" s="577">
        <f>VLOOKUP(A626,'CHK Técnico-ETL'!$A$18:$I$81,5,FALSE)</f>
        <v>0</v>
      </c>
      <c r="G626" s="577" t="s">
        <v>66</v>
      </c>
    </row>
    <row r="627" spans="1:7" ht="51">
      <c r="A627" s="573">
        <f t="shared" si="12"/>
        <v>619</v>
      </c>
      <c r="B627" s="574" t="str">
        <f>VLOOKUP(A627,'CHK Técnico-ETL'!$A$18:$I$81,4,FALSE)</f>
        <v xml:space="preserve">Estandarización </v>
      </c>
      <c r="C627" s="574" t="str">
        <f>VLOOKUP(A627,'CHK Técnico-ETL'!$A$18:$I$81,3,FALSE)</f>
        <v>Las propiedades de conexión deben configurarse en el apartado expresiones de la misma.</v>
      </c>
      <c r="D627" s="575" t="str">
        <f>VLOOKUP(A627,'CHK Técnico-ETL'!$A$18:$I$81,9,FALSE)</f>
        <v xml:space="preserve">  </v>
      </c>
      <c r="E627" s="576">
        <f>VLOOKUP(A627,'CHK Técnico-ETL'!$A$18:$I$81,6,FALSE)</f>
        <v>0</v>
      </c>
      <c r="F627" s="577">
        <f>VLOOKUP(A627,'CHK Técnico-ETL'!$A$18:$I$81,5,FALSE)</f>
        <v>0</v>
      </c>
      <c r="G627" s="577" t="s">
        <v>66</v>
      </c>
    </row>
    <row r="628" spans="1:7" ht="63.75">
      <c r="A628" s="573">
        <f t="shared" si="12"/>
        <v>620</v>
      </c>
      <c r="B628" s="574" t="str">
        <f>VLOOKUP(A628,'CHK Técnico-ETL'!$A$18:$I$81,4,FALSE)</f>
        <v xml:space="preserve">Estandarización </v>
      </c>
      <c r="C628" s="574" t="str">
        <f>VLOOKUP(A628,'CHK Técnico-ETL'!$A$18:$I$81,3,FALSE)</f>
        <v>Se verificó que los nombres de las conexiones incluyan los nombres de las bases de datos a la que se conecta.</v>
      </c>
      <c r="D628" s="575" t="str">
        <f>VLOOKUP(A628,'CHK Técnico-ETL'!$A$18:$I$81,9,FALSE)</f>
        <v xml:space="preserve">  </v>
      </c>
      <c r="E628" s="576">
        <f>VLOOKUP(A628,'CHK Técnico-ETL'!$A$18:$I$81,6,FALSE)</f>
        <v>0</v>
      </c>
      <c r="F628" s="577">
        <f>VLOOKUP(A628,'CHK Técnico-ETL'!$A$18:$I$81,5,FALSE)</f>
        <v>0</v>
      </c>
      <c r="G628" s="577" t="s">
        <v>66</v>
      </c>
    </row>
    <row r="629" spans="1:7">
      <c r="A629" s="573">
        <f t="shared" ref="A629:A636" si="13">A628+1</f>
        <v>621</v>
      </c>
      <c r="B629" s="574">
        <f>VLOOKUP(A629,'CHK Técnico-ETL'!$A$18:$I$81,4,FALSE)</f>
        <v>0</v>
      </c>
      <c r="C629" s="574">
        <f>VLOOKUP(A629,'CHK Técnico-ETL'!$A$18:$I$81,3,FALSE)</f>
        <v>0</v>
      </c>
      <c r="D629" s="575">
        <f>VLOOKUP(A629,'CHK Técnico-ETL'!$A$18:$I$81,9,FALSE)</f>
        <v>0</v>
      </c>
      <c r="E629" s="576">
        <f>VLOOKUP(A629,'CHK Técnico-ETL'!$A$18:$I$81,6,FALSE)</f>
        <v>0</v>
      </c>
      <c r="F629" s="577">
        <f>VLOOKUP(A629,'CHK Técnico-ETL'!$A$18:$I$81,5,FALSE)</f>
        <v>0</v>
      </c>
      <c r="G629" s="577" t="s">
        <v>66</v>
      </c>
    </row>
    <row r="630" spans="1:7" ht="51">
      <c r="A630" s="573">
        <f t="shared" si="13"/>
        <v>622</v>
      </c>
      <c r="B630" s="574" t="str">
        <f>VLOOKUP(A630,'CHK Técnico-ETL'!$A$18:$I$81,4,FALSE)</f>
        <v>Documentación</v>
      </c>
      <c r="C630" s="574" t="str">
        <f>VLOOKUP(A630,'CHK Técnico-ETL'!$A$18:$I$81,3,FALSE)</f>
        <v>Se ha actualizado la documentación prevista en la evaluación de la orden de trabajo o proyecto</v>
      </c>
      <c r="D630" s="575" t="str">
        <f>VLOOKUP(A630,'CHK Técnico-ETL'!$A$18:$I$81,9,FALSE)</f>
        <v xml:space="preserve">  </v>
      </c>
      <c r="E630" s="576">
        <f>VLOOKUP(A630,'CHK Técnico-ETL'!$A$18:$I$81,6,FALSE)</f>
        <v>0</v>
      </c>
      <c r="F630" s="577">
        <f>VLOOKUP(A630,'CHK Técnico-ETL'!$A$18:$I$81,5,FALSE)</f>
        <v>0</v>
      </c>
      <c r="G630" s="577" t="s">
        <v>66</v>
      </c>
    </row>
    <row r="631" spans="1:7" ht="38.25">
      <c r="A631" s="573">
        <f t="shared" si="13"/>
        <v>623</v>
      </c>
      <c r="B631" s="574" t="str">
        <f>VLOOKUP(A631,'CHK Técnico-ETL'!$A$18:$I$81,4,FALSE)</f>
        <v>Documentación</v>
      </c>
      <c r="C631" s="574" t="str">
        <f>VLOOKUP(A631,'CHK Técnico-ETL'!$A$18:$I$81,3,FALSE)</f>
        <v>Se ha incluido el documento de casos de pruebas con los escenarios previstos</v>
      </c>
      <c r="D631" s="575" t="str">
        <f>VLOOKUP(A631,'CHK Técnico-ETL'!$A$18:$I$81,9,FALSE)</f>
        <v xml:space="preserve">  </v>
      </c>
      <c r="E631" s="576">
        <f>VLOOKUP(A631,'CHK Técnico-ETL'!$A$18:$I$81,6,FALSE)</f>
        <v>0</v>
      </c>
      <c r="F631" s="577">
        <f>VLOOKUP(A631,'CHK Técnico-ETL'!$A$18:$I$81,5,FALSE)</f>
        <v>0</v>
      </c>
      <c r="G631" s="577" t="s">
        <v>66</v>
      </c>
    </row>
    <row r="632" spans="1:7">
      <c r="A632" s="573">
        <f t="shared" si="13"/>
        <v>624</v>
      </c>
      <c r="B632" s="574">
        <f>VLOOKUP(A632,'CHK Técnico-ETL'!$A$18:$I$81,4,FALSE)</f>
        <v>0</v>
      </c>
      <c r="C632" s="574">
        <f>VLOOKUP(A632,'CHK Técnico-ETL'!$A$18:$I$81,3,FALSE)</f>
        <v>0</v>
      </c>
      <c r="D632" s="575">
        <f>VLOOKUP(A632,'CHK Técnico-ETL'!$A$18:$I$81,9,FALSE)</f>
        <v>0</v>
      </c>
      <c r="E632" s="576">
        <f>VLOOKUP(A632,'CHK Técnico-ETL'!$A$18:$I$81,6,FALSE)</f>
        <v>0</v>
      </c>
      <c r="F632" s="577">
        <f>VLOOKUP(A632,'CHK Técnico-ETL'!$A$18:$I$81,5,FALSE)</f>
        <v>0</v>
      </c>
      <c r="G632" s="577" t="s">
        <v>66</v>
      </c>
    </row>
    <row r="633" spans="1:7" ht="51">
      <c r="A633" s="573">
        <f t="shared" si="13"/>
        <v>625</v>
      </c>
      <c r="B633" s="574" t="str">
        <f>VLOOKUP(A633,'CHK Técnico-ETL'!$A$18:$I$81,4,FALSE)</f>
        <v>Homologación/ Versionamiento</v>
      </c>
      <c r="C633" s="574" t="str">
        <f>VLOOKUP(A633,'CHK Técnico-ETL'!$A$18:$I$81,3,FALSE)</f>
        <v>Una persona distinta al programador ha realizado comparación de fuentes modificados</v>
      </c>
      <c r="D633" s="575" t="str">
        <f>VLOOKUP(A633,'CHK Técnico-ETL'!$A$18:$I$81,9,FALSE)</f>
        <v xml:space="preserve">  </v>
      </c>
      <c r="E633" s="576">
        <f>VLOOKUP(A633,'CHK Técnico-ETL'!$A$18:$I$81,6,FALSE)</f>
        <v>0</v>
      </c>
      <c r="F633" s="577">
        <f>VLOOKUP(A633,'CHK Técnico-ETL'!$A$18:$I$81,5,FALSE)</f>
        <v>0</v>
      </c>
      <c r="G633" s="577" t="s">
        <v>66</v>
      </c>
    </row>
    <row r="634" spans="1:7" ht="51">
      <c r="A634" s="573">
        <f t="shared" si="13"/>
        <v>626</v>
      </c>
      <c r="B634" s="574" t="str">
        <f>VLOOKUP(A634,'CHK Técnico-ETL'!$A$18:$I$81,4,FALSE)</f>
        <v>Funcionalidad</v>
      </c>
      <c r="C634" s="574" t="str">
        <f>VLOOKUP(A634,'CHK Técnico-ETL'!$A$18:$I$81,3,FALSE)</f>
        <v>Los cambios de fuente se muestran relacionados con las especificaciones funcionales</v>
      </c>
      <c r="D634" s="575" t="str">
        <f>VLOOKUP(A634,'CHK Técnico-ETL'!$A$18:$I$81,9,FALSE)</f>
        <v xml:space="preserve">  </v>
      </c>
      <c r="E634" s="576">
        <f>VLOOKUP(A634,'CHK Técnico-ETL'!$A$18:$I$81,6,FALSE)</f>
        <v>0</v>
      </c>
      <c r="F634" s="577">
        <f>VLOOKUP(A634,'CHK Técnico-ETL'!$A$18:$I$81,5,FALSE)</f>
        <v>0</v>
      </c>
      <c r="G634" s="577" t="s">
        <v>66</v>
      </c>
    </row>
    <row r="635" spans="1:7" ht="25.5">
      <c r="A635" s="573">
        <f t="shared" si="13"/>
        <v>627</v>
      </c>
      <c r="B635" s="574" t="str">
        <f>VLOOKUP(A635,'CHK Técnico-ETL'!$A$18:$I$81,4,FALSE)</f>
        <v>Estandarización</v>
      </c>
      <c r="C635" s="574" t="str">
        <f>VLOOKUP(A635,'CHK Técnico-ETL'!$A$18:$I$81,3,FALSE)</f>
        <v>Se ha evitado la introducción de hardcodes</v>
      </c>
      <c r="D635" s="575" t="str">
        <f>VLOOKUP(A635,'CHK Técnico-ETL'!$A$18:$I$81,9,FALSE)</f>
        <v xml:space="preserve">  </v>
      </c>
      <c r="E635" s="576">
        <f>VLOOKUP(A635,'CHK Técnico-ETL'!$A$18:$I$81,6,FALSE)</f>
        <v>0</v>
      </c>
      <c r="F635" s="577">
        <f>VLOOKUP(A635,'CHK Técnico-ETL'!$A$18:$I$81,5,FALSE)</f>
        <v>0</v>
      </c>
      <c r="G635" s="577" t="s">
        <v>66</v>
      </c>
    </row>
    <row r="636" spans="1:7" ht="38.25">
      <c r="A636" s="573">
        <f t="shared" si="13"/>
        <v>628</v>
      </c>
      <c r="B636" s="574" t="str">
        <f>VLOOKUP(A636,'CHK Técnico-ETL'!$A$18:$I$81,4,FALSE)</f>
        <v>Estandarización</v>
      </c>
      <c r="C636" s="574" t="str">
        <f>VLOOKUP(A636,'CHK Técnico-ETL'!$A$18:$I$81,3,FALSE)</f>
        <v>Se ha hecho revisión de fuentes buscando posible código fraudulento</v>
      </c>
      <c r="D636" s="575" t="str">
        <f>VLOOKUP(A636,'CHK Técnico-ETL'!$A$18:$I$81,9,FALSE)</f>
        <v xml:space="preserve">  </v>
      </c>
      <c r="E636" s="576">
        <f>VLOOKUP(A636,'CHK Técnico-ETL'!$A$18:$I$81,6,FALSE)</f>
        <v>0</v>
      </c>
      <c r="F636" s="577">
        <f>VLOOKUP(A636,'CHK Técnico-ETL'!$A$18:$I$81,5,FALSE)</f>
        <v>0</v>
      </c>
      <c r="G636" s="577" t="s">
        <v>66</v>
      </c>
    </row>
    <row r="637" spans="1:7">
      <c r="A637" s="573">
        <f>A636+1</f>
        <v>629</v>
      </c>
      <c r="B637" s="574">
        <f>VLOOKUP(A637,'CHK Técnico-ETL'!$A$18:$I$81,4,FALSE)</f>
        <v>0</v>
      </c>
      <c r="C637" s="574">
        <f>VLOOKUP(A637,'CHK Técnico-ETL'!$A$18:$I$81,3,FALSE)</f>
        <v>0</v>
      </c>
      <c r="D637" s="575" t="str">
        <f>VLOOKUP(A637,'CHK Técnico-ETL'!$A$18:$I$81,9,FALSE)</f>
        <v xml:space="preserve">  </v>
      </c>
      <c r="E637" s="576">
        <f>VLOOKUP(A637,'CHK Técnico-ETL'!$A$18:$I$81,6,FALSE)</f>
        <v>0</v>
      </c>
      <c r="F637" s="577">
        <f>VLOOKUP(A637,'CHK Técnico-ETL'!$A$18:$I$81,5,FALSE)</f>
        <v>0</v>
      </c>
      <c r="G637" s="577" t="s">
        <v>66</v>
      </c>
    </row>
    <row r="638" spans="1:7">
      <c r="A638" s="573">
        <f>A637+1</f>
        <v>630</v>
      </c>
      <c r="B638" s="574">
        <f>VLOOKUP(A638,'CHK Técnico-ETL'!$A$18:$I$81,4,FALSE)</f>
        <v>0</v>
      </c>
      <c r="C638" s="574">
        <f>VLOOKUP(A638,'CHK Técnico-ETL'!$A$18:$I$81,3,FALSE)</f>
        <v>0</v>
      </c>
      <c r="D638" s="575" t="str">
        <f>VLOOKUP(A638,'CHK Técnico-ETL'!$A$18:$I$81,9,FALSE)</f>
        <v xml:space="preserve">  </v>
      </c>
      <c r="E638" s="576">
        <f>VLOOKUP(A638,'CHK Técnico-ETL'!$A$18:$I$81,6,FALSE)</f>
        <v>0</v>
      </c>
      <c r="F638" s="577">
        <f>VLOOKUP(A638,'CHK Técnico-ETL'!$A$18:$I$81,5,FALSE)</f>
        <v>0</v>
      </c>
      <c r="G638" s="577" t="s">
        <v>66</v>
      </c>
    </row>
    <row r="639" spans="1:7">
      <c r="A639" s="558">
        <f t="shared" ref="A639:A693" si="14">A638+1</f>
        <v>631</v>
      </c>
      <c r="B639" s="582">
        <v>0</v>
      </c>
      <c r="C639" s="582">
        <v>0</v>
      </c>
      <c r="D639" s="560">
        <f>VLOOKUP(A639,'CHK Técnico-IBUS'!$A$18:$I$86,9,FALSE)</f>
        <v>0</v>
      </c>
      <c r="E639" s="561">
        <f>VLOOKUP(A639,'CHK Técnico-IBUS'!$A$18:$I$109,6,FALSE)</f>
        <v>0</v>
      </c>
      <c r="F639" s="562">
        <f>VLOOKUP(A639,'CHK Técnico-IBUS'!$A$18:$I$109,5,FALSE)</f>
        <v>0</v>
      </c>
      <c r="G639" s="579" t="s">
        <v>66</v>
      </c>
    </row>
    <row r="640" spans="1:7" ht="51">
      <c r="A640" s="558">
        <f t="shared" si="14"/>
        <v>632</v>
      </c>
      <c r="B640" s="574" t="s">
        <v>853</v>
      </c>
      <c r="C640" s="574" t="s">
        <v>361</v>
      </c>
      <c r="D640" s="575">
        <f>VLOOKUP(A640,'CHK Técnico-IBUS'!$A$18:$I$86,9,FALSE)</f>
        <v>0</v>
      </c>
      <c r="E640" s="576">
        <f>VLOOKUP(A640,'CHK Técnico-IBUS'!$A$18:$I$109,6,FALSE)</f>
        <v>0</v>
      </c>
      <c r="F640" s="577">
        <f>VLOOKUP(A640,'CHK Técnico-IBUS'!$A$18:$I$109,5,FALSE)</f>
        <v>0</v>
      </c>
      <c r="G640" s="577" t="s">
        <v>66</v>
      </c>
    </row>
    <row r="641" spans="1:7" ht="38.25">
      <c r="A641" s="558">
        <f t="shared" si="14"/>
        <v>633</v>
      </c>
      <c r="B641" s="574" t="s">
        <v>8</v>
      </c>
      <c r="C641" s="574" t="s">
        <v>361</v>
      </c>
      <c r="D641" s="560" t="str">
        <f>VLOOKUP(A641,'CHK Técnico-IBUS'!$A$18:$I$86,9,FALSE)</f>
        <v xml:space="preserve">  </v>
      </c>
      <c r="E641" s="561">
        <f>VLOOKUP(A641,'CHK Técnico-IBUS'!$A$18:$I$109,6,FALSE)</f>
        <v>0</v>
      </c>
      <c r="F641" s="562">
        <f>VLOOKUP(A641,'CHK Técnico-IBUS'!$A$18:$I$109,5,FALSE)</f>
        <v>0</v>
      </c>
      <c r="G641" s="579" t="s">
        <v>66</v>
      </c>
    </row>
    <row r="642" spans="1:7" ht="51">
      <c r="A642" s="558">
        <f t="shared" si="14"/>
        <v>634</v>
      </c>
      <c r="B642" s="574" t="s">
        <v>391</v>
      </c>
      <c r="C642" s="574" t="s">
        <v>367</v>
      </c>
      <c r="D642" s="560" t="str">
        <f>VLOOKUP(A642,'CHK Técnico-IBUS'!$A$18:$I$86,9,FALSE)</f>
        <v xml:space="preserve">  </v>
      </c>
      <c r="E642" s="561">
        <f>VLOOKUP(A642,'CHK Técnico-IBUS'!$A$18:$I$109,6,FALSE)</f>
        <v>0</v>
      </c>
      <c r="F642" s="562">
        <f>VLOOKUP(A642,'CHK Técnico-IBUS'!$A$18:$I$109,5,FALSE)</f>
        <v>0</v>
      </c>
      <c r="G642" s="579" t="s">
        <v>66</v>
      </c>
    </row>
    <row r="643" spans="1:7" ht="38.25">
      <c r="A643" s="558">
        <f t="shared" si="14"/>
        <v>635</v>
      </c>
      <c r="B643" s="574" t="s">
        <v>351</v>
      </c>
      <c r="C643" s="574" t="s">
        <v>367</v>
      </c>
      <c r="D643" s="560" t="str">
        <f>VLOOKUP(A643,'CHK Técnico-IBUS'!$A$18:$I$86,9,FALSE)</f>
        <v xml:space="preserve">  </v>
      </c>
      <c r="E643" s="561">
        <f>VLOOKUP(A643,'CHK Técnico-IBUS'!$A$18:$I$109,6,FALSE)</f>
        <v>0</v>
      </c>
      <c r="F643" s="562">
        <f>VLOOKUP(A643,'CHK Técnico-IBUS'!$A$18:$I$109,5,FALSE)</f>
        <v>0</v>
      </c>
      <c r="G643" s="579" t="s">
        <v>66</v>
      </c>
    </row>
    <row r="644" spans="1:7">
      <c r="A644" s="558">
        <f t="shared" si="14"/>
        <v>636</v>
      </c>
      <c r="B644" s="574">
        <v>0</v>
      </c>
      <c r="C644" s="574">
        <v>0</v>
      </c>
      <c r="D644" s="560">
        <f>VLOOKUP(A644,'CHK Técnico-IBUS'!$A$18:$I$86,9,FALSE)</f>
        <v>0</v>
      </c>
      <c r="E644" s="561">
        <f>VLOOKUP(A644,'CHK Técnico-IBUS'!$A$18:$I$109,6,FALSE)</f>
        <v>0</v>
      </c>
      <c r="F644" s="562">
        <f>VLOOKUP(A644,'CHK Técnico-IBUS'!$A$18:$I$109,5,FALSE)</f>
        <v>0</v>
      </c>
      <c r="G644" s="579" t="s">
        <v>66</v>
      </c>
    </row>
    <row r="645" spans="1:7" ht="38.25">
      <c r="A645" s="558">
        <f t="shared" si="14"/>
        <v>637</v>
      </c>
      <c r="B645" s="574" t="s">
        <v>9</v>
      </c>
      <c r="C645" s="574" t="s">
        <v>369</v>
      </c>
      <c r="D645" s="560" t="str">
        <f>VLOOKUP(A645,'CHK Técnico-IBUS'!$A$18:$I$86,9,FALSE)</f>
        <v xml:space="preserve">  </v>
      </c>
      <c r="E645" s="561">
        <f>VLOOKUP(A645,'CHK Técnico-IBUS'!$A$18:$I$109,6,FALSE)</f>
        <v>0</v>
      </c>
      <c r="F645" s="562">
        <f>VLOOKUP(A645,'CHK Técnico-IBUS'!$A$18:$I$109,5,FALSE)</f>
        <v>0</v>
      </c>
      <c r="G645" s="579" t="s">
        <v>66</v>
      </c>
    </row>
    <row r="646" spans="1:7" ht="25.5">
      <c r="A646" s="558">
        <f t="shared" si="14"/>
        <v>638</v>
      </c>
      <c r="B646" s="574" t="s">
        <v>10</v>
      </c>
      <c r="C646" s="574" t="s">
        <v>369</v>
      </c>
      <c r="D646" s="560" t="str">
        <f>VLOOKUP(A646,'CHK Técnico-IBUS'!$A$18:$I$86,9,FALSE)</f>
        <v xml:space="preserve">  </v>
      </c>
      <c r="E646" s="561">
        <f>VLOOKUP(A646,'CHK Técnico-IBUS'!$A$18:$I$109,6,FALSE)</f>
        <v>0</v>
      </c>
      <c r="F646" s="562">
        <f>VLOOKUP(A646,'CHK Técnico-IBUS'!$A$18:$I$109,5,FALSE)</f>
        <v>0</v>
      </c>
      <c r="G646" s="579" t="s">
        <v>66</v>
      </c>
    </row>
    <row r="647" spans="1:7" ht="63.75">
      <c r="A647" s="558">
        <f t="shared" si="14"/>
        <v>639</v>
      </c>
      <c r="B647" s="574" t="s">
        <v>854</v>
      </c>
      <c r="C647" s="574" t="s">
        <v>369</v>
      </c>
      <c r="D647" s="560" t="str">
        <f>VLOOKUP(A647,'CHK Técnico-IBUS'!$A$18:$I$86,9,FALSE)</f>
        <v xml:space="preserve">  </v>
      </c>
      <c r="E647" s="561">
        <f>VLOOKUP(A647,'CHK Técnico-IBUS'!$A$18:$I$109,6,FALSE)</f>
        <v>0</v>
      </c>
      <c r="F647" s="562">
        <f>VLOOKUP(A647,'CHK Técnico-IBUS'!$A$18:$I$109,5,FALSE)</f>
        <v>0</v>
      </c>
      <c r="G647" s="579" t="s">
        <v>66</v>
      </c>
    </row>
    <row r="648" spans="1:7" ht="25.5">
      <c r="A648" s="558">
        <f t="shared" si="14"/>
        <v>640</v>
      </c>
      <c r="B648" s="574" t="s">
        <v>855</v>
      </c>
      <c r="C648" s="574" t="s">
        <v>369</v>
      </c>
      <c r="D648" s="560" t="str">
        <f>VLOOKUP(A648,'CHK Técnico-IBUS'!$A$18:$I$86,9,FALSE)</f>
        <v xml:space="preserve">  </v>
      </c>
      <c r="E648" s="561">
        <f>VLOOKUP(A648,'CHK Técnico-IBUS'!$A$18:$I$109,6,FALSE)</f>
        <v>0</v>
      </c>
      <c r="F648" s="562">
        <f>VLOOKUP(A648,'CHK Técnico-IBUS'!$A$18:$I$109,5,FALSE)</f>
        <v>0</v>
      </c>
      <c r="G648" s="579" t="s">
        <v>66</v>
      </c>
    </row>
    <row r="649" spans="1:7" ht="51">
      <c r="A649" s="558">
        <f t="shared" si="14"/>
        <v>641</v>
      </c>
      <c r="B649" s="574" t="s">
        <v>856</v>
      </c>
      <c r="C649" s="574" t="s">
        <v>369</v>
      </c>
      <c r="D649" s="560" t="str">
        <f>VLOOKUP(A649,'CHK Técnico-IBUS'!$A$18:$I$86,9,FALSE)</f>
        <v xml:space="preserve">  </v>
      </c>
      <c r="E649" s="561">
        <f>VLOOKUP(A649,'CHK Técnico-IBUS'!$A$18:$I$109,6,FALSE)</f>
        <v>0</v>
      </c>
      <c r="F649" s="562">
        <f>VLOOKUP(A649,'CHK Técnico-IBUS'!$A$18:$I$109,5,FALSE)</f>
        <v>0</v>
      </c>
      <c r="G649" s="579" t="s">
        <v>66</v>
      </c>
    </row>
    <row r="650" spans="1:7">
      <c r="A650" s="558">
        <f t="shared" si="14"/>
        <v>642</v>
      </c>
      <c r="B650" s="574">
        <v>0</v>
      </c>
      <c r="C650" s="574">
        <v>0</v>
      </c>
      <c r="D650" s="560">
        <f>VLOOKUP(A650,'CHK Técnico-IBUS'!$A$18:$I$86,9,FALSE)</f>
        <v>0</v>
      </c>
      <c r="E650" s="561">
        <f>VLOOKUP(A650,'CHK Técnico-IBUS'!$A$18:$I$109,6,FALSE)</f>
        <v>0</v>
      </c>
      <c r="F650" s="562">
        <f>VLOOKUP(A650,'CHK Técnico-IBUS'!$A$18:$I$109,5,FALSE)</f>
        <v>0</v>
      </c>
      <c r="G650" s="579" t="s">
        <v>66</v>
      </c>
    </row>
    <row r="651" spans="1:7" ht="25.5">
      <c r="A651" s="558">
        <f t="shared" si="14"/>
        <v>643</v>
      </c>
      <c r="B651" s="574" t="s">
        <v>14</v>
      </c>
      <c r="C651" s="574" t="s">
        <v>369</v>
      </c>
      <c r="D651" s="560" t="str">
        <f>VLOOKUP(A651,'CHK Técnico-IBUS'!$A$18:$I$86,9,FALSE)</f>
        <v xml:space="preserve">  </v>
      </c>
      <c r="E651" s="561">
        <f>VLOOKUP(A651,'CHK Técnico-IBUS'!$A$18:$I$109,6,FALSE)</f>
        <v>0</v>
      </c>
      <c r="F651" s="562">
        <f>VLOOKUP(A651,'CHK Técnico-IBUS'!$A$18:$I$109,5,FALSE)</f>
        <v>0</v>
      </c>
      <c r="G651" s="579" t="s">
        <v>66</v>
      </c>
    </row>
    <row r="652" spans="1:7" ht="38.25">
      <c r="A652" s="558">
        <f t="shared" si="14"/>
        <v>644</v>
      </c>
      <c r="B652" s="574" t="s">
        <v>15</v>
      </c>
      <c r="C652" s="574" t="s">
        <v>369</v>
      </c>
      <c r="D652" s="560" t="str">
        <f>VLOOKUP(A652,'CHK Técnico-IBUS'!$A$18:$I$86,9,FALSE)</f>
        <v xml:space="preserve">  </v>
      </c>
      <c r="E652" s="561">
        <f>VLOOKUP(A652,'CHK Técnico-IBUS'!$A$18:$I$109,6,FALSE)</f>
        <v>0</v>
      </c>
      <c r="F652" s="562">
        <f>VLOOKUP(A652,'CHK Técnico-IBUS'!$A$18:$I$109,5,FALSE)</f>
        <v>0</v>
      </c>
      <c r="G652" s="579" t="s">
        <v>66</v>
      </c>
    </row>
    <row r="653" spans="1:7" ht="25.5">
      <c r="A653" s="558">
        <f t="shared" si="14"/>
        <v>645</v>
      </c>
      <c r="B653" s="574" t="s">
        <v>16</v>
      </c>
      <c r="C653" s="574" t="s">
        <v>369</v>
      </c>
      <c r="D653" s="560" t="str">
        <f>VLOOKUP(A653,'CHK Técnico-IBUS'!$A$18:$I$86,9,FALSE)</f>
        <v xml:space="preserve">  </v>
      </c>
      <c r="E653" s="561">
        <f>VLOOKUP(A653,'CHK Técnico-IBUS'!$A$18:$I$109,6,FALSE)</f>
        <v>0</v>
      </c>
      <c r="F653" s="562">
        <f>VLOOKUP(A653,'CHK Técnico-IBUS'!$A$18:$I$109,5,FALSE)</f>
        <v>0</v>
      </c>
      <c r="G653" s="579" t="s">
        <v>66</v>
      </c>
    </row>
    <row r="654" spans="1:7" ht="38.25">
      <c r="A654" s="558">
        <f t="shared" si="14"/>
        <v>646</v>
      </c>
      <c r="B654" s="574" t="s">
        <v>17</v>
      </c>
      <c r="C654" s="574" t="s">
        <v>369</v>
      </c>
      <c r="D654" s="560" t="str">
        <f>VLOOKUP(A654,'CHK Técnico-IBUS'!$A$18:$I$86,9,FALSE)</f>
        <v xml:space="preserve">  </v>
      </c>
      <c r="E654" s="561">
        <f>VLOOKUP(A654,'CHK Técnico-IBUS'!$A$18:$I$109,6,FALSE)</f>
        <v>0</v>
      </c>
      <c r="F654" s="562">
        <f>VLOOKUP(A654,'CHK Técnico-IBUS'!$A$18:$I$109,5,FALSE)</f>
        <v>0</v>
      </c>
      <c r="G654" s="579" t="s">
        <v>66</v>
      </c>
    </row>
    <row r="655" spans="1:7" ht="38.25">
      <c r="A655" s="558">
        <f t="shared" si="14"/>
        <v>647</v>
      </c>
      <c r="B655" s="574" t="s">
        <v>19</v>
      </c>
      <c r="C655" s="574" t="s">
        <v>369</v>
      </c>
      <c r="D655" s="560">
        <f>VLOOKUP(A655,'CHK Técnico-IBUS'!$A$18:$I$86,9,FALSE)</f>
        <v>0</v>
      </c>
      <c r="E655" s="561">
        <f>VLOOKUP(A655,'CHK Técnico-IBUS'!$A$18:$I$109,6,FALSE)</f>
        <v>0</v>
      </c>
      <c r="F655" s="562">
        <f>VLOOKUP(A655,'CHK Técnico-IBUS'!$A$18:$I$109,5,FALSE)</f>
        <v>0</v>
      </c>
      <c r="G655" s="579" t="s">
        <v>66</v>
      </c>
    </row>
    <row r="656" spans="1:7" ht="25.5">
      <c r="A656" s="558">
        <f t="shared" si="14"/>
        <v>648</v>
      </c>
      <c r="B656" s="574" t="s">
        <v>858</v>
      </c>
      <c r="C656" s="574" t="s">
        <v>369</v>
      </c>
      <c r="D656" s="560" t="str">
        <f>VLOOKUP(A656,'CHK Técnico-IBUS'!$A$18:$I$86,9,FALSE)</f>
        <v xml:space="preserve">  </v>
      </c>
      <c r="E656" s="561">
        <f>VLOOKUP(A656,'CHK Técnico-IBUS'!$A$18:$I$109,6,FALSE)</f>
        <v>0</v>
      </c>
      <c r="F656" s="562">
        <f>VLOOKUP(A656,'CHK Técnico-IBUS'!$A$18:$I$109,5,FALSE)</f>
        <v>0</v>
      </c>
      <c r="G656" s="579" t="s">
        <v>66</v>
      </c>
    </row>
    <row r="657" spans="1:7" ht="51">
      <c r="A657" s="558">
        <f t="shared" si="14"/>
        <v>649</v>
      </c>
      <c r="B657" s="574" t="s">
        <v>21</v>
      </c>
      <c r="C657" s="574" t="s">
        <v>369</v>
      </c>
      <c r="D657" s="560" t="str">
        <f>VLOOKUP(A657,'CHK Técnico-IBUS'!$A$18:$I$86,9,FALSE)</f>
        <v xml:space="preserve">  </v>
      </c>
      <c r="E657" s="561">
        <f>VLOOKUP(A657,'CHK Técnico-IBUS'!$A$18:$I$109,6,FALSE)</f>
        <v>0</v>
      </c>
      <c r="F657" s="562">
        <f>VLOOKUP(A657,'CHK Técnico-IBUS'!$A$18:$I$109,5,FALSE)</f>
        <v>0</v>
      </c>
      <c r="G657" s="579" t="s">
        <v>66</v>
      </c>
    </row>
    <row r="658" spans="1:7" ht="38.25">
      <c r="A658" s="558">
        <f t="shared" si="14"/>
        <v>650</v>
      </c>
      <c r="B658" s="574" t="s">
        <v>22</v>
      </c>
      <c r="C658" s="574" t="s">
        <v>369</v>
      </c>
      <c r="D658" s="560" t="str">
        <f>VLOOKUP(A658,'CHK Técnico-IBUS'!$A$18:$I$86,9,FALSE)</f>
        <v xml:space="preserve">  </v>
      </c>
      <c r="E658" s="561">
        <f>VLOOKUP(A658,'CHK Técnico-IBUS'!$A$18:$I$109,6,FALSE)</f>
        <v>0</v>
      </c>
      <c r="F658" s="562">
        <f>VLOOKUP(A658,'CHK Técnico-IBUS'!$A$18:$I$109,5,FALSE)</f>
        <v>0</v>
      </c>
      <c r="G658" s="579" t="s">
        <v>66</v>
      </c>
    </row>
    <row r="659" spans="1:7">
      <c r="A659" s="558">
        <f t="shared" si="14"/>
        <v>651</v>
      </c>
      <c r="B659" s="574">
        <v>0</v>
      </c>
      <c r="C659" s="574">
        <v>0</v>
      </c>
      <c r="D659" s="560">
        <f>VLOOKUP(A659,'CHK Técnico-IBUS'!$A$18:$I$86,9,FALSE)</f>
        <v>0</v>
      </c>
      <c r="E659" s="561">
        <f>VLOOKUP(A659,'CHK Técnico-IBUS'!$A$18:$I$109,6,FALSE)</f>
        <v>0</v>
      </c>
      <c r="F659" s="562">
        <f>VLOOKUP(A659,'CHK Técnico-IBUS'!$A$18:$I$109,5,FALSE)</f>
        <v>0</v>
      </c>
      <c r="G659" s="579" t="s">
        <v>66</v>
      </c>
    </row>
    <row r="660" spans="1:7" ht="38.25">
      <c r="A660" s="558">
        <f t="shared" si="14"/>
        <v>652</v>
      </c>
      <c r="B660" s="574" t="s">
        <v>860</v>
      </c>
      <c r="C660" s="574" t="s">
        <v>369</v>
      </c>
      <c r="D660" s="560" t="str">
        <f>VLOOKUP(A660,'CHK Técnico-IBUS'!$A$18:$I$86,9,FALSE)</f>
        <v xml:space="preserve">  </v>
      </c>
      <c r="E660" s="561">
        <f>VLOOKUP(A660,'CHK Técnico-IBUS'!$A$18:$I$109,6,FALSE)</f>
        <v>0</v>
      </c>
      <c r="F660" s="562">
        <f>VLOOKUP(A660,'CHK Técnico-IBUS'!$A$18:$I$109,5,FALSE)</f>
        <v>0</v>
      </c>
      <c r="G660" s="579" t="s">
        <v>66</v>
      </c>
    </row>
    <row r="661" spans="1:7" ht="63.75">
      <c r="A661" s="558">
        <f t="shared" si="14"/>
        <v>653</v>
      </c>
      <c r="B661" s="574" t="s">
        <v>861</v>
      </c>
      <c r="C661" s="574" t="s">
        <v>369</v>
      </c>
      <c r="D661" s="560" t="str">
        <f>VLOOKUP(A661,'CHK Técnico-IBUS'!$A$18:$I$86,9,FALSE)</f>
        <v xml:space="preserve">  </v>
      </c>
      <c r="E661" s="561">
        <f>VLOOKUP(A661,'CHK Técnico-IBUS'!$A$18:$I$109,6,FALSE)</f>
        <v>0</v>
      </c>
      <c r="F661" s="562">
        <f>VLOOKUP(A661,'CHK Técnico-IBUS'!$A$18:$I$109,5,FALSE)</f>
        <v>0</v>
      </c>
      <c r="G661" s="579" t="s">
        <v>66</v>
      </c>
    </row>
    <row r="662" spans="1:7" ht="38.25">
      <c r="A662" s="558">
        <f t="shared" si="14"/>
        <v>654</v>
      </c>
      <c r="B662" s="574" t="s">
        <v>862</v>
      </c>
      <c r="C662" s="574" t="s">
        <v>369</v>
      </c>
      <c r="D662" s="560" t="str">
        <f>VLOOKUP(A662,'CHK Técnico-IBUS'!$A$18:$I$86,9,FALSE)</f>
        <v xml:space="preserve">  </v>
      </c>
      <c r="E662" s="561">
        <f>VLOOKUP(A662,'CHK Técnico-IBUS'!$A$18:$I$109,6,FALSE)</f>
        <v>0</v>
      </c>
      <c r="F662" s="562">
        <f>VLOOKUP(A662,'CHK Técnico-IBUS'!$A$18:$I$109,5,FALSE)</f>
        <v>0</v>
      </c>
      <c r="G662" s="579" t="s">
        <v>66</v>
      </c>
    </row>
    <row r="663" spans="1:7" ht="63.75">
      <c r="A663" s="558">
        <f t="shared" si="14"/>
        <v>655</v>
      </c>
      <c r="B663" s="574" t="s">
        <v>392</v>
      </c>
      <c r="C663" s="574" t="s">
        <v>369</v>
      </c>
      <c r="D663" s="560" t="str">
        <f>VLOOKUP(A663,'CHK Técnico-IBUS'!$A$18:$I$86,9,FALSE)</f>
        <v xml:space="preserve">  </v>
      </c>
      <c r="E663" s="561">
        <f>VLOOKUP(A663,'CHK Técnico-IBUS'!$A$18:$I$109,6,FALSE)</f>
        <v>0</v>
      </c>
      <c r="F663" s="562">
        <f>VLOOKUP(A663,'CHK Técnico-IBUS'!$A$18:$I$109,5,FALSE)</f>
        <v>0</v>
      </c>
      <c r="G663" s="579" t="s">
        <v>66</v>
      </c>
    </row>
    <row r="664" spans="1:7" ht="25.5">
      <c r="A664" s="558">
        <f t="shared" si="14"/>
        <v>656</v>
      </c>
      <c r="B664" s="574" t="s">
        <v>863</v>
      </c>
      <c r="C664" s="574"/>
      <c r="D664" s="560">
        <f>VLOOKUP(A664,'CHK Técnico-IBUS'!$A$18:$I$86,9,FALSE)</f>
        <v>0</v>
      </c>
      <c r="E664" s="561">
        <f>VLOOKUP(A664,'CHK Técnico-IBUS'!$A$18:$I$109,6,FALSE)</f>
        <v>0</v>
      </c>
      <c r="F664" s="562">
        <f>VLOOKUP(A664,'CHK Técnico-IBUS'!$A$18:$I$109,5,FALSE)</f>
        <v>0</v>
      </c>
      <c r="G664" s="579" t="s">
        <v>66</v>
      </c>
    </row>
    <row r="665" spans="1:7">
      <c r="A665" s="558">
        <f t="shared" si="14"/>
        <v>657</v>
      </c>
      <c r="B665" s="574">
        <v>0</v>
      </c>
      <c r="C665" s="574">
        <v>0</v>
      </c>
      <c r="D665" s="560" t="str">
        <f>VLOOKUP(A665,'CHK Técnico-IBUS'!$A$18:$I$86,9,FALSE)</f>
        <v xml:space="preserve">  </v>
      </c>
      <c r="E665" s="561">
        <f>VLOOKUP(A665,'CHK Técnico-IBUS'!$A$18:$I$109,6,FALSE)</f>
        <v>0</v>
      </c>
      <c r="F665" s="562">
        <f>VLOOKUP(A665,'CHK Técnico-IBUS'!$A$18:$I$109,5,FALSE)</f>
        <v>0</v>
      </c>
      <c r="G665" s="579" t="s">
        <v>66</v>
      </c>
    </row>
    <row r="666" spans="1:7" ht="38.25">
      <c r="A666" s="558">
        <f t="shared" si="14"/>
        <v>658</v>
      </c>
      <c r="B666" s="574" t="s">
        <v>864</v>
      </c>
      <c r="C666" s="574" t="s">
        <v>365</v>
      </c>
      <c r="D666" s="560" t="str">
        <f>VLOOKUP(A666,'CHK Técnico-IBUS'!$A$18:$I$86,9,FALSE)</f>
        <v xml:space="preserve">  </v>
      </c>
      <c r="E666" s="561">
        <f>VLOOKUP(A666,'CHK Técnico-IBUS'!$A$18:$I$109,6,FALSE)</f>
        <v>0</v>
      </c>
      <c r="F666" s="562">
        <f>VLOOKUP(A666,'CHK Técnico-IBUS'!$A$18:$I$109,5,FALSE)</f>
        <v>0</v>
      </c>
      <c r="G666" s="579" t="s">
        <v>66</v>
      </c>
    </row>
    <row r="667" spans="1:7" ht="51">
      <c r="A667" s="558">
        <f t="shared" si="14"/>
        <v>659</v>
      </c>
      <c r="B667" s="574" t="s">
        <v>865</v>
      </c>
      <c r="C667" s="574" t="s">
        <v>365</v>
      </c>
      <c r="D667" s="560">
        <f>VLOOKUP(A667,'CHK Técnico-IBUS'!$A$18:$I$86,9,FALSE)</f>
        <v>0</v>
      </c>
      <c r="E667" s="561">
        <f>VLOOKUP(A667,'CHK Técnico-IBUS'!$A$18:$I$109,6,FALSE)</f>
        <v>0</v>
      </c>
      <c r="F667" s="562">
        <f>VLOOKUP(A667,'CHK Técnico-IBUS'!$A$18:$I$109,5,FALSE)</f>
        <v>0</v>
      </c>
      <c r="G667" s="579" t="s">
        <v>66</v>
      </c>
    </row>
    <row r="668" spans="1:7" ht="38.25">
      <c r="A668" s="558">
        <f t="shared" si="14"/>
        <v>660</v>
      </c>
      <c r="B668" s="574" t="s">
        <v>866</v>
      </c>
      <c r="C668" s="574" t="s">
        <v>66</v>
      </c>
      <c r="D668" s="560" t="str">
        <f>VLOOKUP(A668,'CHK Técnico-IBUS'!$A$18:$I$86,9,FALSE)</f>
        <v xml:space="preserve">  </v>
      </c>
      <c r="E668" s="561">
        <f>VLOOKUP(A668,'CHK Técnico-IBUS'!$A$18:$I$109,6,FALSE)</f>
        <v>0</v>
      </c>
      <c r="F668" s="562">
        <f>VLOOKUP(A668,'CHK Técnico-IBUS'!$A$18:$I$109,5,FALSE)</f>
        <v>0</v>
      </c>
      <c r="G668" s="579" t="s">
        <v>66</v>
      </c>
    </row>
    <row r="669" spans="1:7" ht="38.25">
      <c r="A669" s="558">
        <f t="shared" si="14"/>
        <v>661</v>
      </c>
      <c r="B669" s="574" t="s">
        <v>867</v>
      </c>
      <c r="C669" s="574" t="s">
        <v>66</v>
      </c>
      <c r="D669" s="560" t="str">
        <f>VLOOKUP(A669,'CHK Técnico-IBUS'!$A$18:$I$86,9,FALSE)</f>
        <v xml:space="preserve">  </v>
      </c>
      <c r="E669" s="561">
        <f>VLOOKUP(A669,'CHK Técnico-IBUS'!$A$18:$I$109,6,FALSE)</f>
        <v>0</v>
      </c>
      <c r="F669" s="562">
        <f>VLOOKUP(A669,'CHK Técnico-IBUS'!$A$18:$I$109,5,FALSE)</f>
        <v>0</v>
      </c>
      <c r="G669" s="579" t="s">
        <v>66</v>
      </c>
    </row>
    <row r="670" spans="1:7">
      <c r="A670" s="558">
        <f t="shared" si="14"/>
        <v>662</v>
      </c>
      <c r="B670" s="574">
        <v>0</v>
      </c>
      <c r="C670" s="574">
        <v>0</v>
      </c>
      <c r="D670" s="560" t="str">
        <f>VLOOKUP(A670,'CHK Técnico-IBUS'!$A$18:$I$86,9,FALSE)</f>
        <v xml:space="preserve">  </v>
      </c>
      <c r="E670" s="561">
        <f>VLOOKUP(A670,'CHK Técnico-IBUS'!$A$18:$I$109,6,FALSE)</f>
        <v>0</v>
      </c>
      <c r="F670" s="562">
        <f>VLOOKUP(A670,'CHK Técnico-IBUS'!$A$18:$I$109,5,FALSE)</f>
        <v>0</v>
      </c>
      <c r="G670" s="579" t="s">
        <v>66</v>
      </c>
    </row>
    <row r="671" spans="1:7" ht="25.5">
      <c r="A671" s="558">
        <f t="shared" si="14"/>
        <v>663</v>
      </c>
      <c r="B671" s="574" t="s">
        <v>868</v>
      </c>
      <c r="C671" s="574" t="s">
        <v>365</v>
      </c>
      <c r="D671" s="560" t="str">
        <f>VLOOKUP(A671,'CHK Técnico-IBUS'!$A$18:$I$86,9,FALSE)</f>
        <v xml:space="preserve">  </v>
      </c>
      <c r="E671" s="561">
        <f>VLOOKUP(A671,'CHK Técnico-IBUS'!$A$18:$I$109,6,FALSE)</f>
        <v>0</v>
      </c>
      <c r="F671" s="562">
        <f>VLOOKUP(A671,'CHK Técnico-IBUS'!$A$18:$I$109,5,FALSE)</f>
        <v>0</v>
      </c>
      <c r="G671" s="579" t="s">
        <v>66</v>
      </c>
    </row>
    <row r="672" spans="1:7" ht="51">
      <c r="A672" s="558">
        <f t="shared" si="14"/>
        <v>664</v>
      </c>
      <c r="B672" s="574" t="s">
        <v>35</v>
      </c>
      <c r="C672" s="574" t="s">
        <v>365</v>
      </c>
      <c r="D672" s="560">
        <f>VLOOKUP(A672,'CHK Técnico-IBUS'!$A$18:$I$86,9,FALSE)</f>
        <v>0</v>
      </c>
      <c r="E672" s="561">
        <f>VLOOKUP(A672,'CHK Técnico-IBUS'!$A$18:$I$109,6,FALSE)</f>
        <v>0</v>
      </c>
      <c r="F672" s="562">
        <f>VLOOKUP(A672,'CHK Técnico-IBUS'!$A$18:$I$109,5,FALSE)</f>
        <v>0</v>
      </c>
      <c r="G672" s="579" t="s">
        <v>66</v>
      </c>
    </row>
    <row r="673" spans="1:7" ht="38.25">
      <c r="A673" s="558">
        <f t="shared" si="14"/>
        <v>665</v>
      </c>
      <c r="B673" s="574" t="s">
        <v>869</v>
      </c>
      <c r="C673" s="574" t="s">
        <v>365</v>
      </c>
      <c r="D673" s="560">
        <f>VLOOKUP(A673,'CHK Técnico-IBUS'!$A$18:$I$86,9,FALSE)</f>
        <v>0</v>
      </c>
      <c r="E673" s="561">
        <f>VLOOKUP(A673,'CHK Técnico-IBUS'!$A$18:$I$109,6,FALSE)</f>
        <v>0</v>
      </c>
      <c r="F673" s="562">
        <f>VLOOKUP(A673,'CHK Técnico-IBUS'!$A$18:$I$109,5,FALSE)</f>
        <v>0</v>
      </c>
      <c r="G673" s="579" t="s">
        <v>66</v>
      </c>
    </row>
    <row r="674" spans="1:7" ht="25.5">
      <c r="A674" s="558">
        <f t="shared" si="14"/>
        <v>666</v>
      </c>
      <c r="B674" s="574" t="s">
        <v>38</v>
      </c>
      <c r="C674" s="574" t="s">
        <v>365</v>
      </c>
      <c r="D674" s="560">
        <f>VLOOKUP(A674,'CHK Técnico-IBUS'!$A$18:$I$86,9,FALSE)</f>
        <v>0</v>
      </c>
      <c r="E674" s="561">
        <f>VLOOKUP(A674,'CHK Técnico-IBUS'!$A$18:$I$109,6,FALSE)</f>
        <v>0</v>
      </c>
      <c r="F674" s="562">
        <f>VLOOKUP(A674,'CHK Técnico-IBUS'!$A$18:$I$109,5,FALSE)</f>
        <v>0</v>
      </c>
      <c r="G674" s="579" t="s">
        <v>66</v>
      </c>
    </row>
    <row r="675" spans="1:7" ht="25.5">
      <c r="A675" s="558">
        <f t="shared" si="14"/>
        <v>667</v>
      </c>
      <c r="B675" s="574" t="s">
        <v>45</v>
      </c>
      <c r="C675" s="574" t="s">
        <v>365</v>
      </c>
      <c r="D675" s="560">
        <f>VLOOKUP(A675,'CHK Técnico-IBUS'!$A$18:$I$86,9,FALSE)</f>
        <v>0</v>
      </c>
      <c r="E675" s="561">
        <f>VLOOKUP(A675,'CHK Técnico-IBUS'!$A$18:$I$109,6,FALSE)</f>
        <v>0</v>
      </c>
      <c r="F675" s="562">
        <f>VLOOKUP(A675,'CHK Técnico-IBUS'!$A$18:$I$109,5,FALSE)</f>
        <v>0</v>
      </c>
      <c r="G675" s="579" t="s">
        <v>66</v>
      </c>
    </row>
    <row r="676" spans="1:7" ht="38.25">
      <c r="A676" s="558">
        <f t="shared" si="14"/>
        <v>668</v>
      </c>
      <c r="B676" s="574" t="s">
        <v>46</v>
      </c>
      <c r="C676" s="574" t="s">
        <v>365</v>
      </c>
      <c r="D676" s="560">
        <f>VLOOKUP(A676,'CHK Técnico-IBUS'!$A$18:$I$86,9,FALSE)</f>
        <v>0</v>
      </c>
      <c r="E676" s="561">
        <f>VLOOKUP(A676,'CHK Técnico-IBUS'!$A$18:$I$109,6,FALSE)</f>
        <v>0</v>
      </c>
      <c r="F676" s="562">
        <f>VLOOKUP(A676,'CHK Técnico-IBUS'!$A$18:$I$109,5,FALSE)</f>
        <v>0</v>
      </c>
      <c r="G676" s="579" t="s">
        <v>66</v>
      </c>
    </row>
    <row r="677" spans="1:7">
      <c r="A677" s="558">
        <f t="shared" si="14"/>
        <v>669</v>
      </c>
      <c r="B677" s="574">
        <v>0</v>
      </c>
      <c r="C677" s="574">
        <v>0</v>
      </c>
      <c r="D677" s="560">
        <f>VLOOKUP(A677,'CHK Técnico-IBUS'!$A$18:$I$86,9,FALSE)</f>
        <v>0</v>
      </c>
      <c r="E677" s="561">
        <f>VLOOKUP(A677,'CHK Técnico-IBUS'!$A$18:$I$109,6,FALSE)</f>
        <v>0</v>
      </c>
      <c r="F677" s="562">
        <f>VLOOKUP(A677,'CHK Técnico-IBUS'!$A$18:$I$109,5,FALSE)</f>
        <v>0</v>
      </c>
      <c r="G677" s="579" t="s">
        <v>66</v>
      </c>
    </row>
    <row r="678" spans="1:7" ht="38.25">
      <c r="A678" s="558">
        <f t="shared" si="14"/>
        <v>670</v>
      </c>
      <c r="B678" s="574" t="s">
        <v>870</v>
      </c>
      <c r="C678" s="574" t="s">
        <v>365</v>
      </c>
      <c r="D678" s="560">
        <f>VLOOKUP(A678,'CHK Técnico-IBUS'!$A$18:$I$86,9,FALSE)</f>
        <v>0</v>
      </c>
      <c r="E678" s="561">
        <f>VLOOKUP(A678,'CHK Técnico-IBUS'!$A$18:$I$109,6,FALSE)</f>
        <v>0</v>
      </c>
      <c r="F678" s="562">
        <f>VLOOKUP(A678,'CHK Técnico-IBUS'!$A$18:$I$109,5,FALSE)</f>
        <v>0</v>
      </c>
      <c r="G678" s="579" t="s">
        <v>66</v>
      </c>
    </row>
    <row r="679" spans="1:7" ht="38.25">
      <c r="A679" s="558">
        <f t="shared" si="14"/>
        <v>671</v>
      </c>
      <c r="B679" s="574" t="s">
        <v>871</v>
      </c>
      <c r="C679" s="574" t="s">
        <v>365</v>
      </c>
      <c r="D679" s="560">
        <f>VLOOKUP(A679,'CHK Técnico-IBUS'!$A$18:$I$86,9,FALSE)</f>
        <v>0</v>
      </c>
      <c r="E679" s="561">
        <f>VLOOKUP(A679,'CHK Técnico-IBUS'!$A$18:$I$109,6,FALSE)</f>
        <v>0</v>
      </c>
      <c r="F679" s="562">
        <f>VLOOKUP(A679,'CHK Técnico-IBUS'!$A$18:$I$109,5,FALSE)</f>
        <v>0</v>
      </c>
      <c r="G679" s="579" t="s">
        <v>66</v>
      </c>
    </row>
    <row r="680" spans="1:7" ht="38.25">
      <c r="A680" s="558">
        <f t="shared" si="14"/>
        <v>672</v>
      </c>
      <c r="B680" s="574" t="s">
        <v>872</v>
      </c>
      <c r="C680" s="574" t="s">
        <v>365</v>
      </c>
      <c r="D680" s="560">
        <f>VLOOKUP(A680,'CHK Técnico-IBUS'!$A$18:$I$86,9,FALSE)</f>
        <v>0</v>
      </c>
      <c r="E680" s="561">
        <f>VLOOKUP(A680,'CHK Técnico-IBUS'!$A$18:$I$109,6,FALSE)</f>
        <v>0</v>
      </c>
      <c r="F680" s="562">
        <f>VLOOKUP(A680,'CHK Técnico-IBUS'!$A$18:$I$109,5,FALSE)</f>
        <v>0</v>
      </c>
      <c r="G680" s="579" t="s">
        <v>66</v>
      </c>
    </row>
    <row r="681" spans="1:7" ht="51">
      <c r="A681" s="558">
        <f t="shared" si="14"/>
        <v>673</v>
      </c>
      <c r="B681" s="574" t="s">
        <v>48</v>
      </c>
      <c r="C681" s="574" t="s">
        <v>66</v>
      </c>
      <c r="D681" s="560">
        <f>VLOOKUP(A681,'CHK Técnico-IBUS'!$A$18:$I$86,9,FALSE)</f>
        <v>0</v>
      </c>
      <c r="E681" s="561">
        <f>VLOOKUP(A681,'CHK Técnico-IBUS'!$A$18:$I$109,6,FALSE)</f>
        <v>0</v>
      </c>
      <c r="F681" s="562">
        <f>VLOOKUP(A681,'CHK Técnico-IBUS'!$A$18:$I$109,5,FALSE)</f>
        <v>0</v>
      </c>
      <c r="G681" s="579" t="s">
        <v>66</v>
      </c>
    </row>
    <row r="682" spans="1:7" ht="38.25">
      <c r="A682" s="558">
        <f t="shared" si="14"/>
        <v>674</v>
      </c>
      <c r="B682" s="574" t="s">
        <v>873</v>
      </c>
      <c r="C682" s="574" t="s">
        <v>66</v>
      </c>
      <c r="D682" s="560">
        <f>VLOOKUP(A682,'CHK Técnico-IBUS'!$A$18:$I$86,9,FALSE)</f>
        <v>0</v>
      </c>
      <c r="E682" s="561">
        <f>VLOOKUP(A682,'CHK Técnico-IBUS'!$A$18:$I$109,6,FALSE)</f>
        <v>0</v>
      </c>
      <c r="F682" s="562">
        <f>VLOOKUP(A682,'CHK Técnico-IBUS'!$A$18:$I$109,5,FALSE)</f>
        <v>0</v>
      </c>
      <c r="G682" s="579" t="s">
        <v>66</v>
      </c>
    </row>
    <row r="683" spans="1:7">
      <c r="A683" s="558">
        <f t="shared" si="14"/>
        <v>675</v>
      </c>
      <c r="B683" s="574">
        <v>0</v>
      </c>
      <c r="C683" s="574">
        <v>0</v>
      </c>
      <c r="D683" s="560">
        <f>VLOOKUP(A683,'CHK Técnico-IBUS'!$A$18:$I$86,9,FALSE)</f>
        <v>0</v>
      </c>
      <c r="E683" s="561">
        <f>VLOOKUP(A683,'CHK Técnico-IBUS'!$A$18:$I$109,6,FALSE)</f>
        <v>0</v>
      </c>
      <c r="F683" s="562">
        <f>VLOOKUP(A683,'CHK Técnico-IBUS'!$A$18:$I$109,5,FALSE)</f>
        <v>0</v>
      </c>
      <c r="G683" s="579" t="s">
        <v>66</v>
      </c>
    </row>
    <row r="684" spans="1:7" ht="51">
      <c r="A684" s="558">
        <f t="shared" si="14"/>
        <v>676</v>
      </c>
      <c r="B684" s="574" t="s">
        <v>874</v>
      </c>
      <c r="C684" s="574" t="s">
        <v>367</v>
      </c>
      <c r="D684" s="560">
        <f>VLOOKUP(A684,'CHK Técnico-IBUS'!$A$18:$I$86,9,FALSE)</f>
        <v>0</v>
      </c>
      <c r="E684" s="561">
        <f>VLOOKUP(A684,'CHK Técnico-IBUS'!$A$18:$I$109,6,FALSE)</f>
        <v>0</v>
      </c>
      <c r="F684" s="562">
        <f>VLOOKUP(A684,'CHK Técnico-IBUS'!$A$18:$I$109,5,FALSE)</f>
        <v>0</v>
      </c>
      <c r="G684" s="579" t="s">
        <v>66</v>
      </c>
    </row>
    <row r="685" spans="1:7" ht="38.25">
      <c r="A685" s="558">
        <f t="shared" si="14"/>
        <v>677</v>
      </c>
      <c r="B685" s="574" t="s">
        <v>875</v>
      </c>
      <c r="C685" s="574" t="s">
        <v>367</v>
      </c>
      <c r="D685" s="560">
        <f>VLOOKUP(A685,'CHK Técnico-IBUS'!$A$18:$I$86,9,FALSE)</f>
        <v>0</v>
      </c>
      <c r="E685" s="561">
        <f>VLOOKUP(A685,'CHK Técnico-IBUS'!$A$18:$I$109,6,FALSE)</f>
        <v>0</v>
      </c>
      <c r="F685" s="562">
        <f>VLOOKUP(A685,'CHK Técnico-IBUS'!$A$18:$I$109,5,FALSE)</f>
        <v>0</v>
      </c>
      <c r="G685" s="579" t="s">
        <v>66</v>
      </c>
    </row>
    <row r="686" spans="1:7" ht="51">
      <c r="A686" s="558">
        <f t="shared" si="14"/>
        <v>678</v>
      </c>
      <c r="B686" s="574" t="s">
        <v>876</v>
      </c>
      <c r="C686" s="574" t="s">
        <v>367</v>
      </c>
      <c r="D686" s="560">
        <f>VLOOKUP(A686,'CHK Técnico-IBUS'!$A$18:$I$86,9,FALSE)</f>
        <v>0</v>
      </c>
      <c r="E686" s="561">
        <f>VLOOKUP(A686,'CHK Técnico-IBUS'!$A$18:$I$109,6,FALSE)</f>
        <v>0</v>
      </c>
      <c r="F686" s="562">
        <f>VLOOKUP(A686,'CHK Técnico-IBUS'!$A$18:$I$109,5,FALSE)</f>
        <v>0</v>
      </c>
      <c r="G686" s="579" t="s">
        <v>66</v>
      </c>
    </row>
    <row r="687" spans="1:7" ht="51">
      <c r="A687" s="558">
        <f t="shared" si="14"/>
        <v>679</v>
      </c>
      <c r="B687" s="574" t="s">
        <v>186</v>
      </c>
      <c r="C687" s="574" t="s">
        <v>361</v>
      </c>
      <c r="D687" s="560">
        <f>VLOOKUP(A687,'CHK Técnico-IBUS'!$A$18:$I$86,9,FALSE)</f>
        <v>0</v>
      </c>
      <c r="E687" s="561">
        <f>VLOOKUP(A687,'CHK Técnico-IBUS'!$A$18:$I$109,6,FALSE)</f>
        <v>0</v>
      </c>
      <c r="F687" s="562">
        <f>VLOOKUP(A687,'CHK Técnico-IBUS'!$A$18:$I$109,5,FALSE)</f>
        <v>0</v>
      </c>
      <c r="G687" s="579" t="s">
        <v>66</v>
      </c>
    </row>
    <row r="688" spans="1:7" ht="38.25">
      <c r="A688" s="558">
        <f t="shared" si="14"/>
        <v>680</v>
      </c>
      <c r="B688" s="574" t="s">
        <v>187</v>
      </c>
      <c r="C688" s="574" t="s">
        <v>361</v>
      </c>
      <c r="D688" s="560">
        <f>VLOOKUP(A688,'CHK Técnico-IBUS'!$A$18:$I$86,9,FALSE)</f>
        <v>0</v>
      </c>
      <c r="E688" s="561">
        <f>VLOOKUP(A688,'CHK Técnico-IBUS'!$A$18:$I$109,6,FALSE)</f>
        <v>0</v>
      </c>
      <c r="F688" s="562">
        <f>VLOOKUP(A688,'CHK Técnico-IBUS'!$A$18:$I$109,5,FALSE)</f>
        <v>0</v>
      </c>
      <c r="G688" s="579" t="s">
        <v>66</v>
      </c>
    </row>
    <row r="689" spans="1:8">
      <c r="A689" s="558">
        <f t="shared" si="14"/>
        <v>681</v>
      </c>
      <c r="B689" s="574">
        <v>0</v>
      </c>
      <c r="C689" s="574">
        <v>0</v>
      </c>
      <c r="D689" s="560">
        <f>VLOOKUP(A689,'CHK Técnico-IBUS'!$A$18:$I$86,9,FALSE)</f>
        <v>0</v>
      </c>
      <c r="E689" s="561">
        <f>VLOOKUP(A689,'CHK Técnico-IBUS'!$A$18:$I$109,6,FALSE)</f>
        <v>0</v>
      </c>
      <c r="F689" s="562">
        <f>VLOOKUP(A689,'CHK Técnico-IBUS'!$A$18:$I$109,5,FALSE)</f>
        <v>0</v>
      </c>
      <c r="G689" s="579" t="s">
        <v>66</v>
      </c>
    </row>
    <row r="690" spans="1:8" ht="51">
      <c r="A690" s="558">
        <f t="shared" si="14"/>
        <v>682</v>
      </c>
      <c r="B690" s="574" t="s">
        <v>189</v>
      </c>
      <c r="C690" s="574" t="s">
        <v>368</v>
      </c>
      <c r="D690" s="560">
        <f>VLOOKUP(A690,'CHK Técnico-IBUS'!$A$18:$I$86,9,FALSE)</f>
        <v>0</v>
      </c>
      <c r="E690" s="561">
        <f>VLOOKUP(A690,'CHK Técnico-IBUS'!$A$18:$I$109,6,FALSE)</f>
        <v>0</v>
      </c>
      <c r="F690" s="562">
        <f>VLOOKUP(A690,'CHK Técnico-IBUS'!$A$18:$I$109,5,FALSE)</f>
        <v>0</v>
      </c>
      <c r="G690" s="579" t="s">
        <v>66</v>
      </c>
    </row>
    <row r="691" spans="1:8" ht="51">
      <c r="A691" s="558">
        <f t="shared" si="14"/>
        <v>683</v>
      </c>
      <c r="B691" s="574" t="s">
        <v>190</v>
      </c>
      <c r="C691" s="574" t="s">
        <v>371</v>
      </c>
      <c r="D691" s="560">
        <f>VLOOKUP(A691,'CHK Técnico-IBUS'!$A$18:$I$86,9,FALSE)</f>
        <v>0</v>
      </c>
      <c r="E691" s="561">
        <f>VLOOKUP(A691,'CHK Técnico-IBUS'!$A$18:$I$109,6,FALSE)</f>
        <v>0</v>
      </c>
      <c r="F691" s="562">
        <f>VLOOKUP(A691,'CHK Técnico-IBUS'!$A$18:$I$109,5,FALSE)</f>
        <v>0</v>
      </c>
      <c r="G691" s="579" t="s">
        <v>66</v>
      </c>
    </row>
    <row r="692" spans="1:8" ht="25.5">
      <c r="A692" s="558">
        <f t="shared" si="14"/>
        <v>684</v>
      </c>
      <c r="B692" s="574" t="s">
        <v>191</v>
      </c>
      <c r="C692" s="586" t="s">
        <v>365</v>
      </c>
      <c r="D692" s="560">
        <f>VLOOKUP(A692,'CHK Técnico-IBUS'!$A$18:$I$86,9,FALSE)</f>
        <v>0</v>
      </c>
      <c r="E692" s="561">
        <f>VLOOKUP(A692,'CHK Técnico-IBUS'!$A$18:$I$109,6,FALSE)</f>
        <v>0</v>
      </c>
      <c r="F692" s="562">
        <f>VLOOKUP(A692,'CHK Técnico-IBUS'!$A$18:$I$109,5,FALSE)</f>
        <v>0</v>
      </c>
      <c r="G692" s="579" t="s">
        <v>66</v>
      </c>
    </row>
    <row r="693" spans="1:8" ht="38.25">
      <c r="A693" s="558">
        <f t="shared" si="14"/>
        <v>685</v>
      </c>
      <c r="B693" s="574" t="s">
        <v>54</v>
      </c>
      <c r="C693" s="574" t="s">
        <v>365</v>
      </c>
      <c r="D693" s="560">
        <f>VLOOKUP(A693,'CHK Técnico-IBUS'!$A$18:$I$86,9,FALSE)</f>
        <v>0</v>
      </c>
      <c r="E693" s="561">
        <f>VLOOKUP(A693,'CHK Técnico-IBUS'!$A$18:$I$109,6,FALSE)</f>
        <v>0</v>
      </c>
      <c r="F693" s="562">
        <f>VLOOKUP(A693,'CHK Técnico-IBUS'!$A$18:$I$109,5,FALSE)</f>
        <v>0</v>
      </c>
      <c r="G693" s="579" t="s">
        <v>66</v>
      </c>
    </row>
    <row r="694" spans="1:8">
      <c r="A694" s="558"/>
      <c r="B694" s="574"/>
      <c r="C694" s="574"/>
      <c r="D694" s="560"/>
      <c r="E694" s="561"/>
      <c r="F694" s="562"/>
      <c r="G694" s="579"/>
    </row>
    <row r="695" spans="1:8">
      <c r="A695" s="558"/>
      <c r="B695" s="559"/>
      <c r="C695" s="574"/>
      <c r="D695" s="560"/>
      <c r="E695" s="561"/>
      <c r="F695" s="562"/>
      <c r="G695" s="579"/>
    </row>
    <row r="696" spans="1:8">
      <c r="A696" s="558"/>
      <c r="B696" s="559"/>
      <c r="C696" s="559"/>
      <c r="D696" s="560"/>
      <c r="E696" s="561"/>
      <c r="F696" s="562"/>
      <c r="G696" s="579"/>
    </row>
    <row r="698" spans="1:8">
      <c r="A698" s="598" t="s">
        <v>399</v>
      </c>
      <c r="B698" s="599" t="s">
        <v>879</v>
      </c>
    </row>
    <row r="699" spans="1:8">
      <c r="A699" s="60" t="s">
        <v>288</v>
      </c>
      <c r="B699" s="55"/>
      <c r="C699" s="54"/>
    </row>
    <row r="700" spans="1:8">
      <c r="A700" s="589" t="s">
        <v>294</v>
      </c>
      <c r="B700" s="590"/>
      <c r="C700" s="590"/>
      <c r="D700" s="590"/>
      <c r="E700" s="590"/>
      <c r="F700" s="591"/>
      <c r="G700"/>
      <c r="H700"/>
    </row>
    <row r="701" spans="1:8">
      <c r="A701" s="589" t="s">
        <v>84</v>
      </c>
      <c r="B701" s="589" t="s">
        <v>68</v>
      </c>
      <c r="C701" s="589" t="s">
        <v>64</v>
      </c>
      <c r="D701" s="589" t="s">
        <v>67</v>
      </c>
      <c r="E701" s="589" t="s">
        <v>347</v>
      </c>
      <c r="F701" s="591" t="s">
        <v>274</v>
      </c>
      <c r="G701"/>
      <c r="H701"/>
    </row>
    <row r="702" spans="1:8">
      <c r="A702" s="592">
        <v>0.2</v>
      </c>
      <c r="B702" s="590"/>
      <c r="C702" s="590"/>
      <c r="D702" s="590"/>
      <c r="E702" s="590"/>
      <c r="F702" s="593">
        <v>0.2</v>
      </c>
      <c r="G702"/>
      <c r="H702"/>
    </row>
    <row r="703" spans="1:8">
      <c r="A703" s="594">
        <v>0.5</v>
      </c>
      <c r="B703" s="595">
        <v>0</v>
      </c>
      <c r="C703" s="596" t="s">
        <v>582</v>
      </c>
      <c r="D703" s="595" t="s">
        <v>401</v>
      </c>
      <c r="E703" s="595">
        <v>0</v>
      </c>
      <c r="F703" s="597">
        <v>0.5</v>
      </c>
      <c r="G703"/>
      <c r="H703"/>
    </row>
    <row r="704" spans="1:8">
      <c r="A704"/>
      <c r="B704"/>
      <c r="C704"/>
      <c r="D704"/>
      <c r="E704"/>
      <c r="F704"/>
      <c r="G704"/>
      <c r="H704"/>
    </row>
    <row r="705" spans="1:8">
      <c r="A705"/>
      <c r="B705"/>
      <c r="C705"/>
      <c r="D705"/>
      <c r="E705"/>
      <c r="F705"/>
      <c r="G705"/>
      <c r="H705"/>
    </row>
    <row r="706" spans="1:8">
      <c r="A706"/>
      <c r="B706"/>
      <c r="C706"/>
      <c r="D706"/>
      <c r="E706"/>
      <c r="F706"/>
      <c r="G706"/>
      <c r="H706"/>
    </row>
    <row r="707" spans="1:8">
      <c r="A707"/>
      <c r="B707"/>
      <c r="C707"/>
      <c r="D707"/>
      <c r="E707"/>
      <c r="F707"/>
      <c r="G707"/>
      <c r="H707"/>
    </row>
    <row r="708" spans="1:8">
      <c r="A708"/>
      <c r="B708"/>
      <c r="C708"/>
      <c r="D708"/>
      <c r="E708"/>
      <c r="F708"/>
      <c r="G708"/>
      <c r="H708"/>
    </row>
    <row r="709" spans="1:8">
      <c r="A709"/>
      <c r="B709"/>
      <c r="C709"/>
      <c r="D709"/>
      <c r="E709"/>
      <c r="F709"/>
      <c r="G709"/>
      <c r="H709"/>
    </row>
    <row r="710" spans="1:8">
      <c r="A710"/>
      <c r="B710"/>
      <c r="C710"/>
      <c r="D710"/>
      <c r="E710"/>
      <c r="F710"/>
      <c r="G710"/>
      <c r="H710"/>
    </row>
    <row r="711" spans="1:8">
      <c r="A711"/>
      <c r="B711"/>
      <c r="C711"/>
      <c r="D711"/>
      <c r="E711"/>
      <c r="F711"/>
      <c r="G711"/>
      <c r="H711"/>
    </row>
    <row r="712" spans="1:8">
      <c r="A712"/>
      <c r="B712"/>
      <c r="C712"/>
      <c r="D712"/>
      <c r="E712"/>
      <c r="F712"/>
      <c r="G712"/>
      <c r="H712"/>
    </row>
    <row r="713" spans="1:8">
      <c r="A713"/>
      <c r="B713"/>
      <c r="C713"/>
      <c r="D713"/>
      <c r="E713"/>
      <c r="F713"/>
      <c r="G713"/>
      <c r="H713"/>
    </row>
    <row r="714" spans="1:8">
      <c r="A714"/>
      <c r="B714"/>
      <c r="C714"/>
      <c r="D714"/>
      <c r="E714"/>
      <c r="F714"/>
      <c r="G714"/>
      <c r="H714"/>
    </row>
    <row r="715" spans="1:8">
      <c r="A715"/>
      <c r="B715"/>
      <c r="C715"/>
      <c r="D715"/>
      <c r="E715"/>
      <c r="F715"/>
      <c r="G715"/>
      <c r="H715"/>
    </row>
    <row r="716" spans="1:8">
      <c r="A716"/>
      <c r="B716"/>
      <c r="C716"/>
      <c r="D716"/>
      <c r="E716"/>
      <c r="F716"/>
      <c r="G716"/>
      <c r="H716"/>
    </row>
    <row r="717" spans="1:8">
      <c r="A717"/>
      <c r="B717"/>
      <c r="C717"/>
      <c r="D717"/>
      <c r="E717"/>
      <c r="F717"/>
      <c r="G717"/>
      <c r="H717"/>
    </row>
    <row r="718" spans="1:8">
      <c r="A718"/>
      <c r="B718"/>
      <c r="C718"/>
      <c r="D718"/>
      <c r="E718"/>
      <c r="F718"/>
      <c r="G718"/>
      <c r="H718"/>
    </row>
    <row r="719" spans="1:8">
      <c r="A719"/>
      <c r="B719"/>
      <c r="C719"/>
      <c r="D719"/>
      <c r="E719"/>
      <c r="F719"/>
      <c r="G719"/>
      <c r="H719"/>
    </row>
    <row r="720" spans="1:8">
      <c r="A720"/>
      <c r="B720"/>
      <c r="C720"/>
      <c r="D720"/>
      <c r="E720"/>
      <c r="F720"/>
      <c r="G720"/>
      <c r="H720"/>
    </row>
    <row r="721" spans="1:8">
      <c r="A721"/>
      <c r="B721"/>
      <c r="C721"/>
      <c r="D721"/>
      <c r="E721"/>
      <c r="F721"/>
      <c r="G721"/>
      <c r="H721"/>
    </row>
    <row r="722" spans="1:8">
      <c r="A722"/>
      <c r="B722"/>
      <c r="C722"/>
      <c r="D722"/>
      <c r="E722"/>
      <c r="F722"/>
      <c r="G722"/>
      <c r="H722"/>
    </row>
    <row r="723" spans="1:8">
      <c r="A723"/>
      <c r="B723"/>
      <c r="C723"/>
      <c r="D723"/>
      <c r="E723"/>
      <c r="F723"/>
      <c r="G723"/>
      <c r="H723"/>
    </row>
    <row r="724" spans="1:8">
      <c r="A724"/>
      <c r="B724"/>
      <c r="C724"/>
      <c r="D724"/>
      <c r="E724"/>
      <c r="F724"/>
      <c r="G724"/>
      <c r="H724"/>
    </row>
    <row r="725" spans="1:8">
      <c r="A725"/>
      <c r="B725"/>
      <c r="C725"/>
      <c r="D725"/>
      <c r="E725"/>
      <c r="F725"/>
      <c r="G725"/>
      <c r="H725"/>
    </row>
    <row r="726" spans="1:8">
      <c r="A726"/>
      <c r="B726"/>
      <c r="C726"/>
      <c r="D726"/>
      <c r="E726"/>
      <c r="F726"/>
      <c r="G726"/>
      <c r="H726"/>
    </row>
    <row r="727" spans="1:8">
      <c r="A727"/>
      <c r="B727"/>
      <c r="C727"/>
      <c r="D727"/>
      <c r="E727"/>
      <c r="F727"/>
      <c r="G727"/>
      <c r="H727"/>
    </row>
    <row r="728" spans="1:8">
      <c r="A728"/>
      <c r="B728"/>
      <c r="C728"/>
      <c r="D728"/>
      <c r="E728"/>
      <c r="F728"/>
      <c r="G728"/>
      <c r="H728"/>
    </row>
    <row r="729" spans="1:8">
      <c r="A729"/>
      <c r="B729"/>
      <c r="C729"/>
      <c r="D729"/>
      <c r="E729"/>
      <c r="F729"/>
      <c r="G729"/>
      <c r="H729"/>
    </row>
    <row r="730" spans="1:8">
      <c r="A730"/>
      <c r="B730"/>
      <c r="C730"/>
      <c r="D730"/>
      <c r="E730"/>
      <c r="F730"/>
      <c r="G730"/>
      <c r="H730"/>
    </row>
    <row r="731" spans="1:8">
      <c r="A731"/>
      <c r="B731"/>
      <c r="C731"/>
      <c r="D731"/>
      <c r="E731"/>
      <c r="F731"/>
      <c r="G731"/>
      <c r="H731"/>
    </row>
    <row r="732" spans="1:8">
      <c r="A732"/>
      <c r="B732"/>
      <c r="C732"/>
      <c r="D732"/>
      <c r="E732"/>
      <c r="F732"/>
      <c r="G732"/>
      <c r="H732"/>
    </row>
    <row r="733" spans="1:8">
      <c r="A733"/>
      <c r="B733"/>
      <c r="C733"/>
      <c r="D733"/>
      <c r="E733"/>
      <c r="F733"/>
      <c r="G733"/>
      <c r="H733"/>
    </row>
    <row r="734" spans="1:8">
      <c r="A734"/>
      <c r="B734"/>
      <c r="C734"/>
      <c r="D734"/>
      <c r="E734"/>
      <c r="F734"/>
      <c r="G734"/>
      <c r="H734"/>
    </row>
    <row r="735" spans="1:8">
      <c r="A735"/>
      <c r="B735"/>
      <c r="C735"/>
      <c r="D735"/>
      <c r="E735"/>
      <c r="F735"/>
      <c r="G735"/>
      <c r="H735"/>
    </row>
    <row r="736" spans="1:8">
      <c r="A736"/>
      <c r="B736"/>
      <c r="C736"/>
      <c r="D736"/>
      <c r="E736"/>
      <c r="F736"/>
      <c r="G736"/>
      <c r="H736"/>
    </row>
    <row r="737" spans="1:8">
      <c r="A737"/>
      <c r="B737"/>
      <c r="C737"/>
      <c r="D737"/>
      <c r="E737"/>
      <c r="F737"/>
      <c r="G737"/>
      <c r="H737"/>
    </row>
    <row r="738" spans="1:8">
      <c r="A738"/>
      <c r="B738"/>
      <c r="C738"/>
      <c r="D738"/>
      <c r="E738"/>
      <c r="F738"/>
      <c r="G738"/>
      <c r="H738"/>
    </row>
    <row r="739" spans="1:8">
      <c r="A739"/>
      <c r="B739"/>
      <c r="C739"/>
      <c r="D739"/>
      <c r="E739"/>
      <c r="F739"/>
      <c r="G739"/>
      <c r="H739"/>
    </row>
    <row r="740" spans="1:8">
      <c r="A740"/>
      <c r="B740"/>
      <c r="C740"/>
      <c r="D740"/>
      <c r="E740"/>
      <c r="F740"/>
      <c r="G740"/>
      <c r="H740"/>
    </row>
    <row r="741" spans="1:8">
      <c r="A741"/>
      <c r="B741"/>
      <c r="C741"/>
      <c r="D741"/>
      <c r="E741"/>
      <c r="F741"/>
      <c r="G741"/>
      <c r="H741"/>
    </row>
    <row r="742" spans="1:8">
      <c r="A742"/>
      <c r="B742"/>
      <c r="C742"/>
      <c r="D742"/>
      <c r="E742"/>
      <c r="F742"/>
      <c r="G742"/>
      <c r="H742"/>
    </row>
    <row r="743" spans="1:8">
      <c r="A743"/>
      <c r="B743"/>
      <c r="C743"/>
      <c r="D743"/>
      <c r="E743"/>
      <c r="F743"/>
      <c r="G743"/>
      <c r="H743"/>
    </row>
    <row r="744" spans="1:8">
      <c r="A744"/>
      <c r="B744"/>
      <c r="C744"/>
      <c r="D744"/>
      <c r="E744"/>
      <c r="F744"/>
      <c r="G744"/>
      <c r="H744"/>
    </row>
    <row r="745" spans="1:8">
      <c r="A745"/>
      <c r="B745"/>
      <c r="C745"/>
      <c r="D745"/>
      <c r="E745"/>
      <c r="F745"/>
      <c r="G745"/>
      <c r="H745"/>
    </row>
    <row r="746" spans="1:8">
      <c r="A746"/>
      <c r="B746"/>
      <c r="C746"/>
      <c r="D746"/>
      <c r="E746"/>
      <c r="F746"/>
      <c r="G746"/>
      <c r="H746"/>
    </row>
    <row r="747" spans="1:8">
      <c r="A747"/>
      <c r="B747"/>
      <c r="C747"/>
      <c r="D747"/>
      <c r="E747"/>
      <c r="F747"/>
      <c r="G747"/>
      <c r="H747"/>
    </row>
    <row r="748" spans="1:8">
      <c r="A748"/>
      <c r="B748"/>
      <c r="C748"/>
      <c r="D748"/>
      <c r="E748"/>
      <c r="F748"/>
      <c r="G748"/>
      <c r="H748"/>
    </row>
    <row r="749" spans="1:8">
      <c r="A749"/>
      <c r="B749"/>
      <c r="C749"/>
      <c r="D749"/>
      <c r="E749"/>
      <c r="F749"/>
      <c r="G749"/>
      <c r="H749"/>
    </row>
    <row r="750" spans="1:8">
      <c r="A750"/>
      <c r="B750"/>
      <c r="C750"/>
      <c r="D750"/>
      <c r="E750"/>
      <c r="F750"/>
      <c r="G750"/>
      <c r="H750"/>
    </row>
    <row r="751" spans="1:8">
      <c r="A751"/>
      <c r="B751"/>
      <c r="C751"/>
      <c r="D751"/>
      <c r="E751"/>
      <c r="F751"/>
      <c r="G751"/>
      <c r="H751"/>
    </row>
    <row r="752" spans="1:8">
      <c r="A752"/>
      <c r="B752"/>
      <c r="C752"/>
      <c r="D752"/>
      <c r="E752"/>
      <c r="F752"/>
      <c r="G752"/>
      <c r="H752"/>
    </row>
    <row r="753" spans="1:8">
      <c r="A753"/>
      <c r="B753"/>
      <c r="C753"/>
      <c r="D753"/>
      <c r="E753"/>
      <c r="F753"/>
      <c r="G753"/>
      <c r="H753"/>
    </row>
    <row r="754" spans="1:8">
      <c r="A754"/>
      <c r="B754"/>
      <c r="C754"/>
      <c r="D754"/>
      <c r="E754"/>
      <c r="F754"/>
      <c r="G754"/>
      <c r="H754"/>
    </row>
    <row r="755" spans="1:8">
      <c r="A755"/>
      <c r="B755"/>
      <c r="C755"/>
      <c r="D755"/>
      <c r="E755"/>
      <c r="F755"/>
      <c r="G755"/>
      <c r="H755"/>
    </row>
    <row r="756" spans="1:8">
      <c r="A756"/>
      <c r="B756"/>
      <c r="C756"/>
      <c r="D756"/>
      <c r="E756"/>
      <c r="F756"/>
      <c r="G756"/>
      <c r="H756"/>
    </row>
    <row r="757" spans="1:8">
      <c r="A757"/>
      <c r="B757"/>
      <c r="C757"/>
      <c r="D757"/>
      <c r="E757"/>
      <c r="F757"/>
      <c r="G757"/>
      <c r="H757"/>
    </row>
    <row r="758" spans="1:8">
      <c r="A758"/>
      <c r="B758"/>
      <c r="C758"/>
      <c r="D758"/>
      <c r="E758"/>
      <c r="F758"/>
      <c r="G758"/>
      <c r="H758"/>
    </row>
    <row r="759" spans="1:8">
      <c r="A759"/>
      <c r="B759"/>
      <c r="C759"/>
      <c r="D759"/>
      <c r="E759"/>
      <c r="F759"/>
      <c r="G759"/>
      <c r="H759"/>
    </row>
    <row r="760" spans="1:8">
      <c r="A760"/>
      <c r="B760"/>
      <c r="C760"/>
      <c r="D760"/>
      <c r="E760"/>
      <c r="F760"/>
      <c r="G760"/>
      <c r="H760"/>
    </row>
    <row r="761" spans="1:8">
      <c r="A761"/>
      <c r="B761"/>
      <c r="C761"/>
      <c r="D761"/>
      <c r="E761"/>
      <c r="F761"/>
      <c r="G761"/>
      <c r="H761"/>
    </row>
    <row r="762" spans="1:8">
      <c r="A762"/>
      <c r="B762"/>
      <c r="C762"/>
      <c r="D762"/>
      <c r="E762"/>
      <c r="F762"/>
      <c r="G762"/>
      <c r="H762"/>
    </row>
    <row r="763" spans="1:8">
      <c r="A763"/>
      <c r="B763"/>
      <c r="C763"/>
      <c r="D763"/>
      <c r="E763"/>
      <c r="F763"/>
      <c r="G763"/>
      <c r="H763"/>
    </row>
    <row r="764" spans="1:8">
      <c r="A764"/>
      <c r="B764"/>
      <c r="C764"/>
      <c r="D764"/>
      <c r="E764"/>
      <c r="F764"/>
      <c r="G764"/>
      <c r="H764"/>
    </row>
    <row r="765" spans="1:8">
      <c r="A765"/>
      <c r="B765"/>
      <c r="C765"/>
      <c r="D765"/>
      <c r="E765"/>
      <c r="F765"/>
      <c r="G765"/>
      <c r="H765"/>
    </row>
    <row r="766" spans="1:8">
      <c r="A766"/>
      <c r="B766"/>
      <c r="C766"/>
      <c r="D766"/>
      <c r="E766"/>
      <c r="F766"/>
      <c r="G766"/>
      <c r="H766"/>
    </row>
    <row r="767" spans="1:8">
      <c r="A767"/>
      <c r="B767"/>
      <c r="C767"/>
      <c r="D767"/>
      <c r="E767"/>
      <c r="F767"/>
      <c r="G767"/>
      <c r="H767"/>
    </row>
    <row r="768" spans="1:8">
      <c r="A768"/>
      <c r="B768"/>
      <c r="C768"/>
      <c r="D768"/>
      <c r="E768"/>
      <c r="F768"/>
      <c r="G768"/>
      <c r="H768"/>
    </row>
    <row r="769" spans="1:8">
      <c r="A769"/>
      <c r="B769"/>
      <c r="C769"/>
      <c r="D769"/>
      <c r="E769"/>
      <c r="F769"/>
      <c r="G769"/>
      <c r="H769"/>
    </row>
    <row r="770" spans="1:8">
      <c r="A770"/>
      <c r="B770"/>
      <c r="C770"/>
      <c r="D770"/>
      <c r="E770"/>
      <c r="F770"/>
      <c r="G770"/>
      <c r="H770"/>
    </row>
    <row r="771" spans="1:8">
      <c r="A771"/>
      <c r="B771"/>
      <c r="C771"/>
      <c r="D771"/>
      <c r="E771"/>
      <c r="F771"/>
      <c r="G771"/>
      <c r="H771"/>
    </row>
    <row r="772" spans="1:8">
      <c r="A772"/>
      <c r="B772"/>
      <c r="C772"/>
      <c r="D772"/>
      <c r="E772"/>
      <c r="F772"/>
      <c r="G772"/>
      <c r="H772"/>
    </row>
    <row r="773" spans="1:8">
      <c r="A773"/>
      <c r="B773"/>
      <c r="C773"/>
      <c r="D773"/>
      <c r="E773"/>
      <c r="F773"/>
      <c r="G773"/>
      <c r="H773"/>
    </row>
    <row r="774" spans="1:8">
      <c r="A774"/>
      <c r="B774"/>
      <c r="C774"/>
      <c r="D774"/>
      <c r="E774"/>
      <c r="F774"/>
      <c r="G774"/>
      <c r="H774"/>
    </row>
    <row r="775" spans="1:8">
      <c r="A775"/>
      <c r="B775"/>
      <c r="C775"/>
      <c r="D775"/>
      <c r="E775"/>
      <c r="F775"/>
      <c r="G775"/>
      <c r="H775"/>
    </row>
    <row r="776" spans="1:8">
      <c r="A776"/>
      <c r="B776"/>
      <c r="C776"/>
      <c r="D776"/>
      <c r="E776"/>
      <c r="F776"/>
      <c r="G776"/>
      <c r="H776"/>
    </row>
    <row r="777" spans="1:8">
      <c r="A777"/>
      <c r="B777"/>
      <c r="C777"/>
      <c r="D777"/>
      <c r="E777"/>
      <c r="F777"/>
      <c r="G777"/>
      <c r="H777"/>
    </row>
    <row r="778" spans="1:8">
      <c r="A778"/>
      <c r="B778"/>
      <c r="C778"/>
      <c r="D778"/>
      <c r="E778"/>
      <c r="F778"/>
      <c r="G778"/>
      <c r="H778"/>
    </row>
    <row r="779" spans="1:8">
      <c r="A779"/>
      <c r="B779"/>
      <c r="C779"/>
      <c r="D779"/>
      <c r="E779"/>
      <c r="F779"/>
      <c r="G779"/>
      <c r="H779"/>
    </row>
    <row r="780" spans="1:8">
      <c r="A780"/>
      <c r="B780"/>
      <c r="C780"/>
      <c r="D780"/>
      <c r="E780"/>
      <c r="F780"/>
      <c r="G780"/>
      <c r="H780"/>
    </row>
    <row r="781" spans="1:8">
      <c r="A781"/>
      <c r="B781"/>
      <c r="C781"/>
      <c r="D781"/>
      <c r="E781"/>
      <c r="F781"/>
      <c r="G781"/>
      <c r="H781"/>
    </row>
    <row r="782" spans="1:8">
      <c r="A782"/>
      <c r="B782"/>
      <c r="C782"/>
      <c r="D782"/>
      <c r="E782"/>
      <c r="F782"/>
      <c r="G782"/>
      <c r="H782"/>
    </row>
    <row r="783" spans="1:8">
      <c r="A783"/>
      <c r="B783"/>
      <c r="C783"/>
      <c r="D783"/>
      <c r="E783"/>
      <c r="F783"/>
      <c r="G783"/>
      <c r="H783"/>
    </row>
    <row r="784" spans="1:8">
      <c r="A784"/>
      <c r="B784"/>
      <c r="C784"/>
      <c r="D784"/>
      <c r="E784"/>
      <c r="F784"/>
      <c r="G784"/>
      <c r="H784"/>
    </row>
    <row r="785" spans="1:8">
      <c r="A785"/>
      <c r="B785"/>
      <c r="C785"/>
      <c r="D785"/>
      <c r="E785"/>
      <c r="F785"/>
      <c r="G785"/>
      <c r="H785"/>
    </row>
    <row r="786" spans="1:8">
      <c r="A786"/>
      <c r="B786"/>
      <c r="C786"/>
      <c r="D786"/>
      <c r="E786"/>
      <c r="F786"/>
      <c r="G786"/>
      <c r="H786"/>
    </row>
    <row r="787" spans="1:8">
      <c r="A787"/>
      <c r="B787"/>
      <c r="C787"/>
      <c r="D787"/>
      <c r="E787"/>
      <c r="F787"/>
      <c r="G787"/>
      <c r="H787"/>
    </row>
    <row r="788" spans="1:8">
      <c r="A788"/>
      <c r="B788"/>
      <c r="C788"/>
      <c r="D788"/>
      <c r="E788"/>
      <c r="F788"/>
      <c r="G788"/>
      <c r="H788"/>
    </row>
    <row r="789" spans="1:8">
      <c r="A789"/>
      <c r="B789"/>
      <c r="C789"/>
      <c r="D789"/>
      <c r="E789"/>
      <c r="F789"/>
      <c r="G789"/>
      <c r="H789"/>
    </row>
    <row r="790" spans="1:8">
      <c r="A790"/>
      <c r="B790"/>
      <c r="C790"/>
      <c r="D790"/>
      <c r="E790"/>
      <c r="F790"/>
      <c r="G790"/>
      <c r="H790"/>
    </row>
    <row r="791" spans="1:8">
      <c r="A791"/>
      <c r="B791"/>
      <c r="C791"/>
      <c r="D791"/>
      <c r="E791"/>
      <c r="F791"/>
      <c r="G791"/>
      <c r="H791"/>
    </row>
    <row r="792" spans="1:8">
      <c r="A792"/>
      <c r="B792"/>
      <c r="C792"/>
      <c r="D792"/>
      <c r="E792"/>
      <c r="F792"/>
      <c r="G792"/>
      <c r="H792"/>
    </row>
    <row r="793" spans="1:8">
      <c r="A793"/>
      <c r="B793"/>
      <c r="C793"/>
      <c r="D793"/>
      <c r="E793"/>
      <c r="F793"/>
      <c r="G793"/>
      <c r="H793"/>
    </row>
    <row r="794" spans="1:8">
      <c r="A794"/>
      <c r="B794"/>
      <c r="C794"/>
      <c r="D794"/>
      <c r="E794"/>
      <c r="F794"/>
      <c r="G794"/>
      <c r="H794"/>
    </row>
    <row r="795" spans="1:8">
      <c r="A795"/>
      <c r="B795"/>
      <c r="C795"/>
      <c r="D795"/>
      <c r="E795"/>
      <c r="F795"/>
      <c r="G795"/>
      <c r="H795"/>
    </row>
    <row r="796" spans="1:8">
      <c r="A796"/>
      <c r="B796"/>
      <c r="C796"/>
      <c r="D796"/>
      <c r="E796"/>
      <c r="F796"/>
      <c r="G796"/>
      <c r="H796"/>
    </row>
    <row r="797" spans="1:8">
      <c r="A797"/>
      <c r="B797"/>
      <c r="C797"/>
      <c r="D797"/>
      <c r="E797"/>
      <c r="F797"/>
      <c r="G797"/>
      <c r="H797"/>
    </row>
    <row r="798" spans="1:8">
      <c r="A798"/>
      <c r="B798"/>
      <c r="C798"/>
      <c r="D798"/>
      <c r="E798"/>
      <c r="F798"/>
      <c r="G798"/>
      <c r="H798"/>
    </row>
    <row r="799" spans="1:8">
      <c r="A799"/>
      <c r="B799"/>
      <c r="C799"/>
      <c r="D799"/>
      <c r="E799"/>
      <c r="F799"/>
      <c r="G799"/>
      <c r="H799"/>
    </row>
    <row r="800" spans="1:8">
      <c r="A800"/>
      <c r="B800"/>
      <c r="C800"/>
      <c r="D800"/>
      <c r="E800"/>
      <c r="F800"/>
      <c r="G800"/>
      <c r="H800"/>
    </row>
    <row r="801" spans="1:8">
      <c r="A801"/>
      <c r="B801"/>
      <c r="C801"/>
      <c r="D801"/>
      <c r="E801"/>
      <c r="F801"/>
      <c r="G801"/>
      <c r="H801"/>
    </row>
    <row r="802" spans="1:8">
      <c r="A802"/>
      <c r="B802"/>
      <c r="C802"/>
      <c r="D802"/>
      <c r="E802"/>
      <c r="F802"/>
      <c r="G802"/>
      <c r="H802"/>
    </row>
    <row r="803" spans="1:8">
      <c r="A803"/>
      <c r="B803"/>
      <c r="C803"/>
      <c r="D803"/>
      <c r="E803"/>
      <c r="F803"/>
      <c r="G803"/>
      <c r="H803"/>
    </row>
    <row r="804" spans="1:8">
      <c r="A804"/>
      <c r="B804"/>
      <c r="C804"/>
      <c r="D804"/>
      <c r="E804"/>
      <c r="F804"/>
      <c r="G804"/>
      <c r="H804"/>
    </row>
    <row r="805" spans="1:8">
      <c r="A805"/>
      <c r="B805"/>
      <c r="C805"/>
      <c r="D805"/>
      <c r="E805"/>
      <c r="F805"/>
      <c r="G805"/>
      <c r="H805"/>
    </row>
    <row r="806" spans="1:8">
      <c r="A806"/>
      <c r="B806"/>
      <c r="C806"/>
      <c r="D806"/>
      <c r="E806"/>
      <c r="F806"/>
      <c r="G806"/>
      <c r="H806"/>
    </row>
    <row r="807" spans="1:8">
      <c r="A807"/>
      <c r="B807"/>
      <c r="C807"/>
      <c r="D807"/>
      <c r="E807"/>
      <c r="F807"/>
      <c r="G807"/>
      <c r="H807"/>
    </row>
    <row r="808" spans="1:8">
      <c r="A808"/>
      <c r="B808"/>
      <c r="C808"/>
      <c r="D808"/>
      <c r="E808"/>
      <c r="F808"/>
      <c r="G808"/>
      <c r="H808"/>
    </row>
    <row r="809" spans="1:8">
      <c r="A809"/>
      <c r="B809"/>
      <c r="C809"/>
      <c r="D809"/>
      <c r="E809"/>
      <c r="F809"/>
      <c r="G809"/>
      <c r="H809"/>
    </row>
    <row r="810" spans="1:8">
      <c r="A810"/>
      <c r="B810"/>
      <c r="C810"/>
      <c r="D810"/>
      <c r="E810"/>
      <c r="F810"/>
      <c r="G810"/>
      <c r="H810"/>
    </row>
    <row r="811" spans="1:8">
      <c r="A811"/>
      <c r="B811"/>
      <c r="C811"/>
      <c r="D811"/>
      <c r="E811"/>
      <c r="F811"/>
      <c r="G811"/>
      <c r="H811"/>
    </row>
    <row r="812" spans="1:8">
      <c r="A812"/>
      <c r="B812"/>
      <c r="C812"/>
      <c r="D812"/>
      <c r="E812"/>
      <c r="F812"/>
      <c r="G812"/>
      <c r="H812"/>
    </row>
    <row r="813" spans="1:8">
      <c r="A813"/>
      <c r="B813"/>
      <c r="C813"/>
      <c r="D813"/>
      <c r="E813"/>
      <c r="F813"/>
      <c r="G813"/>
      <c r="H813"/>
    </row>
    <row r="814" spans="1:8">
      <c r="A814"/>
      <c r="B814"/>
      <c r="C814"/>
      <c r="D814"/>
      <c r="E814"/>
      <c r="F814"/>
      <c r="G814"/>
      <c r="H814"/>
    </row>
    <row r="815" spans="1:8">
      <c r="A815"/>
      <c r="B815"/>
      <c r="C815"/>
      <c r="D815"/>
      <c r="E815"/>
      <c r="F815"/>
      <c r="G815"/>
      <c r="H815"/>
    </row>
    <row r="816" spans="1:8">
      <c r="A816"/>
      <c r="B816"/>
      <c r="C816"/>
      <c r="D816"/>
      <c r="E816"/>
      <c r="F816"/>
      <c r="G816"/>
      <c r="H816"/>
    </row>
    <row r="817" spans="1:8">
      <c r="A817"/>
      <c r="B817"/>
      <c r="C817"/>
      <c r="D817"/>
      <c r="E817"/>
      <c r="F817"/>
      <c r="G817"/>
      <c r="H817"/>
    </row>
    <row r="818" spans="1:8">
      <c r="A818"/>
      <c r="B818"/>
      <c r="C818"/>
      <c r="D818"/>
      <c r="E818"/>
      <c r="F818"/>
      <c r="G818"/>
      <c r="H818"/>
    </row>
    <row r="819" spans="1:8">
      <c r="A819"/>
      <c r="B819"/>
      <c r="C819"/>
      <c r="D819"/>
      <c r="E819"/>
      <c r="F819"/>
      <c r="G819"/>
      <c r="H819"/>
    </row>
    <row r="820" spans="1:8">
      <c r="A820"/>
      <c r="B820"/>
      <c r="C820"/>
      <c r="D820"/>
      <c r="E820"/>
      <c r="F820"/>
      <c r="G820"/>
      <c r="H820"/>
    </row>
    <row r="821" spans="1:8">
      <c r="A821"/>
      <c r="B821"/>
      <c r="C821"/>
      <c r="D821"/>
      <c r="E821"/>
      <c r="F821"/>
      <c r="G821"/>
      <c r="H821"/>
    </row>
    <row r="822" spans="1:8">
      <c r="A822"/>
      <c r="B822"/>
      <c r="C822"/>
      <c r="D822"/>
      <c r="E822"/>
      <c r="F822"/>
      <c r="G822"/>
      <c r="H822"/>
    </row>
    <row r="823" spans="1:8">
      <c r="A823"/>
      <c r="B823"/>
      <c r="C823"/>
      <c r="D823"/>
      <c r="E823"/>
      <c r="F823"/>
      <c r="G823"/>
      <c r="H823"/>
    </row>
    <row r="824" spans="1:8">
      <c r="A824"/>
      <c r="B824"/>
      <c r="C824"/>
      <c r="D824"/>
      <c r="E824"/>
      <c r="F824"/>
      <c r="G824"/>
      <c r="H824"/>
    </row>
    <row r="825" spans="1:8">
      <c r="A825"/>
      <c r="B825"/>
      <c r="C825"/>
      <c r="D825"/>
      <c r="E825"/>
      <c r="F825"/>
      <c r="G825"/>
      <c r="H825"/>
    </row>
    <row r="826" spans="1:8">
      <c r="A826"/>
      <c r="B826"/>
      <c r="C826"/>
      <c r="D826"/>
      <c r="E826"/>
      <c r="F826"/>
      <c r="G826"/>
      <c r="H826"/>
    </row>
    <row r="827" spans="1:8">
      <c r="A827"/>
      <c r="B827"/>
      <c r="C827"/>
      <c r="D827"/>
      <c r="E827"/>
      <c r="F827"/>
      <c r="G827"/>
      <c r="H827"/>
    </row>
    <row r="828" spans="1:8">
      <c r="A828"/>
      <c r="B828"/>
      <c r="C828"/>
      <c r="D828"/>
      <c r="E828"/>
      <c r="F828"/>
      <c r="G828"/>
      <c r="H828"/>
    </row>
    <row r="829" spans="1:8">
      <c r="A829"/>
      <c r="B829"/>
      <c r="C829"/>
      <c r="D829"/>
      <c r="E829"/>
      <c r="F829"/>
      <c r="G829"/>
      <c r="H829"/>
    </row>
    <row r="830" spans="1:8">
      <c r="A830"/>
      <c r="B830"/>
      <c r="C830"/>
      <c r="D830"/>
      <c r="E830"/>
      <c r="F830"/>
      <c r="G830"/>
      <c r="H830"/>
    </row>
    <row r="831" spans="1:8">
      <c r="A831"/>
      <c r="B831"/>
      <c r="C831"/>
      <c r="D831"/>
      <c r="E831"/>
      <c r="F831"/>
      <c r="G831"/>
      <c r="H831"/>
    </row>
    <row r="832" spans="1:8">
      <c r="A832"/>
      <c r="B832"/>
      <c r="C832"/>
      <c r="D832"/>
      <c r="E832"/>
      <c r="F832"/>
      <c r="G832"/>
      <c r="H832"/>
    </row>
    <row r="833" spans="1:8">
      <c r="A833"/>
      <c r="B833"/>
      <c r="C833"/>
      <c r="D833"/>
      <c r="E833"/>
      <c r="F833"/>
      <c r="G833"/>
      <c r="H833"/>
    </row>
    <row r="834" spans="1:8">
      <c r="A834"/>
      <c r="B834"/>
      <c r="C834"/>
      <c r="D834"/>
      <c r="E834"/>
      <c r="F834"/>
      <c r="G834"/>
      <c r="H834"/>
    </row>
    <row r="835" spans="1:8">
      <c r="A835"/>
      <c r="B835"/>
      <c r="C835"/>
      <c r="D835"/>
      <c r="E835"/>
      <c r="F835"/>
      <c r="G835"/>
      <c r="H835"/>
    </row>
    <row r="836" spans="1:8">
      <c r="A836"/>
      <c r="B836"/>
      <c r="C836"/>
      <c r="D836"/>
      <c r="E836"/>
      <c r="F836"/>
      <c r="G836"/>
      <c r="H836"/>
    </row>
    <row r="837" spans="1:8">
      <c r="A837"/>
      <c r="B837"/>
      <c r="C837"/>
      <c r="D837"/>
      <c r="E837"/>
      <c r="F837"/>
      <c r="G837"/>
      <c r="H837"/>
    </row>
    <row r="838" spans="1:8">
      <c r="A838"/>
      <c r="B838"/>
      <c r="C838"/>
      <c r="D838"/>
      <c r="E838"/>
      <c r="F838"/>
      <c r="G838"/>
      <c r="H838"/>
    </row>
    <row r="839" spans="1:8">
      <c r="A839"/>
      <c r="B839"/>
      <c r="C839"/>
      <c r="D839"/>
      <c r="E839"/>
      <c r="F839"/>
      <c r="G839"/>
      <c r="H839"/>
    </row>
    <row r="840" spans="1:8">
      <c r="A840"/>
      <c r="B840"/>
      <c r="C840"/>
      <c r="D840"/>
      <c r="E840"/>
      <c r="F840"/>
      <c r="G840"/>
      <c r="H840"/>
    </row>
    <row r="841" spans="1:8">
      <c r="A841"/>
      <c r="B841"/>
      <c r="C841"/>
      <c r="D841"/>
      <c r="E841"/>
      <c r="F841"/>
      <c r="G841"/>
      <c r="H841"/>
    </row>
    <row r="842" spans="1:8">
      <c r="A842"/>
      <c r="B842"/>
      <c r="C842"/>
      <c r="D842"/>
      <c r="E842"/>
      <c r="F842"/>
      <c r="G842"/>
      <c r="H842"/>
    </row>
    <row r="843" spans="1:8">
      <c r="A843"/>
      <c r="B843"/>
      <c r="C843"/>
      <c r="D843"/>
      <c r="E843"/>
      <c r="F843"/>
      <c r="G843"/>
      <c r="H843"/>
    </row>
    <row r="844" spans="1:8">
      <c r="A844"/>
      <c r="B844"/>
      <c r="C844"/>
      <c r="D844"/>
      <c r="E844"/>
      <c r="F844"/>
      <c r="G844"/>
      <c r="H844"/>
    </row>
    <row r="845" spans="1:8">
      <c r="A845"/>
      <c r="B845"/>
      <c r="C845"/>
      <c r="D845"/>
      <c r="E845"/>
      <c r="F845"/>
      <c r="G845"/>
      <c r="H845"/>
    </row>
    <row r="846" spans="1:8">
      <c r="A846"/>
      <c r="B846"/>
      <c r="C846"/>
      <c r="D846"/>
      <c r="E846"/>
      <c r="F846"/>
      <c r="G846"/>
      <c r="H846"/>
    </row>
    <row r="847" spans="1:8">
      <c r="A847"/>
      <c r="B847"/>
      <c r="C847"/>
      <c r="D847"/>
      <c r="E847"/>
      <c r="F847"/>
      <c r="G847"/>
      <c r="H847"/>
    </row>
    <row r="848" spans="1:8">
      <c r="A848"/>
      <c r="B848"/>
      <c r="C848"/>
      <c r="D848"/>
      <c r="E848"/>
      <c r="F848"/>
      <c r="G848"/>
      <c r="H848"/>
    </row>
    <row r="849" spans="1:8">
      <c r="A849"/>
      <c r="B849"/>
      <c r="C849"/>
      <c r="D849"/>
      <c r="E849"/>
      <c r="F849"/>
      <c r="G849"/>
      <c r="H849"/>
    </row>
    <row r="850" spans="1:8">
      <c r="A850"/>
      <c r="B850"/>
      <c r="C850"/>
      <c r="D850"/>
      <c r="E850"/>
      <c r="F850"/>
      <c r="G850"/>
      <c r="H850"/>
    </row>
    <row r="851" spans="1:8">
      <c r="A851"/>
      <c r="B851"/>
      <c r="C851"/>
      <c r="D851"/>
      <c r="E851"/>
      <c r="F851"/>
      <c r="G851"/>
      <c r="H851"/>
    </row>
    <row r="852" spans="1:8">
      <c r="A852"/>
      <c r="B852"/>
      <c r="C852"/>
      <c r="D852"/>
      <c r="E852"/>
      <c r="F852"/>
      <c r="G852"/>
      <c r="H852"/>
    </row>
    <row r="853" spans="1:8">
      <c r="A853"/>
      <c r="B853"/>
      <c r="C853"/>
      <c r="D853"/>
      <c r="E853"/>
      <c r="F853"/>
      <c r="G853"/>
      <c r="H853"/>
    </row>
    <row r="854" spans="1:8">
      <c r="A854"/>
      <c r="B854"/>
      <c r="C854"/>
      <c r="D854"/>
      <c r="E854"/>
      <c r="F854"/>
      <c r="G854"/>
      <c r="H854"/>
    </row>
    <row r="855" spans="1:8">
      <c r="A855"/>
      <c r="B855"/>
      <c r="C855"/>
      <c r="D855"/>
      <c r="E855"/>
      <c r="F855"/>
      <c r="G855"/>
      <c r="H855"/>
    </row>
    <row r="856" spans="1:8">
      <c r="A856"/>
      <c r="B856"/>
      <c r="C856"/>
      <c r="D856"/>
      <c r="E856"/>
      <c r="F856"/>
      <c r="G856"/>
      <c r="H856"/>
    </row>
    <row r="857" spans="1:8">
      <c r="A857"/>
      <c r="B857"/>
      <c r="C857"/>
      <c r="D857"/>
      <c r="E857"/>
      <c r="F857"/>
      <c r="G857"/>
      <c r="H857"/>
    </row>
    <row r="858" spans="1:8">
      <c r="A858"/>
      <c r="B858"/>
      <c r="C858"/>
      <c r="D858"/>
      <c r="E858"/>
      <c r="F858"/>
      <c r="G858"/>
      <c r="H858"/>
    </row>
    <row r="859" spans="1:8">
      <c r="A859"/>
      <c r="B859"/>
      <c r="C859"/>
      <c r="D859"/>
      <c r="E859"/>
      <c r="F859"/>
      <c r="G859"/>
      <c r="H859"/>
    </row>
    <row r="860" spans="1:8">
      <c r="A860"/>
      <c r="B860"/>
      <c r="C860"/>
      <c r="D860"/>
      <c r="E860"/>
      <c r="F860"/>
      <c r="G860"/>
      <c r="H860"/>
    </row>
    <row r="861" spans="1:8">
      <c r="A861"/>
      <c r="B861"/>
      <c r="C861"/>
      <c r="D861"/>
      <c r="E861"/>
      <c r="F861"/>
      <c r="G861"/>
      <c r="H861"/>
    </row>
    <row r="862" spans="1:8">
      <c r="A862"/>
      <c r="B862"/>
      <c r="C862"/>
      <c r="D862"/>
      <c r="E862"/>
      <c r="F862"/>
      <c r="G862"/>
      <c r="H862"/>
    </row>
    <row r="863" spans="1:8">
      <c r="A863"/>
      <c r="B863"/>
      <c r="C863"/>
      <c r="D863"/>
      <c r="E863"/>
      <c r="F863"/>
      <c r="G863"/>
      <c r="H863"/>
    </row>
    <row r="864" spans="1:8">
      <c r="A864"/>
      <c r="B864"/>
      <c r="C864"/>
      <c r="D864"/>
      <c r="E864"/>
      <c r="F864"/>
      <c r="G864"/>
      <c r="H864"/>
    </row>
    <row r="865" spans="1:8">
      <c r="A865"/>
      <c r="B865"/>
      <c r="C865"/>
      <c r="D865"/>
      <c r="E865"/>
      <c r="F865"/>
      <c r="G865"/>
      <c r="H865"/>
    </row>
    <row r="866" spans="1:8">
      <c r="A866"/>
      <c r="B866"/>
      <c r="C866"/>
      <c r="D866"/>
      <c r="E866"/>
      <c r="F866"/>
      <c r="G866"/>
      <c r="H866"/>
    </row>
    <row r="867" spans="1:8">
      <c r="A867"/>
      <c r="B867"/>
      <c r="C867"/>
      <c r="D867"/>
      <c r="E867"/>
      <c r="F867"/>
      <c r="G867"/>
      <c r="H867"/>
    </row>
    <row r="868" spans="1:8">
      <c r="A868"/>
      <c r="B868"/>
      <c r="C868"/>
      <c r="D868"/>
      <c r="E868"/>
      <c r="F868"/>
      <c r="G868"/>
      <c r="H868"/>
    </row>
    <row r="869" spans="1:8">
      <c r="A869"/>
      <c r="B869"/>
      <c r="C869"/>
      <c r="D869"/>
      <c r="E869"/>
      <c r="F869"/>
      <c r="G869"/>
      <c r="H869"/>
    </row>
    <row r="870" spans="1:8">
      <c r="A870"/>
      <c r="B870"/>
      <c r="C870"/>
      <c r="D870"/>
      <c r="E870"/>
      <c r="F870"/>
      <c r="G870"/>
      <c r="H870"/>
    </row>
    <row r="871" spans="1:8">
      <c r="A871"/>
      <c r="B871"/>
      <c r="C871"/>
      <c r="D871"/>
      <c r="E871"/>
      <c r="F871"/>
      <c r="G871"/>
      <c r="H871"/>
    </row>
    <row r="872" spans="1:8">
      <c r="A872"/>
      <c r="B872"/>
      <c r="C872"/>
      <c r="D872"/>
      <c r="E872"/>
      <c r="F872"/>
      <c r="G872"/>
      <c r="H872"/>
    </row>
    <row r="873" spans="1:8">
      <c r="A873"/>
      <c r="B873"/>
      <c r="C873"/>
      <c r="D873"/>
      <c r="E873"/>
      <c r="F873"/>
      <c r="G873"/>
      <c r="H873"/>
    </row>
    <row r="874" spans="1:8">
      <c r="A874"/>
      <c r="B874"/>
      <c r="C874"/>
      <c r="D874"/>
      <c r="E874"/>
      <c r="F874"/>
      <c r="G874"/>
      <c r="H874"/>
    </row>
    <row r="875" spans="1:8">
      <c r="A875"/>
      <c r="B875"/>
      <c r="C875"/>
      <c r="D875"/>
      <c r="E875"/>
      <c r="F875"/>
      <c r="G875"/>
      <c r="H875"/>
    </row>
    <row r="876" spans="1:8">
      <c r="A876"/>
      <c r="B876"/>
      <c r="C876"/>
      <c r="D876"/>
      <c r="E876"/>
      <c r="F876"/>
      <c r="G876"/>
      <c r="H876"/>
    </row>
    <row r="877" spans="1:8">
      <c r="A877"/>
      <c r="B877"/>
      <c r="C877"/>
      <c r="D877"/>
      <c r="E877"/>
      <c r="F877"/>
      <c r="G877"/>
      <c r="H877"/>
    </row>
    <row r="878" spans="1:8">
      <c r="A878"/>
      <c r="B878"/>
      <c r="C878"/>
      <c r="D878"/>
      <c r="E878"/>
      <c r="F878"/>
      <c r="G878"/>
      <c r="H878"/>
    </row>
    <row r="879" spans="1:8">
      <c r="A879"/>
      <c r="B879"/>
      <c r="C879"/>
      <c r="D879"/>
      <c r="E879"/>
      <c r="F879"/>
      <c r="G879"/>
      <c r="H879"/>
    </row>
    <row r="880" spans="1:8">
      <c r="A880"/>
      <c r="B880"/>
      <c r="C880"/>
      <c r="D880"/>
      <c r="E880"/>
      <c r="F880"/>
      <c r="G880"/>
      <c r="H880"/>
    </row>
    <row r="881" spans="1:8">
      <c r="A881"/>
      <c r="B881"/>
      <c r="C881"/>
      <c r="D881"/>
      <c r="E881"/>
      <c r="F881"/>
      <c r="G881"/>
      <c r="H881"/>
    </row>
    <row r="882" spans="1:8">
      <c r="A882"/>
      <c r="B882"/>
      <c r="C882"/>
      <c r="D882"/>
      <c r="E882"/>
      <c r="F882"/>
      <c r="G882"/>
      <c r="H882"/>
    </row>
    <row r="883" spans="1:8">
      <c r="A883"/>
      <c r="B883"/>
      <c r="C883"/>
      <c r="D883"/>
      <c r="E883"/>
      <c r="F883"/>
      <c r="G883"/>
      <c r="H883"/>
    </row>
    <row r="884" spans="1:8">
      <c r="A884"/>
      <c r="B884"/>
      <c r="C884"/>
      <c r="D884"/>
      <c r="E884"/>
      <c r="F884"/>
      <c r="G884"/>
      <c r="H884"/>
    </row>
    <row r="885" spans="1:8">
      <c r="A885"/>
      <c r="B885"/>
      <c r="C885"/>
      <c r="D885"/>
      <c r="E885"/>
      <c r="F885"/>
      <c r="G885"/>
      <c r="H885"/>
    </row>
    <row r="886" spans="1:8">
      <c r="A886"/>
      <c r="B886"/>
      <c r="C886"/>
      <c r="D886"/>
      <c r="E886"/>
      <c r="F886"/>
      <c r="G886"/>
      <c r="H886"/>
    </row>
    <row r="887" spans="1:8">
      <c r="A887"/>
      <c r="B887"/>
      <c r="C887"/>
      <c r="D887"/>
      <c r="E887"/>
      <c r="F887"/>
      <c r="G887"/>
      <c r="H887"/>
    </row>
    <row r="888" spans="1:8">
      <c r="A888"/>
      <c r="B888"/>
      <c r="C888"/>
      <c r="D888"/>
      <c r="E888"/>
      <c r="F888"/>
      <c r="G888"/>
      <c r="H888"/>
    </row>
    <row r="889" spans="1:8">
      <c r="A889"/>
      <c r="B889"/>
      <c r="C889"/>
      <c r="D889"/>
      <c r="E889"/>
      <c r="F889"/>
      <c r="G889"/>
      <c r="H889"/>
    </row>
    <row r="890" spans="1:8">
      <c r="A890"/>
      <c r="B890"/>
      <c r="C890"/>
      <c r="D890"/>
      <c r="E890"/>
      <c r="F890"/>
      <c r="G890"/>
      <c r="H890"/>
    </row>
    <row r="891" spans="1:8">
      <c r="A891"/>
      <c r="B891"/>
      <c r="C891"/>
      <c r="D891"/>
      <c r="E891"/>
      <c r="F891"/>
      <c r="G891"/>
      <c r="H891"/>
    </row>
    <row r="892" spans="1:8">
      <c r="A892"/>
      <c r="B892"/>
      <c r="C892"/>
      <c r="D892"/>
      <c r="E892"/>
      <c r="F892"/>
      <c r="G892"/>
      <c r="H892"/>
    </row>
    <row r="893" spans="1:8">
      <c r="A893"/>
      <c r="B893"/>
      <c r="C893"/>
      <c r="D893"/>
      <c r="E893"/>
      <c r="F893"/>
      <c r="G893"/>
      <c r="H893"/>
    </row>
    <row r="894" spans="1:8">
      <c r="A894"/>
      <c r="B894"/>
      <c r="C894"/>
      <c r="D894"/>
      <c r="E894"/>
      <c r="F894"/>
      <c r="G894"/>
      <c r="H894"/>
    </row>
    <row r="895" spans="1:8">
      <c r="A895"/>
      <c r="B895"/>
      <c r="C895"/>
      <c r="D895"/>
      <c r="E895"/>
      <c r="F895"/>
      <c r="G895"/>
      <c r="H895"/>
    </row>
    <row r="896" spans="1:8">
      <c r="A896"/>
      <c r="B896"/>
      <c r="C896"/>
      <c r="D896"/>
      <c r="E896"/>
      <c r="F896"/>
      <c r="G896"/>
      <c r="H896"/>
    </row>
    <row r="897" spans="1:8">
      <c r="A897"/>
      <c r="B897"/>
      <c r="C897"/>
      <c r="D897"/>
      <c r="E897"/>
      <c r="F897"/>
      <c r="G897"/>
      <c r="H897"/>
    </row>
    <row r="898" spans="1:8">
      <c r="A898"/>
      <c r="B898"/>
      <c r="C898"/>
      <c r="D898"/>
      <c r="E898"/>
      <c r="F898"/>
      <c r="G898"/>
      <c r="H898"/>
    </row>
    <row r="899" spans="1:8">
      <c r="A899"/>
      <c r="B899"/>
      <c r="C899"/>
      <c r="D899"/>
      <c r="E899"/>
      <c r="F899"/>
      <c r="G899"/>
      <c r="H899"/>
    </row>
    <row r="900" spans="1:8">
      <c r="A900"/>
      <c r="B900"/>
      <c r="C900"/>
      <c r="D900"/>
      <c r="E900"/>
      <c r="F900"/>
      <c r="G900"/>
      <c r="H900"/>
    </row>
    <row r="901" spans="1:8">
      <c r="A901"/>
      <c r="B901"/>
      <c r="C901"/>
      <c r="D901"/>
      <c r="E901"/>
      <c r="F901"/>
      <c r="G901"/>
      <c r="H901"/>
    </row>
    <row r="902" spans="1:8">
      <c r="A902"/>
      <c r="B902"/>
      <c r="C902"/>
      <c r="D902"/>
      <c r="E902"/>
      <c r="F902"/>
      <c r="G902"/>
      <c r="H902"/>
    </row>
    <row r="903" spans="1:8">
      <c r="A903"/>
      <c r="B903"/>
      <c r="C903"/>
      <c r="D903"/>
      <c r="E903"/>
      <c r="F903"/>
      <c r="G903"/>
      <c r="H903"/>
    </row>
    <row r="904" spans="1:8">
      <c r="A904"/>
      <c r="B904"/>
      <c r="C904"/>
      <c r="D904"/>
      <c r="E904"/>
      <c r="F904"/>
      <c r="G904"/>
      <c r="H904"/>
    </row>
    <row r="905" spans="1:8">
      <c r="A905"/>
      <c r="B905"/>
      <c r="C905"/>
      <c r="D905"/>
      <c r="E905"/>
      <c r="F905"/>
      <c r="G905"/>
      <c r="H905"/>
    </row>
    <row r="906" spans="1:8">
      <c r="A906"/>
      <c r="B906"/>
      <c r="C906"/>
      <c r="D906"/>
      <c r="E906"/>
      <c r="F906"/>
      <c r="G906"/>
      <c r="H906"/>
    </row>
    <row r="907" spans="1:8">
      <c r="A907"/>
      <c r="B907"/>
      <c r="C907"/>
      <c r="D907"/>
      <c r="E907"/>
      <c r="F907"/>
      <c r="G907"/>
      <c r="H907"/>
    </row>
    <row r="908" spans="1:8">
      <c r="A908"/>
      <c r="B908"/>
      <c r="C908"/>
      <c r="D908"/>
      <c r="E908"/>
      <c r="F908"/>
      <c r="G908"/>
      <c r="H908"/>
    </row>
    <row r="909" spans="1:8">
      <c r="A909"/>
      <c r="B909"/>
      <c r="C909"/>
      <c r="D909"/>
      <c r="E909"/>
      <c r="F909"/>
      <c r="G909"/>
      <c r="H909"/>
    </row>
    <row r="910" spans="1:8">
      <c r="A910"/>
      <c r="B910"/>
      <c r="C910"/>
      <c r="D910"/>
      <c r="E910"/>
      <c r="F910"/>
      <c r="G910"/>
      <c r="H910"/>
    </row>
    <row r="911" spans="1:8">
      <c r="A911"/>
      <c r="B911"/>
      <c r="C911"/>
      <c r="D911"/>
      <c r="E911"/>
      <c r="F911"/>
      <c r="G911"/>
      <c r="H911"/>
    </row>
    <row r="912" spans="1:8">
      <c r="A912"/>
      <c r="B912"/>
      <c r="C912"/>
      <c r="D912"/>
      <c r="E912"/>
      <c r="F912"/>
      <c r="G912"/>
      <c r="H912"/>
    </row>
    <row r="913" spans="1:8">
      <c r="A913"/>
      <c r="B913"/>
      <c r="C913"/>
      <c r="D913"/>
      <c r="E913"/>
      <c r="F913"/>
      <c r="G913"/>
      <c r="H913"/>
    </row>
    <row r="914" spans="1:8">
      <c r="A914"/>
      <c r="B914"/>
      <c r="C914"/>
      <c r="D914"/>
      <c r="E914"/>
      <c r="F914"/>
      <c r="G914"/>
      <c r="H914"/>
    </row>
    <row r="915" spans="1:8">
      <c r="A915"/>
      <c r="B915"/>
      <c r="C915"/>
      <c r="D915"/>
      <c r="E915"/>
      <c r="F915"/>
      <c r="G915"/>
      <c r="H915"/>
    </row>
    <row r="916" spans="1:8">
      <c r="A916"/>
      <c r="B916"/>
      <c r="C916"/>
      <c r="D916"/>
      <c r="E916"/>
      <c r="F916"/>
      <c r="G916"/>
      <c r="H916"/>
    </row>
    <row r="917" spans="1:8">
      <c r="A917"/>
      <c r="B917"/>
      <c r="C917"/>
      <c r="D917"/>
      <c r="E917"/>
      <c r="F917"/>
      <c r="G917"/>
      <c r="H917"/>
    </row>
    <row r="918" spans="1:8">
      <c r="A918"/>
      <c r="B918"/>
      <c r="C918"/>
      <c r="D918"/>
      <c r="E918"/>
      <c r="F918"/>
      <c r="G918"/>
      <c r="H918"/>
    </row>
    <row r="919" spans="1:8">
      <c r="A919"/>
      <c r="B919"/>
      <c r="C919"/>
      <c r="D919"/>
      <c r="E919"/>
      <c r="F919"/>
      <c r="G919"/>
      <c r="H919"/>
    </row>
    <row r="920" spans="1:8">
      <c r="A920"/>
      <c r="B920"/>
      <c r="C920"/>
      <c r="D920"/>
      <c r="E920"/>
      <c r="F920"/>
      <c r="G920"/>
      <c r="H920"/>
    </row>
    <row r="921" spans="1:8">
      <c r="A921"/>
      <c r="B921"/>
      <c r="C921"/>
      <c r="D921"/>
      <c r="E921"/>
      <c r="F921"/>
      <c r="G921"/>
      <c r="H921"/>
    </row>
    <row r="922" spans="1:8">
      <c r="A922"/>
      <c r="B922"/>
      <c r="C922"/>
      <c r="D922"/>
      <c r="E922"/>
      <c r="F922"/>
      <c r="G922"/>
      <c r="H922"/>
    </row>
    <row r="923" spans="1:8">
      <c r="A923"/>
      <c r="B923"/>
      <c r="C923"/>
      <c r="D923"/>
      <c r="E923"/>
      <c r="F923"/>
      <c r="G923"/>
      <c r="H923"/>
    </row>
    <row r="924" spans="1:8">
      <c r="A924"/>
      <c r="B924"/>
      <c r="C924"/>
      <c r="D924"/>
      <c r="E924"/>
      <c r="F924"/>
      <c r="G924"/>
      <c r="H924"/>
    </row>
    <row r="925" spans="1:8">
      <c r="A925"/>
      <c r="B925"/>
      <c r="C925"/>
      <c r="D925"/>
      <c r="E925"/>
      <c r="F925"/>
      <c r="G925"/>
      <c r="H925"/>
    </row>
    <row r="926" spans="1:8">
      <c r="A926"/>
      <c r="B926"/>
      <c r="C926"/>
      <c r="D926"/>
      <c r="E926"/>
      <c r="F926"/>
      <c r="G926"/>
      <c r="H926"/>
    </row>
    <row r="927" spans="1:8">
      <c r="A927"/>
      <c r="B927"/>
      <c r="C927"/>
      <c r="D927"/>
      <c r="E927"/>
      <c r="F927"/>
      <c r="G927"/>
      <c r="H927"/>
    </row>
    <row r="928" spans="1:8">
      <c r="A928"/>
      <c r="B928"/>
      <c r="C928"/>
      <c r="D928"/>
      <c r="E928"/>
      <c r="F928"/>
      <c r="G928"/>
      <c r="H928"/>
    </row>
    <row r="929" spans="1:8">
      <c r="A929"/>
      <c r="B929"/>
      <c r="C929"/>
      <c r="D929"/>
      <c r="E929"/>
      <c r="F929"/>
      <c r="G929"/>
      <c r="H929"/>
    </row>
    <row r="930" spans="1:8">
      <c r="A930"/>
      <c r="B930"/>
      <c r="C930"/>
      <c r="D930"/>
      <c r="E930"/>
      <c r="F930"/>
      <c r="G930"/>
      <c r="H930"/>
    </row>
    <row r="931" spans="1:8">
      <c r="A931"/>
      <c r="B931"/>
      <c r="C931"/>
      <c r="D931"/>
      <c r="E931"/>
      <c r="F931"/>
      <c r="G931"/>
      <c r="H931"/>
    </row>
    <row r="932" spans="1:8">
      <c r="A932"/>
      <c r="B932"/>
      <c r="C932"/>
      <c r="D932"/>
      <c r="E932"/>
      <c r="F932"/>
      <c r="G932"/>
      <c r="H932"/>
    </row>
    <row r="933" spans="1:8">
      <c r="A933"/>
      <c r="B933"/>
      <c r="C933"/>
      <c r="D933"/>
      <c r="E933"/>
      <c r="F933"/>
      <c r="G933"/>
      <c r="H933"/>
    </row>
    <row r="934" spans="1:8">
      <c r="A934"/>
      <c r="B934"/>
      <c r="C934"/>
      <c r="D934"/>
      <c r="E934"/>
      <c r="F934"/>
      <c r="G934"/>
      <c r="H934"/>
    </row>
    <row r="935" spans="1:8">
      <c r="A935"/>
      <c r="B935"/>
      <c r="C935"/>
      <c r="D935"/>
      <c r="E935"/>
      <c r="F935"/>
      <c r="G935"/>
      <c r="H935"/>
    </row>
    <row r="936" spans="1:8">
      <c r="A936"/>
      <c r="B936"/>
      <c r="C936"/>
      <c r="D936"/>
      <c r="E936"/>
      <c r="F936"/>
      <c r="G936"/>
      <c r="H936"/>
    </row>
    <row r="937" spans="1:8">
      <c r="A937"/>
      <c r="B937"/>
      <c r="C937"/>
      <c r="D937"/>
      <c r="E937"/>
      <c r="F937"/>
      <c r="G937"/>
      <c r="H937"/>
    </row>
    <row r="938" spans="1:8">
      <c r="A938"/>
      <c r="B938"/>
      <c r="C938"/>
      <c r="D938"/>
      <c r="E938"/>
      <c r="F938"/>
      <c r="G938"/>
      <c r="H938"/>
    </row>
    <row r="939" spans="1:8">
      <c r="A939"/>
      <c r="B939"/>
      <c r="C939"/>
      <c r="D939"/>
      <c r="E939"/>
      <c r="F939"/>
      <c r="G939"/>
      <c r="H939"/>
    </row>
    <row r="940" spans="1:8">
      <c r="A940"/>
      <c r="B940"/>
      <c r="C940"/>
      <c r="D940"/>
      <c r="E940"/>
      <c r="F940"/>
      <c r="G940"/>
      <c r="H940"/>
    </row>
    <row r="941" spans="1:8">
      <c r="A941"/>
      <c r="B941"/>
      <c r="C941"/>
      <c r="D941"/>
      <c r="E941"/>
      <c r="F941"/>
      <c r="G941"/>
      <c r="H941"/>
    </row>
    <row r="942" spans="1:8">
      <c r="A942"/>
      <c r="B942"/>
      <c r="C942"/>
      <c r="D942"/>
      <c r="E942"/>
      <c r="F942"/>
      <c r="G942"/>
      <c r="H942"/>
    </row>
    <row r="943" spans="1:8">
      <c r="A943"/>
      <c r="B943"/>
      <c r="C943"/>
      <c r="D943"/>
      <c r="E943"/>
      <c r="F943"/>
      <c r="G943"/>
      <c r="H943"/>
    </row>
    <row r="944" spans="1:8">
      <c r="A944"/>
      <c r="B944"/>
      <c r="C944"/>
      <c r="D944"/>
      <c r="E944"/>
      <c r="F944"/>
      <c r="G944"/>
      <c r="H944"/>
    </row>
    <row r="945" spans="1:8">
      <c r="A945"/>
      <c r="B945"/>
      <c r="C945"/>
      <c r="D945"/>
      <c r="E945"/>
      <c r="F945"/>
      <c r="G945"/>
      <c r="H945"/>
    </row>
    <row r="946" spans="1:8">
      <c r="A946"/>
      <c r="B946"/>
      <c r="C946"/>
      <c r="D946"/>
      <c r="E946"/>
      <c r="F946"/>
      <c r="G946"/>
      <c r="H946"/>
    </row>
    <row r="947" spans="1:8">
      <c r="A947"/>
      <c r="B947"/>
      <c r="C947"/>
      <c r="D947"/>
      <c r="E947"/>
      <c r="F947"/>
      <c r="G947"/>
      <c r="H947"/>
    </row>
    <row r="948" spans="1:8">
      <c r="A948"/>
      <c r="B948"/>
      <c r="C948"/>
      <c r="D948"/>
      <c r="E948"/>
      <c r="F948"/>
      <c r="G948"/>
      <c r="H948"/>
    </row>
    <row r="949" spans="1:8">
      <c r="A949"/>
      <c r="B949"/>
      <c r="C949"/>
      <c r="D949"/>
      <c r="E949"/>
      <c r="F949"/>
      <c r="G949"/>
      <c r="H949"/>
    </row>
    <row r="950" spans="1:8">
      <c r="A950"/>
      <c r="B950"/>
      <c r="C950"/>
      <c r="D950"/>
      <c r="E950"/>
      <c r="F950"/>
      <c r="G950"/>
      <c r="H950"/>
    </row>
    <row r="951" spans="1:8">
      <c r="A951"/>
      <c r="B951"/>
      <c r="C951"/>
      <c r="D951"/>
      <c r="E951"/>
      <c r="F951"/>
      <c r="G951"/>
      <c r="H951"/>
    </row>
    <row r="952" spans="1:8">
      <c r="A952"/>
      <c r="B952"/>
      <c r="C952"/>
      <c r="D952"/>
      <c r="E952"/>
      <c r="F952"/>
      <c r="G952"/>
      <c r="H952"/>
    </row>
    <row r="953" spans="1:8">
      <c r="A953"/>
      <c r="B953"/>
      <c r="C953"/>
      <c r="D953"/>
      <c r="E953"/>
      <c r="F953"/>
      <c r="G953"/>
      <c r="H953"/>
    </row>
    <row r="954" spans="1:8">
      <c r="A954"/>
      <c r="B954"/>
      <c r="C954"/>
      <c r="D954"/>
      <c r="E954"/>
      <c r="F954"/>
      <c r="G954"/>
      <c r="H954"/>
    </row>
    <row r="955" spans="1:8">
      <c r="A955"/>
      <c r="B955"/>
      <c r="C955"/>
      <c r="D955"/>
      <c r="E955"/>
      <c r="F955"/>
      <c r="G955"/>
      <c r="H955"/>
    </row>
    <row r="956" spans="1:8">
      <c r="A956"/>
      <c r="B956"/>
      <c r="C956"/>
      <c r="D956"/>
      <c r="E956"/>
      <c r="F956"/>
      <c r="G956"/>
      <c r="H956"/>
    </row>
    <row r="957" spans="1:8">
      <c r="A957"/>
      <c r="B957"/>
      <c r="C957"/>
      <c r="D957"/>
      <c r="E957"/>
      <c r="F957"/>
      <c r="G957"/>
      <c r="H957"/>
    </row>
    <row r="958" spans="1:8">
      <c r="A958"/>
      <c r="B958"/>
      <c r="C958"/>
      <c r="D958"/>
      <c r="E958"/>
      <c r="F958"/>
      <c r="G958"/>
      <c r="H958"/>
    </row>
    <row r="959" spans="1:8">
      <c r="A959"/>
      <c r="B959"/>
      <c r="C959"/>
      <c r="D959"/>
      <c r="E959"/>
      <c r="F959"/>
      <c r="G959"/>
      <c r="H959"/>
    </row>
    <row r="960" spans="1:8">
      <c r="A960"/>
      <c r="B960"/>
      <c r="C960"/>
      <c r="D960"/>
      <c r="E960"/>
      <c r="F960"/>
      <c r="G960"/>
      <c r="H960"/>
    </row>
    <row r="961" spans="1:8">
      <c r="A961"/>
      <c r="B961"/>
      <c r="C961"/>
      <c r="D961"/>
      <c r="E961"/>
      <c r="F961"/>
      <c r="G961"/>
      <c r="H961"/>
    </row>
    <row r="962" spans="1:8">
      <c r="A962"/>
      <c r="B962"/>
      <c r="C962"/>
      <c r="D962"/>
      <c r="E962"/>
      <c r="F962"/>
      <c r="G962"/>
      <c r="H962"/>
    </row>
    <row r="963" spans="1:8">
      <c r="A963"/>
      <c r="B963"/>
      <c r="C963"/>
      <c r="D963"/>
      <c r="E963"/>
      <c r="F963"/>
      <c r="G963"/>
      <c r="H963"/>
    </row>
    <row r="964" spans="1:8">
      <c r="A964"/>
      <c r="B964"/>
      <c r="C964"/>
      <c r="D964"/>
      <c r="E964"/>
      <c r="F964"/>
      <c r="G964"/>
      <c r="H964"/>
    </row>
    <row r="965" spans="1:8">
      <c r="A965"/>
      <c r="B965"/>
      <c r="C965"/>
      <c r="D965"/>
      <c r="E965"/>
      <c r="F965"/>
      <c r="G965"/>
      <c r="H965"/>
    </row>
    <row r="966" spans="1:8">
      <c r="A966"/>
      <c r="B966"/>
      <c r="C966"/>
      <c r="D966"/>
      <c r="E966"/>
      <c r="F966"/>
      <c r="G966"/>
      <c r="H966"/>
    </row>
    <row r="967" spans="1:8">
      <c r="A967"/>
      <c r="B967"/>
      <c r="C967"/>
      <c r="D967"/>
      <c r="E967"/>
      <c r="F967"/>
      <c r="G967"/>
      <c r="H967"/>
    </row>
    <row r="968" spans="1:8">
      <c r="A968"/>
      <c r="B968"/>
      <c r="C968"/>
      <c r="D968"/>
      <c r="E968"/>
      <c r="F968"/>
      <c r="G968"/>
      <c r="H968"/>
    </row>
    <row r="969" spans="1:8">
      <c r="A969"/>
      <c r="B969"/>
      <c r="C969"/>
      <c r="D969"/>
      <c r="E969"/>
      <c r="F969"/>
      <c r="G969"/>
      <c r="H969"/>
    </row>
    <row r="970" spans="1:8">
      <c r="A970"/>
      <c r="B970"/>
      <c r="C970"/>
      <c r="D970"/>
      <c r="E970"/>
      <c r="F970"/>
      <c r="G970"/>
      <c r="H970"/>
    </row>
    <row r="971" spans="1:8">
      <c r="A971"/>
      <c r="B971"/>
      <c r="C971"/>
      <c r="D971"/>
      <c r="E971"/>
      <c r="F971"/>
      <c r="G971"/>
      <c r="H971"/>
    </row>
    <row r="972" spans="1:8">
      <c r="A972"/>
      <c r="B972"/>
      <c r="C972"/>
      <c r="D972"/>
      <c r="E972"/>
      <c r="F972"/>
      <c r="G972"/>
      <c r="H972"/>
    </row>
    <row r="973" spans="1:8">
      <c r="A973"/>
      <c r="B973"/>
      <c r="C973"/>
      <c r="D973"/>
      <c r="E973"/>
      <c r="F973"/>
      <c r="G973"/>
      <c r="H973"/>
    </row>
    <row r="974" spans="1:8">
      <c r="A974"/>
      <c r="B974"/>
      <c r="C974"/>
      <c r="D974"/>
      <c r="E974"/>
      <c r="F974"/>
      <c r="G974"/>
      <c r="H974"/>
    </row>
    <row r="975" spans="1:8">
      <c r="A975"/>
      <c r="B975"/>
      <c r="C975"/>
      <c r="D975"/>
      <c r="E975"/>
      <c r="F975"/>
      <c r="G975"/>
      <c r="H975"/>
    </row>
    <row r="976" spans="1:8">
      <c r="A976"/>
      <c r="B976"/>
      <c r="C976"/>
      <c r="D976"/>
      <c r="E976"/>
      <c r="F976"/>
      <c r="G976"/>
      <c r="H976"/>
    </row>
    <row r="977" spans="1:8">
      <c r="A977"/>
      <c r="B977"/>
      <c r="C977"/>
      <c r="D977"/>
      <c r="E977"/>
      <c r="F977"/>
      <c r="G977"/>
      <c r="H977"/>
    </row>
    <row r="978" spans="1:8">
      <c r="A978"/>
      <c r="B978"/>
      <c r="C978"/>
      <c r="D978"/>
      <c r="E978"/>
      <c r="F978"/>
      <c r="G978"/>
      <c r="H978"/>
    </row>
    <row r="979" spans="1:8">
      <c r="A979"/>
      <c r="B979"/>
      <c r="C979"/>
      <c r="D979"/>
      <c r="E979"/>
      <c r="F979"/>
      <c r="G979"/>
      <c r="H979"/>
    </row>
    <row r="980" spans="1:8">
      <c r="A980"/>
      <c r="B980"/>
      <c r="C980"/>
      <c r="D980"/>
      <c r="E980"/>
      <c r="F980"/>
      <c r="G980"/>
      <c r="H980"/>
    </row>
    <row r="981" spans="1:8">
      <c r="A981"/>
      <c r="B981"/>
      <c r="C981"/>
      <c r="D981"/>
      <c r="E981"/>
      <c r="F981"/>
      <c r="G981"/>
      <c r="H981"/>
    </row>
    <row r="982" spans="1:8">
      <c r="A982"/>
      <c r="B982"/>
      <c r="C982"/>
      <c r="D982"/>
      <c r="E982"/>
      <c r="F982"/>
      <c r="G982"/>
      <c r="H982"/>
    </row>
    <row r="983" spans="1:8">
      <c r="A983"/>
      <c r="B983"/>
      <c r="C983"/>
      <c r="D983"/>
      <c r="E983"/>
      <c r="F983"/>
      <c r="G983"/>
      <c r="H983"/>
    </row>
    <row r="984" spans="1:8">
      <c r="A984"/>
      <c r="B984"/>
      <c r="C984"/>
      <c r="D984"/>
      <c r="E984"/>
      <c r="F984"/>
      <c r="G984"/>
      <c r="H984"/>
    </row>
    <row r="985" spans="1:8">
      <c r="A985"/>
      <c r="B985"/>
      <c r="C985"/>
      <c r="D985"/>
      <c r="E985"/>
      <c r="F985"/>
      <c r="G985"/>
      <c r="H985"/>
    </row>
    <row r="986" spans="1:8">
      <c r="A986"/>
      <c r="B986"/>
      <c r="C986"/>
      <c r="D986"/>
      <c r="E986"/>
      <c r="F986"/>
      <c r="G986"/>
      <c r="H986"/>
    </row>
    <row r="987" spans="1:8">
      <c r="A987"/>
      <c r="B987"/>
      <c r="C987"/>
      <c r="D987"/>
      <c r="E987"/>
      <c r="F987"/>
      <c r="G987"/>
      <c r="H987"/>
    </row>
    <row r="988" spans="1:8">
      <c r="A988"/>
      <c r="B988"/>
      <c r="C988"/>
      <c r="D988"/>
      <c r="E988"/>
      <c r="F988"/>
      <c r="G988"/>
      <c r="H988"/>
    </row>
    <row r="989" spans="1:8">
      <c r="A989"/>
      <c r="B989"/>
      <c r="C989"/>
      <c r="D989"/>
      <c r="E989"/>
      <c r="F989"/>
      <c r="G989"/>
      <c r="H989"/>
    </row>
    <row r="990" spans="1:8">
      <c r="A990"/>
      <c r="B990"/>
      <c r="C990"/>
      <c r="D990"/>
      <c r="E990"/>
      <c r="F990"/>
      <c r="G990"/>
      <c r="H990"/>
    </row>
    <row r="991" spans="1:8">
      <c r="A991"/>
      <c r="B991"/>
      <c r="C991"/>
      <c r="D991"/>
      <c r="E991"/>
      <c r="F991"/>
      <c r="G991"/>
      <c r="H991"/>
    </row>
    <row r="992" spans="1:8">
      <c r="A992"/>
      <c r="B992"/>
      <c r="C992"/>
      <c r="D992"/>
      <c r="E992"/>
      <c r="F992"/>
      <c r="G992"/>
      <c r="H992"/>
    </row>
    <row r="993" spans="1:8">
      <c r="A993"/>
      <c r="B993"/>
      <c r="C993"/>
      <c r="D993"/>
      <c r="E993"/>
      <c r="F993"/>
      <c r="G993"/>
      <c r="H993"/>
    </row>
    <row r="994" spans="1:8">
      <c r="A994"/>
      <c r="B994"/>
      <c r="C994"/>
      <c r="D994"/>
      <c r="E994"/>
      <c r="F994"/>
      <c r="G994"/>
      <c r="H994"/>
    </row>
    <row r="995" spans="1:8">
      <c r="A995"/>
      <c r="B995"/>
      <c r="C995"/>
      <c r="D995"/>
      <c r="E995"/>
      <c r="F995"/>
      <c r="G995"/>
      <c r="H995"/>
    </row>
    <row r="996" spans="1:8">
      <c r="A996"/>
      <c r="B996"/>
      <c r="C996"/>
      <c r="D996"/>
      <c r="E996"/>
      <c r="F996"/>
      <c r="G996"/>
      <c r="H996"/>
    </row>
    <row r="997" spans="1:8">
      <c r="A997"/>
      <c r="B997"/>
      <c r="C997"/>
      <c r="D997"/>
      <c r="E997"/>
      <c r="F997"/>
      <c r="G997"/>
      <c r="H997"/>
    </row>
    <row r="998" spans="1:8">
      <c r="A998"/>
      <c r="B998"/>
      <c r="C998"/>
      <c r="D998"/>
      <c r="E998"/>
      <c r="F998"/>
      <c r="G998"/>
      <c r="H998"/>
    </row>
    <row r="999" spans="1:8">
      <c r="A999"/>
      <c r="B999"/>
      <c r="C999"/>
      <c r="D999"/>
      <c r="E999"/>
      <c r="F999"/>
      <c r="G999"/>
      <c r="H999"/>
    </row>
    <row r="1000" spans="1:8">
      <c r="A1000"/>
      <c r="B1000"/>
      <c r="C1000"/>
      <c r="D1000"/>
      <c r="E1000"/>
      <c r="F1000"/>
      <c r="G1000"/>
      <c r="H1000"/>
    </row>
    <row r="1001" spans="1:8">
      <c r="A1001"/>
      <c r="B1001"/>
      <c r="C1001"/>
      <c r="D1001"/>
      <c r="E1001"/>
      <c r="F1001"/>
      <c r="G1001"/>
      <c r="H1001"/>
    </row>
    <row r="1002" spans="1:8">
      <c r="A1002"/>
      <c r="B1002"/>
      <c r="C1002"/>
      <c r="D1002"/>
      <c r="E1002"/>
      <c r="F1002"/>
      <c r="G1002"/>
      <c r="H1002"/>
    </row>
    <row r="1003" spans="1:8">
      <c r="A1003"/>
      <c r="B1003"/>
      <c r="C1003"/>
      <c r="D1003"/>
      <c r="E1003"/>
      <c r="F1003"/>
      <c r="G1003"/>
      <c r="H1003"/>
    </row>
    <row r="1004" spans="1:8">
      <c r="A1004"/>
      <c r="B1004"/>
      <c r="C1004"/>
      <c r="D1004"/>
      <c r="E1004"/>
      <c r="F1004"/>
      <c r="G1004"/>
      <c r="H1004"/>
    </row>
    <row r="1005" spans="1:8">
      <c r="A1005"/>
      <c r="B1005"/>
      <c r="C1005"/>
      <c r="D1005"/>
      <c r="E1005"/>
      <c r="F1005"/>
      <c r="G1005"/>
      <c r="H1005"/>
    </row>
    <row r="1006" spans="1:8">
      <c r="A1006"/>
      <c r="B1006"/>
      <c r="C1006"/>
      <c r="D1006"/>
      <c r="E1006"/>
      <c r="F1006"/>
      <c r="G1006"/>
      <c r="H1006"/>
    </row>
    <row r="1007" spans="1:8">
      <c r="A1007"/>
      <c r="B1007"/>
      <c r="C1007"/>
      <c r="D1007"/>
      <c r="E1007"/>
      <c r="F1007"/>
      <c r="G1007"/>
      <c r="H1007"/>
    </row>
    <row r="1008" spans="1:8">
      <c r="A1008"/>
      <c r="B1008"/>
      <c r="C1008"/>
      <c r="D1008"/>
      <c r="E1008"/>
      <c r="F1008"/>
      <c r="G1008"/>
      <c r="H1008"/>
    </row>
    <row r="1009" spans="1:8">
      <c r="A1009"/>
      <c r="B1009"/>
      <c r="C1009"/>
      <c r="D1009"/>
      <c r="E1009"/>
      <c r="F1009"/>
      <c r="G1009"/>
      <c r="H1009"/>
    </row>
    <row r="1010" spans="1:8">
      <c r="A1010"/>
      <c r="B1010"/>
      <c r="C1010"/>
      <c r="D1010"/>
      <c r="E1010"/>
      <c r="F1010"/>
      <c r="G1010"/>
      <c r="H1010"/>
    </row>
    <row r="1011" spans="1:8">
      <c r="A1011"/>
      <c r="B1011"/>
      <c r="C1011"/>
      <c r="D1011"/>
      <c r="E1011"/>
      <c r="F1011"/>
      <c r="G1011"/>
      <c r="H1011"/>
    </row>
    <row r="1012" spans="1:8">
      <c r="A1012"/>
      <c r="B1012"/>
      <c r="C1012"/>
      <c r="D1012"/>
      <c r="E1012"/>
      <c r="F1012"/>
      <c r="G1012"/>
      <c r="H1012"/>
    </row>
    <row r="1013" spans="1:8">
      <c r="A1013"/>
      <c r="B1013"/>
      <c r="C1013"/>
      <c r="D1013"/>
      <c r="E1013"/>
      <c r="F1013"/>
      <c r="G1013"/>
      <c r="H1013"/>
    </row>
    <row r="1014" spans="1:8">
      <c r="A1014"/>
      <c r="B1014"/>
      <c r="C1014"/>
      <c r="D1014"/>
      <c r="E1014"/>
      <c r="F1014"/>
      <c r="G1014"/>
      <c r="H1014"/>
    </row>
    <row r="1015" spans="1:8">
      <c r="A1015"/>
      <c r="B1015"/>
      <c r="C1015"/>
      <c r="D1015"/>
      <c r="E1015"/>
      <c r="F1015"/>
      <c r="G1015"/>
      <c r="H1015"/>
    </row>
    <row r="1016" spans="1:8">
      <c r="A1016"/>
      <c r="B1016"/>
      <c r="C1016"/>
      <c r="D1016"/>
      <c r="E1016"/>
      <c r="F1016"/>
      <c r="G1016"/>
      <c r="H1016"/>
    </row>
    <row r="1017" spans="1:8">
      <c r="A1017"/>
      <c r="B1017"/>
      <c r="C1017"/>
      <c r="D1017"/>
      <c r="E1017"/>
      <c r="F1017"/>
      <c r="G1017"/>
      <c r="H1017"/>
    </row>
    <row r="1018" spans="1:8">
      <c r="A1018"/>
      <c r="B1018"/>
      <c r="C1018"/>
      <c r="D1018"/>
      <c r="E1018"/>
      <c r="F1018"/>
      <c r="G1018"/>
      <c r="H1018"/>
    </row>
    <row r="1019" spans="1:8">
      <c r="A1019"/>
      <c r="B1019"/>
      <c r="C1019"/>
      <c r="D1019"/>
      <c r="E1019"/>
      <c r="F1019"/>
      <c r="G1019"/>
      <c r="H1019"/>
    </row>
    <row r="1020" spans="1:8">
      <c r="A1020"/>
      <c r="B1020"/>
      <c r="C1020"/>
      <c r="D1020"/>
      <c r="E1020"/>
      <c r="F1020"/>
      <c r="G1020"/>
      <c r="H1020"/>
    </row>
    <row r="1021" spans="1:8">
      <c r="A1021"/>
      <c r="B1021"/>
      <c r="C1021"/>
      <c r="D1021"/>
      <c r="E1021"/>
      <c r="F1021"/>
      <c r="G1021"/>
      <c r="H1021"/>
    </row>
    <row r="1022" spans="1:8">
      <c r="A1022"/>
      <c r="B1022"/>
      <c r="C1022"/>
      <c r="D1022"/>
      <c r="E1022"/>
      <c r="F1022"/>
      <c r="G1022"/>
      <c r="H1022"/>
    </row>
    <row r="1023" spans="1:8">
      <c r="A1023"/>
      <c r="B1023"/>
      <c r="C1023"/>
      <c r="D1023"/>
      <c r="E1023"/>
      <c r="F1023"/>
      <c r="G1023"/>
      <c r="H1023"/>
    </row>
    <row r="1024" spans="1:8">
      <c r="A1024"/>
      <c r="B1024"/>
      <c r="C1024"/>
      <c r="D1024"/>
      <c r="E1024"/>
      <c r="F1024"/>
      <c r="G1024"/>
      <c r="H1024"/>
    </row>
    <row r="1025" spans="1:8">
      <c r="A1025"/>
      <c r="B1025"/>
      <c r="C1025"/>
      <c r="D1025"/>
      <c r="E1025"/>
      <c r="F1025"/>
      <c r="G1025"/>
      <c r="H1025"/>
    </row>
    <row r="1026" spans="1:8">
      <c r="A1026"/>
      <c r="B1026"/>
      <c r="C1026"/>
      <c r="D1026"/>
      <c r="E1026"/>
      <c r="F1026"/>
      <c r="G1026"/>
      <c r="H1026"/>
    </row>
    <row r="1027" spans="1:8">
      <c r="A1027"/>
      <c r="B1027"/>
      <c r="C1027"/>
      <c r="D1027"/>
      <c r="E1027"/>
      <c r="F1027"/>
      <c r="G1027"/>
      <c r="H1027"/>
    </row>
    <row r="1028" spans="1:8">
      <c r="A1028"/>
      <c r="B1028"/>
      <c r="C1028"/>
      <c r="D1028"/>
      <c r="E1028"/>
      <c r="F1028"/>
      <c r="G1028"/>
      <c r="H1028"/>
    </row>
    <row r="1029" spans="1:8">
      <c r="A1029"/>
      <c r="B1029"/>
      <c r="C1029"/>
      <c r="D1029"/>
      <c r="E1029"/>
      <c r="F1029"/>
      <c r="G1029"/>
      <c r="H1029"/>
    </row>
    <row r="1030" spans="1:8">
      <c r="A1030"/>
      <c r="B1030"/>
      <c r="C1030"/>
      <c r="D1030"/>
      <c r="E1030"/>
      <c r="F1030"/>
      <c r="G1030"/>
      <c r="H1030"/>
    </row>
    <row r="1031" spans="1:8">
      <c r="A1031"/>
      <c r="B1031"/>
      <c r="C1031"/>
      <c r="D1031"/>
      <c r="E1031"/>
      <c r="F1031"/>
      <c r="G1031"/>
      <c r="H1031"/>
    </row>
    <row r="1032" spans="1:8">
      <c r="A1032"/>
      <c r="B1032"/>
      <c r="C1032"/>
      <c r="D1032"/>
      <c r="E1032"/>
      <c r="F1032"/>
      <c r="G1032"/>
      <c r="H1032"/>
    </row>
    <row r="1033" spans="1:8">
      <c r="A1033"/>
      <c r="B1033"/>
      <c r="C1033"/>
      <c r="D1033"/>
      <c r="E1033"/>
      <c r="F1033"/>
      <c r="G1033"/>
      <c r="H1033"/>
    </row>
    <row r="1034" spans="1:8">
      <c r="A1034"/>
      <c r="B1034"/>
      <c r="C1034"/>
      <c r="D1034"/>
      <c r="E1034"/>
      <c r="F1034"/>
      <c r="G1034"/>
      <c r="H1034"/>
    </row>
    <row r="1035" spans="1:8">
      <c r="A1035"/>
      <c r="B1035"/>
      <c r="C1035"/>
      <c r="D1035"/>
      <c r="E1035"/>
      <c r="F1035"/>
      <c r="G1035"/>
      <c r="H1035"/>
    </row>
    <row r="1036" spans="1:8">
      <c r="A1036"/>
      <c r="B1036"/>
      <c r="C1036"/>
      <c r="D1036"/>
      <c r="E1036"/>
      <c r="F1036"/>
      <c r="G1036"/>
      <c r="H1036"/>
    </row>
    <row r="1037" spans="1:8">
      <c r="A1037"/>
      <c r="B1037"/>
      <c r="C1037"/>
      <c r="D1037"/>
      <c r="E1037"/>
      <c r="F1037"/>
      <c r="G1037"/>
      <c r="H1037"/>
    </row>
    <row r="1038" spans="1:8">
      <c r="A1038"/>
      <c r="B1038"/>
      <c r="C1038"/>
      <c r="D1038"/>
      <c r="E1038"/>
      <c r="F1038"/>
      <c r="G1038"/>
      <c r="H1038"/>
    </row>
    <row r="1039" spans="1:8">
      <c r="A1039"/>
      <c r="B1039"/>
      <c r="C1039"/>
      <c r="D1039"/>
      <c r="E1039"/>
      <c r="F1039"/>
      <c r="G1039"/>
      <c r="H1039"/>
    </row>
    <row r="1040" spans="1:8">
      <c r="A1040"/>
      <c r="B1040"/>
      <c r="C1040"/>
      <c r="D1040"/>
      <c r="E1040"/>
      <c r="F1040"/>
      <c r="G1040"/>
      <c r="H1040"/>
    </row>
    <row r="1041" spans="1:8">
      <c r="A1041"/>
      <c r="B1041"/>
      <c r="C1041"/>
      <c r="D1041"/>
      <c r="E1041"/>
      <c r="F1041"/>
      <c r="G1041"/>
      <c r="H1041"/>
    </row>
    <row r="1042" spans="1:8">
      <c r="A1042"/>
      <c r="B1042"/>
      <c r="C1042"/>
      <c r="D1042"/>
      <c r="E1042"/>
      <c r="F1042"/>
      <c r="G1042"/>
      <c r="H1042"/>
    </row>
    <row r="1043" spans="1:8">
      <c r="A1043"/>
      <c r="B1043"/>
      <c r="C1043"/>
      <c r="D1043"/>
      <c r="E1043"/>
      <c r="F1043"/>
      <c r="G1043"/>
      <c r="H1043"/>
    </row>
    <row r="1044" spans="1:8">
      <c r="A1044"/>
      <c r="B1044"/>
      <c r="C1044"/>
      <c r="D1044"/>
      <c r="E1044"/>
      <c r="F1044"/>
      <c r="G1044"/>
      <c r="H1044"/>
    </row>
    <row r="1045" spans="1:8">
      <c r="A1045"/>
      <c r="B1045"/>
      <c r="C1045"/>
      <c r="D1045"/>
      <c r="E1045"/>
      <c r="F1045"/>
      <c r="G1045"/>
      <c r="H1045"/>
    </row>
    <row r="1046" spans="1:8">
      <c r="A1046"/>
      <c r="B1046"/>
      <c r="C1046"/>
      <c r="D1046"/>
      <c r="E1046"/>
      <c r="F1046"/>
      <c r="G1046"/>
      <c r="H1046"/>
    </row>
    <row r="1047" spans="1:8">
      <c r="A1047"/>
      <c r="B1047"/>
      <c r="C1047"/>
      <c r="D1047"/>
      <c r="E1047"/>
      <c r="F1047"/>
      <c r="G1047"/>
      <c r="H1047"/>
    </row>
    <row r="1048" spans="1:8">
      <c r="A1048"/>
      <c r="B1048"/>
      <c r="C1048"/>
      <c r="D1048"/>
      <c r="E1048"/>
      <c r="F1048"/>
      <c r="G1048"/>
      <c r="H1048"/>
    </row>
    <row r="1049" spans="1:8">
      <c r="A1049"/>
      <c r="B1049"/>
      <c r="C1049"/>
      <c r="D1049"/>
      <c r="E1049"/>
      <c r="F1049"/>
      <c r="G1049"/>
      <c r="H1049"/>
    </row>
    <row r="1050" spans="1:8">
      <c r="A1050"/>
      <c r="B1050"/>
      <c r="C1050"/>
      <c r="D1050"/>
      <c r="E1050"/>
      <c r="F1050"/>
      <c r="G1050"/>
      <c r="H1050"/>
    </row>
    <row r="1051" spans="1:8">
      <c r="A1051"/>
      <c r="B1051"/>
      <c r="C1051"/>
      <c r="D1051"/>
      <c r="E1051"/>
      <c r="F1051"/>
      <c r="G1051"/>
      <c r="H1051"/>
    </row>
    <row r="1052" spans="1:8">
      <c r="A1052"/>
      <c r="B1052"/>
      <c r="C1052"/>
      <c r="D1052"/>
      <c r="E1052"/>
      <c r="F1052"/>
      <c r="G1052"/>
      <c r="H1052"/>
    </row>
    <row r="1053" spans="1:8">
      <c r="A1053"/>
      <c r="B1053"/>
      <c r="C1053"/>
      <c r="D1053"/>
      <c r="E1053"/>
      <c r="F1053"/>
      <c r="G1053"/>
      <c r="H1053"/>
    </row>
    <row r="1054" spans="1:8">
      <c r="A1054"/>
      <c r="B1054"/>
      <c r="C1054"/>
      <c r="D1054"/>
      <c r="E1054"/>
      <c r="F1054"/>
      <c r="G1054"/>
      <c r="H1054"/>
    </row>
    <row r="1055" spans="1:8">
      <c r="A1055"/>
      <c r="B1055"/>
      <c r="C1055"/>
      <c r="D1055"/>
      <c r="E1055"/>
      <c r="F1055"/>
      <c r="G1055"/>
      <c r="H1055"/>
    </row>
    <row r="1056" spans="1:8">
      <c r="A1056"/>
      <c r="B1056"/>
      <c r="C1056"/>
      <c r="D1056"/>
      <c r="E1056"/>
      <c r="F1056"/>
      <c r="G1056"/>
      <c r="H1056"/>
    </row>
    <row r="1057" spans="1:8">
      <c r="A1057"/>
      <c r="B1057"/>
      <c r="C1057"/>
      <c r="D1057"/>
      <c r="E1057"/>
      <c r="F1057"/>
      <c r="G1057"/>
      <c r="H1057"/>
    </row>
    <row r="1058" spans="1:8">
      <c r="A1058"/>
      <c r="B1058"/>
      <c r="C1058"/>
      <c r="D1058"/>
      <c r="E1058"/>
      <c r="F1058"/>
      <c r="G1058"/>
      <c r="H1058"/>
    </row>
    <row r="1059" spans="1:8">
      <c r="A1059"/>
      <c r="B1059"/>
      <c r="C1059"/>
      <c r="D1059"/>
      <c r="E1059"/>
      <c r="F1059"/>
      <c r="G1059"/>
      <c r="H1059"/>
    </row>
    <row r="1060" spans="1:8">
      <c r="A1060"/>
      <c r="B1060"/>
      <c r="C1060"/>
      <c r="D1060"/>
      <c r="E1060"/>
      <c r="F1060"/>
      <c r="G1060"/>
      <c r="H1060"/>
    </row>
    <row r="1061" spans="1:8">
      <c r="A1061"/>
      <c r="B1061"/>
      <c r="C1061"/>
      <c r="D1061"/>
      <c r="E1061"/>
      <c r="F1061"/>
      <c r="G1061"/>
      <c r="H1061"/>
    </row>
    <row r="1062" spans="1:8">
      <c r="A1062"/>
      <c r="B1062"/>
      <c r="C1062"/>
      <c r="D1062"/>
      <c r="E1062"/>
      <c r="F1062"/>
      <c r="G1062"/>
      <c r="H1062"/>
    </row>
    <row r="1063" spans="1:8">
      <c r="A1063"/>
      <c r="B1063"/>
      <c r="C1063"/>
      <c r="D1063"/>
      <c r="E1063"/>
      <c r="F1063"/>
      <c r="G1063"/>
      <c r="H1063"/>
    </row>
    <row r="1064" spans="1:8">
      <c r="A1064"/>
      <c r="B1064"/>
      <c r="C1064"/>
      <c r="D1064"/>
      <c r="E1064"/>
      <c r="F1064"/>
      <c r="G1064"/>
      <c r="H1064"/>
    </row>
    <row r="1065" spans="1:8">
      <c r="A1065"/>
      <c r="B1065"/>
      <c r="C1065"/>
      <c r="D1065"/>
      <c r="E1065"/>
      <c r="F1065"/>
      <c r="G1065"/>
      <c r="H1065"/>
    </row>
    <row r="1066" spans="1:8">
      <c r="A1066"/>
      <c r="B1066"/>
      <c r="C1066"/>
      <c r="D1066"/>
      <c r="E1066"/>
      <c r="F1066"/>
      <c r="G1066"/>
      <c r="H1066"/>
    </row>
    <row r="1067" spans="1:8">
      <c r="A1067"/>
      <c r="B1067"/>
      <c r="C1067"/>
      <c r="D1067"/>
      <c r="E1067"/>
      <c r="F1067"/>
      <c r="G1067"/>
      <c r="H1067"/>
    </row>
    <row r="1068" spans="1:8">
      <c r="A1068"/>
      <c r="B1068"/>
      <c r="C1068"/>
      <c r="D1068"/>
      <c r="E1068"/>
      <c r="F1068"/>
      <c r="G1068"/>
      <c r="H1068"/>
    </row>
    <row r="1069" spans="1:8">
      <c r="A1069"/>
      <c r="B1069"/>
      <c r="C1069"/>
      <c r="D1069"/>
      <c r="E1069"/>
      <c r="F1069"/>
      <c r="G1069"/>
      <c r="H1069"/>
    </row>
    <row r="1070" spans="1:8">
      <c r="A1070"/>
      <c r="B1070"/>
      <c r="C1070"/>
      <c r="D1070"/>
      <c r="E1070"/>
      <c r="F1070"/>
      <c r="G1070"/>
      <c r="H1070"/>
    </row>
    <row r="1071" spans="1:8">
      <c r="A1071"/>
      <c r="B1071"/>
      <c r="C1071"/>
      <c r="D1071"/>
      <c r="E1071"/>
      <c r="F1071"/>
      <c r="G1071"/>
      <c r="H1071"/>
    </row>
    <row r="1072" spans="1:8">
      <c r="A1072"/>
      <c r="B1072"/>
      <c r="C1072"/>
      <c r="D1072"/>
      <c r="E1072"/>
      <c r="F1072"/>
      <c r="G1072"/>
      <c r="H1072"/>
    </row>
    <row r="1073" spans="1:8">
      <c r="A1073"/>
      <c r="B1073"/>
      <c r="C1073"/>
      <c r="D1073"/>
      <c r="E1073"/>
      <c r="F1073"/>
      <c r="G1073"/>
      <c r="H1073"/>
    </row>
    <row r="1074" spans="1:8">
      <c r="A1074"/>
      <c r="B1074"/>
      <c r="C1074"/>
      <c r="D1074"/>
      <c r="E1074"/>
      <c r="F1074"/>
      <c r="G1074"/>
      <c r="H1074"/>
    </row>
    <row r="1075" spans="1:8">
      <c r="A1075"/>
      <c r="B1075"/>
      <c r="C1075"/>
      <c r="D1075"/>
      <c r="E1075"/>
      <c r="F1075"/>
      <c r="G1075"/>
      <c r="H1075"/>
    </row>
    <row r="1076" spans="1:8">
      <c r="A1076"/>
      <c r="B1076"/>
      <c r="C1076"/>
      <c r="D1076"/>
      <c r="E1076"/>
      <c r="F1076"/>
      <c r="G1076"/>
      <c r="H1076"/>
    </row>
    <row r="1077" spans="1:8">
      <c r="A1077"/>
      <c r="B1077"/>
      <c r="C1077"/>
      <c r="D1077"/>
      <c r="E1077"/>
      <c r="F1077"/>
      <c r="G1077"/>
      <c r="H1077"/>
    </row>
    <row r="1078" spans="1:8">
      <c r="A1078"/>
      <c r="B1078"/>
      <c r="C1078"/>
      <c r="D1078"/>
      <c r="E1078"/>
      <c r="F1078"/>
      <c r="G1078"/>
      <c r="H1078"/>
    </row>
    <row r="1079" spans="1:8">
      <c r="A1079"/>
      <c r="B1079"/>
      <c r="C1079"/>
      <c r="D1079"/>
      <c r="E1079"/>
      <c r="F1079"/>
      <c r="G1079"/>
      <c r="H1079"/>
    </row>
    <row r="1080" spans="1:8">
      <c r="A1080"/>
      <c r="B1080"/>
      <c r="C1080"/>
      <c r="D1080"/>
      <c r="E1080"/>
      <c r="F1080"/>
      <c r="G1080"/>
      <c r="H1080"/>
    </row>
    <row r="1081" spans="1:8">
      <c r="A1081"/>
      <c r="B1081"/>
      <c r="C1081"/>
      <c r="D1081"/>
      <c r="E1081"/>
      <c r="F1081"/>
      <c r="G1081"/>
      <c r="H1081"/>
    </row>
    <row r="1082" spans="1:8">
      <c r="A1082"/>
      <c r="B1082"/>
      <c r="C1082"/>
      <c r="D1082"/>
      <c r="E1082"/>
      <c r="F1082"/>
      <c r="G1082"/>
      <c r="H1082"/>
    </row>
    <row r="1083" spans="1:8">
      <c r="A1083"/>
      <c r="B1083"/>
      <c r="C1083"/>
      <c r="D1083"/>
      <c r="E1083"/>
      <c r="F1083"/>
      <c r="G1083"/>
      <c r="H1083"/>
    </row>
    <row r="1084" spans="1:8">
      <c r="A1084"/>
      <c r="B1084"/>
      <c r="C1084"/>
      <c r="D1084"/>
      <c r="E1084"/>
      <c r="F1084"/>
      <c r="G1084"/>
      <c r="H1084"/>
    </row>
    <row r="1085" spans="1:8">
      <c r="A1085"/>
      <c r="B1085"/>
      <c r="C1085"/>
      <c r="D1085"/>
      <c r="E1085"/>
      <c r="F1085"/>
      <c r="G1085"/>
      <c r="H1085"/>
    </row>
    <row r="1086" spans="1:8">
      <c r="A1086"/>
      <c r="B1086"/>
      <c r="C1086"/>
      <c r="D1086"/>
      <c r="E1086"/>
      <c r="F1086"/>
      <c r="G1086"/>
      <c r="H1086"/>
    </row>
    <row r="1087" spans="1:8">
      <c r="A1087"/>
      <c r="B1087"/>
      <c r="C1087"/>
      <c r="D1087"/>
      <c r="E1087"/>
      <c r="F1087"/>
      <c r="G1087"/>
      <c r="H1087"/>
    </row>
    <row r="1088" spans="1:8">
      <c r="A1088"/>
      <c r="B1088"/>
      <c r="C1088"/>
      <c r="D1088"/>
      <c r="E1088"/>
      <c r="F1088"/>
      <c r="G1088"/>
      <c r="H1088"/>
    </row>
    <row r="1089" spans="1:8">
      <c r="A1089"/>
      <c r="B1089"/>
      <c r="C1089"/>
      <c r="D1089"/>
      <c r="E1089"/>
      <c r="F1089"/>
      <c r="G1089"/>
      <c r="H1089"/>
    </row>
    <row r="1090" spans="1:8">
      <c r="A1090"/>
      <c r="B1090"/>
      <c r="C1090"/>
      <c r="D1090"/>
      <c r="E1090"/>
      <c r="F1090"/>
      <c r="G1090"/>
      <c r="H1090"/>
    </row>
    <row r="1091" spans="1:8">
      <c r="A1091"/>
      <c r="B1091"/>
      <c r="C1091"/>
      <c r="D1091"/>
      <c r="E1091"/>
      <c r="F1091"/>
      <c r="G1091"/>
      <c r="H1091"/>
    </row>
    <row r="1092" spans="1:8">
      <c r="A1092"/>
      <c r="B1092"/>
      <c r="C1092"/>
      <c r="D1092"/>
      <c r="E1092"/>
      <c r="F1092"/>
      <c r="G1092"/>
      <c r="H1092"/>
    </row>
    <row r="1093" spans="1:8">
      <c r="A1093"/>
      <c r="B1093"/>
      <c r="C1093"/>
      <c r="D1093"/>
      <c r="E1093"/>
      <c r="F1093"/>
      <c r="G1093"/>
      <c r="H1093"/>
    </row>
    <row r="1094" spans="1:8">
      <c r="A1094"/>
      <c r="B1094"/>
      <c r="C1094"/>
      <c r="D1094"/>
      <c r="E1094"/>
      <c r="F1094"/>
      <c r="G1094"/>
      <c r="H1094"/>
    </row>
    <row r="1095" spans="1:8">
      <c r="A1095"/>
      <c r="B1095"/>
      <c r="C1095"/>
      <c r="D1095"/>
      <c r="E1095"/>
      <c r="F1095"/>
      <c r="G1095"/>
      <c r="H1095"/>
    </row>
    <row r="1096" spans="1:8">
      <c r="A1096"/>
      <c r="B1096"/>
      <c r="C1096"/>
      <c r="D1096"/>
      <c r="E1096"/>
      <c r="F1096"/>
      <c r="G1096"/>
      <c r="H1096"/>
    </row>
    <row r="1097" spans="1:8">
      <c r="A1097"/>
      <c r="B1097"/>
      <c r="C1097"/>
      <c r="D1097"/>
      <c r="E1097"/>
      <c r="F1097"/>
      <c r="G1097"/>
      <c r="H1097"/>
    </row>
    <row r="1098" spans="1:8">
      <c r="A1098"/>
      <c r="B1098"/>
      <c r="C1098"/>
      <c r="D1098"/>
      <c r="E1098"/>
      <c r="F1098"/>
      <c r="G1098"/>
      <c r="H1098"/>
    </row>
    <row r="1099" spans="1:8">
      <c r="A1099"/>
      <c r="B1099"/>
      <c r="C1099"/>
      <c r="D1099"/>
      <c r="E1099"/>
      <c r="F1099"/>
      <c r="G1099"/>
      <c r="H1099"/>
    </row>
    <row r="1100" spans="1:8">
      <c r="A1100"/>
      <c r="B1100"/>
      <c r="C1100"/>
      <c r="D1100"/>
      <c r="E1100"/>
      <c r="F1100"/>
      <c r="G1100"/>
      <c r="H1100"/>
    </row>
    <row r="1101" spans="1:8">
      <c r="A1101"/>
      <c r="B1101"/>
      <c r="C1101"/>
      <c r="D1101"/>
      <c r="E1101"/>
      <c r="F1101"/>
      <c r="G1101"/>
      <c r="H1101"/>
    </row>
    <row r="1102" spans="1:8">
      <c r="A1102"/>
      <c r="B1102"/>
      <c r="C1102"/>
      <c r="D1102"/>
      <c r="E1102"/>
      <c r="F1102"/>
      <c r="G1102"/>
      <c r="H1102"/>
    </row>
    <row r="1103" spans="1:8">
      <c r="A1103"/>
      <c r="B1103"/>
      <c r="C1103"/>
      <c r="D1103"/>
      <c r="E1103"/>
      <c r="F1103"/>
      <c r="G1103"/>
      <c r="H1103"/>
    </row>
    <row r="1104" spans="1:8">
      <c r="A1104"/>
      <c r="B1104"/>
      <c r="C1104"/>
      <c r="D1104"/>
      <c r="E1104"/>
      <c r="F1104"/>
      <c r="G1104"/>
      <c r="H1104"/>
    </row>
    <row r="1105" spans="1:8">
      <c r="A1105"/>
      <c r="B1105"/>
      <c r="C1105"/>
      <c r="D1105"/>
      <c r="E1105"/>
      <c r="F1105"/>
      <c r="G1105"/>
      <c r="H1105"/>
    </row>
    <row r="1106" spans="1:8">
      <c r="A1106"/>
      <c r="B1106"/>
      <c r="C1106"/>
      <c r="D1106"/>
      <c r="E1106"/>
      <c r="F1106"/>
      <c r="G1106"/>
      <c r="H1106"/>
    </row>
    <row r="1107" spans="1:8">
      <c r="A1107"/>
      <c r="B1107"/>
      <c r="C1107"/>
      <c r="D1107"/>
      <c r="E1107"/>
      <c r="F1107"/>
      <c r="G1107"/>
      <c r="H1107"/>
    </row>
    <row r="1108" spans="1:8">
      <c r="A1108"/>
      <c r="B1108"/>
      <c r="C1108"/>
      <c r="D1108"/>
      <c r="E1108"/>
      <c r="F1108"/>
      <c r="G1108"/>
      <c r="H1108"/>
    </row>
    <row r="1109" spans="1:8">
      <c r="A1109"/>
      <c r="B1109"/>
      <c r="C1109"/>
      <c r="D1109"/>
      <c r="E1109"/>
      <c r="F1109"/>
      <c r="G1109"/>
      <c r="H1109"/>
    </row>
    <row r="1110" spans="1:8">
      <c r="A1110"/>
      <c r="B1110"/>
      <c r="C1110"/>
      <c r="D1110"/>
      <c r="E1110"/>
      <c r="F1110"/>
      <c r="G1110"/>
      <c r="H1110"/>
    </row>
    <row r="1111" spans="1:8">
      <c r="A1111"/>
      <c r="B1111"/>
      <c r="C1111"/>
      <c r="D1111"/>
      <c r="E1111"/>
      <c r="F1111"/>
      <c r="G1111"/>
      <c r="H1111"/>
    </row>
    <row r="1112" spans="1:8">
      <c r="A1112"/>
      <c r="B1112"/>
      <c r="C1112"/>
      <c r="D1112"/>
      <c r="E1112"/>
      <c r="F1112"/>
      <c r="G1112"/>
      <c r="H1112"/>
    </row>
    <row r="1113" spans="1:8">
      <c r="A1113"/>
      <c r="B1113"/>
      <c r="C1113"/>
      <c r="D1113"/>
      <c r="E1113"/>
      <c r="F1113"/>
      <c r="G1113"/>
      <c r="H1113"/>
    </row>
    <row r="1114" spans="1:8">
      <c r="A1114"/>
      <c r="B1114"/>
      <c r="C1114"/>
      <c r="D1114"/>
      <c r="E1114"/>
      <c r="F1114"/>
      <c r="G1114"/>
      <c r="H1114"/>
    </row>
    <row r="1115" spans="1:8">
      <c r="A1115"/>
      <c r="B1115"/>
      <c r="C1115"/>
      <c r="D1115"/>
      <c r="E1115"/>
      <c r="F1115"/>
      <c r="G1115"/>
      <c r="H1115"/>
    </row>
    <row r="1116" spans="1:8">
      <c r="A1116"/>
      <c r="B1116"/>
      <c r="C1116"/>
      <c r="D1116"/>
      <c r="E1116"/>
      <c r="F1116"/>
      <c r="G1116"/>
      <c r="H1116"/>
    </row>
    <row r="1117" spans="1:8">
      <c r="A1117"/>
      <c r="B1117"/>
      <c r="C1117"/>
      <c r="D1117"/>
      <c r="E1117"/>
      <c r="F1117"/>
      <c r="G1117"/>
      <c r="H1117"/>
    </row>
    <row r="1118" spans="1:8">
      <c r="A1118"/>
      <c r="B1118"/>
      <c r="C1118"/>
      <c r="D1118"/>
      <c r="E1118"/>
      <c r="F1118"/>
      <c r="G1118"/>
      <c r="H1118"/>
    </row>
    <row r="1119" spans="1:8">
      <c r="A1119"/>
      <c r="B1119"/>
      <c r="C1119"/>
      <c r="D1119"/>
      <c r="E1119"/>
      <c r="F1119"/>
      <c r="G1119"/>
      <c r="H1119"/>
    </row>
    <row r="1120" spans="1:8">
      <c r="A1120"/>
      <c r="B1120"/>
      <c r="C1120"/>
      <c r="D1120"/>
      <c r="E1120"/>
      <c r="F1120"/>
      <c r="G1120"/>
      <c r="H1120"/>
    </row>
    <row r="1121" spans="1:8">
      <c r="A1121"/>
      <c r="B1121"/>
      <c r="C1121"/>
      <c r="D1121"/>
      <c r="E1121"/>
      <c r="F1121"/>
      <c r="G1121"/>
      <c r="H1121"/>
    </row>
    <row r="1122" spans="1:8">
      <c r="A1122"/>
      <c r="B1122"/>
      <c r="C1122"/>
      <c r="D1122"/>
      <c r="E1122"/>
      <c r="F1122"/>
      <c r="G1122"/>
      <c r="H1122"/>
    </row>
    <row r="1123" spans="1:8">
      <c r="A1123"/>
      <c r="B1123"/>
      <c r="C1123"/>
      <c r="D1123"/>
      <c r="E1123"/>
      <c r="F1123"/>
      <c r="G1123"/>
      <c r="H1123"/>
    </row>
    <row r="1124" spans="1:8">
      <c r="A1124"/>
      <c r="B1124"/>
      <c r="C1124"/>
      <c r="D1124"/>
      <c r="E1124"/>
      <c r="F1124"/>
      <c r="G1124"/>
      <c r="H1124"/>
    </row>
    <row r="1125" spans="1:8">
      <c r="A1125"/>
      <c r="B1125"/>
      <c r="C1125"/>
      <c r="D1125"/>
      <c r="E1125"/>
      <c r="F1125"/>
      <c r="G1125"/>
      <c r="H1125"/>
    </row>
    <row r="1126" spans="1:8">
      <c r="A1126"/>
      <c r="B1126"/>
      <c r="C1126"/>
      <c r="D1126"/>
      <c r="E1126"/>
      <c r="F1126"/>
      <c r="G1126"/>
      <c r="H1126"/>
    </row>
    <row r="1127" spans="1:8">
      <c r="A1127"/>
      <c r="B1127"/>
      <c r="C1127"/>
      <c r="D1127"/>
      <c r="E1127"/>
      <c r="F1127"/>
      <c r="G1127"/>
      <c r="H1127"/>
    </row>
    <row r="1128" spans="1:8">
      <c r="A1128"/>
      <c r="B1128"/>
      <c r="C1128"/>
      <c r="D1128"/>
      <c r="E1128"/>
      <c r="F1128"/>
      <c r="G1128"/>
      <c r="H1128"/>
    </row>
    <row r="1129" spans="1:8">
      <c r="A1129"/>
      <c r="B1129"/>
      <c r="C1129"/>
      <c r="D1129"/>
      <c r="E1129"/>
      <c r="F1129"/>
      <c r="G1129"/>
      <c r="H1129"/>
    </row>
    <row r="1130" spans="1:8">
      <c r="A1130"/>
      <c r="B1130"/>
      <c r="C1130"/>
      <c r="D1130"/>
      <c r="E1130"/>
      <c r="F1130"/>
      <c r="G1130"/>
      <c r="H1130"/>
    </row>
    <row r="1131" spans="1:8">
      <c r="A1131"/>
      <c r="B1131"/>
      <c r="C1131"/>
      <c r="D1131"/>
      <c r="E1131"/>
      <c r="F1131"/>
      <c r="G1131"/>
      <c r="H1131"/>
    </row>
    <row r="1132" spans="1:8">
      <c r="A1132"/>
      <c r="B1132"/>
      <c r="C1132"/>
      <c r="D1132"/>
      <c r="E1132"/>
      <c r="F1132"/>
      <c r="G1132"/>
      <c r="H1132"/>
    </row>
    <row r="1133" spans="1:8">
      <c r="A1133"/>
      <c r="B1133"/>
      <c r="C1133"/>
      <c r="D1133"/>
      <c r="E1133"/>
      <c r="F1133"/>
      <c r="G1133"/>
      <c r="H1133"/>
    </row>
    <row r="1134" spans="1:8">
      <c r="A1134"/>
      <c r="B1134"/>
      <c r="C1134"/>
      <c r="D1134"/>
      <c r="E1134"/>
      <c r="F1134"/>
      <c r="G1134"/>
      <c r="H1134"/>
    </row>
    <row r="1135" spans="1:8">
      <c r="A1135"/>
      <c r="B1135"/>
      <c r="C1135"/>
      <c r="D1135"/>
      <c r="E1135"/>
      <c r="F1135"/>
      <c r="G1135"/>
      <c r="H1135"/>
    </row>
    <row r="1136" spans="1:8">
      <c r="A1136"/>
      <c r="B1136"/>
      <c r="C1136"/>
      <c r="D1136"/>
      <c r="E1136"/>
      <c r="F1136"/>
      <c r="G1136"/>
      <c r="H1136"/>
    </row>
    <row r="1137" spans="1:8">
      <c r="A1137"/>
      <c r="B1137"/>
      <c r="C1137"/>
      <c r="D1137"/>
      <c r="E1137"/>
      <c r="F1137"/>
      <c r="G1137"/>
      <c r="H1137"/>
    </row>
    <row r="1138" spans="1:8">
      <c r="A1138"/>
      <c r="B1138"/>
      <c r="C1138"/>
      <c r="D1138"/>
      <c r="E1138"/>
      <c r="F1138"/>
      <c r="G1138"/>
      <c r="H1138"/>
    </row>
    <row r="1139" spans="1:8">
      <c r="A1139"/>
      <c r="B1139"/>
      <c r="C1139"/>
      <c r="D1139"/>
      <c r="E1139"/>
      <c r="F1139"/>
      <c r="G1139"/>
      <c r="H1139"/>
    </row>
    <row r="1140" spans="1:8">
      <c r="A1140"/>
      <c r="B1140"/>
      <c r="C1140"/>
      <c r="D1140"/>
      <c r="E1140"/>
      <c r="F1140"/>
      <c r="G1140"/>
      <c r="H1140"/>
    </row>
    <row r="1141" spans="1:8">
      <c r="A1141"/>
      <c r="B1141"/>
      <c r="C1141"/>
      <c r="D1141"/>
      <c r="E1141"/>
      <c r="F1141"/>
      <c r="G1141"/>
      <c r="H1141"/>
    </row>
    <row r="1142" spans="1:8">
      <c r="A1142"/>
      <c r="B1142"/>
      <c r="C1142"/>
      <c r="D1142"/>
      <c r="E1142"/>
      <c r="F1142"/>
      <c r="G1142"/>
      <c r="H1142"/>
    </row>
    <row r="1143" spans="1:8">
      <c r="A1143"/>
      <c r="B1143"/>
      <c r="C1143"/>
      <c r="D1143"/>
      <c r="E1143"/>
      <c r="F1143"/>
      <c r="G1143"/>
      <c r="H1143"/>
    </row>
    <row r="1144" spans="1:8">
      <c r="A1144"/>
      <c r="B1144"/>
      <c r="C1144"/>
      <c r="D1144"/>
      <c r="E1144"/>
      <c r="F1144"/>
      <c r="G1144"/>
      <c r="H1144"/>
    </row>
    <row r="1145" spans="1:8">
      <c r="A1145"/>
      <c r="B1145"/>
      <c r="C1145"/>
      <c r="D1145"/>
      <c r="E1145"/>
      <c r="F1145"/>
      <c r="G1145"/>
      <c r="H1145"/>
    </row>
    <row r="1146" spans="1:8">
      <c r="A1146"/>
      <c r="B1146"/>
      <c r="C1146"/>
      <c r="D1146"/>
      <c r="E1146"/>
      <c r="F1146"/>
      <c r="G1146"/>
      <c r="H1146"/>
    </row>
    <row r="1147" spans="1:8">
      <c r="A1147"/>
      <c r="B1147"/>
      <c r="C1147"/>
      <c r="D1147"/>
      <c r="E1147"/>
      <c r="F1147"/>
      <c r="G1147"/>
      <c r="H1147"/>
    </row>
    <row r="1148" spans="1:8">
      <c r="A1148"/>
      <c r="B1148"/>
      <c r="C1148"/>
      <c r="D1148"/>
      <c r="E1148"/>
      <c r="F1148"/>
      <c r="G1148"/>
      <c r="H1148"/>
    </row>
    <row r="1149" spans="1:8">
      <c r="A1149"/>
      <c r="B1149"/>
      <c r="C1149"/>
      <c r="D1149"/>
      <c r="E1149"/>
      <c r="F1149"/>
      <c r="G1149"/>
      <c r="H1149"/>
    </row>
    <row r="1150" spans="1:8">
      <c r="A1150"/>
      <c r="B1150"/>
      <c r="C1150"/>
      <c r="D1150"/>
      <c r="E1150"/>
      <c r="F1150"/>
      <c r="G1150"/>
      <c r="H1150"/>
    </row>
    <row r="1151" spans="1:8">
      <c r="A1151"/>
      <c r="B1151"/>
      <c r="C1151"/>
      <c r="D1151"/>
      <c r="E1151"/>
      <c r="F1151"/>
      <c r="G1151"/>
      <c r="H1151"/>
    </row>
    <row r="1152" spans="1:8">
      <c r="A1152"/>
      <c r="B1152"/>
      <c r="C1152"/>
      <c r="D1152"/>
      <c r="E1152"/>
      <c r="F1152"/>
      <c r="G1152"/>
      <c r="H1152"/>
    </row>
    <row r="1153" spans="1:8">
      <c r="A1153"/>
      <c r="B1153"/>
      <c r="C1153"/>
      <c r="D1153"/>
      <c r="E1153"/>
      <c r="F1153"/>
      <c r="G1153"/>
      <c r="H1153"/>
    </row>
    <row r="1154" spans="1:8">
      <c r="A1154"/>
      <c r="B1154"/>
      <c r="C1154"/>
      <c r="D1154"/>
      <c r="E1154"/>
      <c r="F1154"/>
      <c r="G1154"/>
      <c r="H1154"/>
    </row>
    <row r="1155" spans="1:8">
      <c r="A1155"/>
      <c r="B1155"/>
      <c r="C1155"/>
      <c r="D1155"/>
      <c r="E1155"/>
      <c r="F1155"/>
      <c r="G1155"/>
      <c r="H1155"/>
    </row>
    <row r="1156" spans="1:8">
      <c r="A1156"/>
      <c r="B1156"/>
      <c r="C1156"/>
      <c r="D1156"/>
      <c r="E1156"/>
      <c r="F1156"/>
      <c r="G1156"/>
      <c r="H1156"/>
    </row>
    <row r="1157" spans="1:8">
      <c r="A1157"/>
      <c r="B1157"/>
      <c r="C1157"/>
      <c r="D1157"/>
      <c r="E1157"/>
      <c r="F1157"/>
      <c r="G1157"/>
      <c r="H1157"/>
    </row>
    <row r="1158" spans="1:8">
      <c r="A1158"/>
      <c r="B1158"/>
      <c r="C1158"/>
      <c r="D1158"/>
      <c r="E1158"/>
      <c r="F1158"/>
      <c r="G1158"/>
      <c r="H1158"/>
    </row>
    <row r="1159" spans="1:8">
      <c r="A1159"/>
      <c r="B1159"/>
      <c r="C1159"/>
      <c r="D1159"/>
      <c r="E1159"/>
      <c r="F1159"/>
      <c r="G1159"/>
      <c r="H1159"/>
    </row>
    <row r="1160" spans="1:8">
      <c r="A1160"/>
      <c r="B1160"/>
      <c r="C1160"/>
      <c r="D1160"/>
      <c r="E1160"/>
      <c r="F1160"/>
      <c r="G1160"/>
      <c r="H1160"/>
    </row>
    <row r="1161" spans="1:8">
      <c r="A1161"/>
      <c r="B1161"/>
      <c r="C1161"/>
      <c r="D1161"/>
      <c r="E1161"/>
      <c r="F1161"/>
      <c r="G1161"/>
      <c r="H1161"/>
    </row>
    <row r="1162" spans="1:8">
      <c r="A1162"/>
      <c r="B1162"/>
      <c r="C1162"/>
      <c r="D1162"/>
      <c r="E1162"/>
      <c r="F1162"/>
      <c r="G1162"/>
      <c r="H1162"/>
    </row>
    <row r="1163" spans="1:8">
      <c r="A1163"/>
      <c r="B1163"/>
      <c r="C1163"/>
      <c r="D1163"/>
      <c r="E1163"/>
      <c r="F1163"/>
      <c r="G1163"/>
      <c r="H1163"/>
    </row>
    <row r="1164" spans="1:8">
      <c r="A1164"/>
      <c r="B1164"/>
      <c r="C1164"/>
      <c r="D1164"/>
      <c r="E1164"/>
      <c r="F1164"/>
      <c r="G1164"/>
      <c r="H1164"/>
    </row>
    <row r="1165" spans="1:8">
      <c r="A1165"/>
      <c r="B1165"/>
      <c r="C1165"/>
      <c r="D1165"/>
      <c r="E1165"/>
      <c r="F1165"/>
      <c r="G1165"/>
      <c r="H1165"/>
    </row>
    <row r="1166" spans="1:8">
      <c r="A1166"/>
      <c r="B1166"/>
      <c r="C1166"/>
      <c r="D1166"/>
      <c r="E1166"/>
      <c r="F1166"/>
      <c r="G1166"/>
      <c r="H1166"/>
    </row>
    <row r="1167" spans="1:8">
      <c r="A1167"/>
      <c r="B1167"/>
      <c r="C1167"/>
      <c r="D1167"/>
      <c r="E1167"/>
      <c r="F1167"/>
      <c r="G1167"/>
      <c r="H1167"/>
    </row>
    <row r="1168" spans="1:8">
      <c r="A1168"/>
      <c r="B1168"/>
      <c r="C1168"/>
      <c r="D1168"/>
      <c r="E1168"/>
      <c r="F1168"/>
      <c r="G1168"/>
      <c r="H1168"/>
    </row>
    <row r="1169" spans="1:8">
      <c r="A1169"/>
      <c r="B1169"/>
      <c r="C1169"/>
      <c r="D1169"/>
      <c r="E1169"/>
      <c r="F1169"/>
      <c r="G1169"/>
      <c r="H1169"/>
    </row>
    <row r="1170" spans="1:8">
      <c r="A1170"/>
      <c r="B1170"/>
      <c r="C1170"/>
      <c r="D1170"/>
      <c r="E1170"/>
      <c r="F1170"/>
      <c r="G1170"/>
      <c r="H1170"/>
    </row>
    <row r="1171" spans="1:8">
      <c r="A1171"/>
      <c r="B1171"/>
      <c r="C1171"/>
      <c r="D1171"/>
      <c r="E1171"/>
      <c r="F1171"/>
      <c r="G1171"/>
      <c r="H1171"/>
    </row>
    <row r="1172" spans="1:8">
      <c r="A1172"/>
      <c r="B1172"/>
      <c r="C1172"/>
      <c r="D1172"/>
      <c r="E1172"/>
      <c r="F1172"/>
      <c r="G1172"/>
      <c r="H1172"/>
    </row>
    <row r="1173" spans="1:8">
      <c r="A1173"/>
      <c r="B1173"/>
      <c r="C1173"/>
      <c r="D1173"/>
      <c r="E1173"/>
      <c r="F1173"/>
      <c r="G1173"/>
      <c r="H1173"/>
    </row>
    <row r="1174" spans="1:8">
      <c r="A1174"/>
      <c r="B1174"/>
      <c r="C1174"/>
      <c r="D1174"/>
      <c r="E1174"/>
      <c r="F1174"/>
      <c r="G1174"/>
      <c r="H1174"/>
    </row>
    <row r="1175" spans="1:8">
      <c r="A1175"/>
      <c r="B1175"/>
      <c r="C1175"/>
      <c r="D1175"/>
      <c r="E1175"/>
      <c r="F1175"/>
      <c r="G1175"/>
      <c r="H1175"/>
    </row>
    <row r="1176" spans="1:8">
      <c r="A1176"/>
      <c r="B1176"/>
      <c r="C1176"/>
      <c r="D1176"/>
      <c r="E1176"/>
      <c r="F1176"/>
      <c r="G1176"/>
      <c r="H1176"/>
    </row>
    <row r="1177" spans="1:8">
      <c r="A1177"/>
      <c r="B1177"/>
      <c r="C1177"/>
      <c r="D1177"/>
      <c r="E1177"/>
      <c r="F1177"/>
      <c r="G1177"/>
      <c r="H1177"/>
    </row>
    <row r="1178" spans="1:8">
      <c r="A1178"/>
      <c r="B1178"/>
      <c r="C1178"/>
      <c r="D1178"/>
      <c r="E1178"/>
      <c r="F1178"/>
      <c r="G1178"/>
      <c r="H1178"/>
    </row>
    <row r="1179" spans="1:8">
      <c r="A1179"/>
      <c r="B1179"/>
      <c r="C1179"/>
      <c r="D1179"/>
      <c r="E1179"/>
      <c r="F1179"/>
      <c r="G1179"/>
      <c r="H1179"/>
    </row>
    <row r="1180" spans="1:8">
      <c r="A1180"/>
      <c r="B1180"/>
      <c r="C1180"/>
      <c r="D1180"/>
      <c r="E1180"/>
      <c r="F1180"/>
      <c r="G1180"/>
      <c r="H1180"/>
    </row>
    <row r="1181" spans="1:8">
      <c r="A1181"/>
      <c r="B1181"/>
      <c r="C1181"/>
      <c r="D1181"/>
      <c r="E1181"/>
      <c r="F1181"/>
      <c r="G1181"/>
      <c r="H1181"/>
    </row>
    <row r="1182" spans="1:8">
      <c r="A1182"/>
      <c r="B1182"/>
      <c r="C1182"/>
      <c r="D1182"/>
      <c r="E1182"/>
      <c r="F1182"/>
      <c r="G1182"/>
      <c r="H1182"/>
    </row>
    <row r="1183" spans="1:8">
      <c r="A1183"/>
      <c r="B1183"/>
      <c r="C1183"/>
      <c r="D1183"/>
      <c r="E1183"/>
      <c r="F1183"/>
      <c r="G1183"/>
      <c r="H1183"/>
    </row>
    <row r="1184" spans="1:8">
      <c r="A1184"/>
      <c r="B1184"/>
      <c r="C1184"/>
      <c r="D1184"/>
      <c r="E1184"/>
      <c r="F1184"/>
      <c r="G1184"/>
      <c r="H1184"/>
    </row>
    <row r="1185" spans="1:8">
      <c r="A1185"/>
      <c r="B1185"/>
      <c r="C1185"/>
      <c r="D1185"/>
      <c r="E1185"/>
      <c r="F1185"/>
      <c r="G1185"/>
      <c r="H1185"/>
    </row>
    <row r="1186" spans="1:8">
      <c r="A1186"/>
      <c r="B1186"/>
      <c r="C1186"/>
      <c r="D1186"/>
      <c r="E1186"/>
      <c r="F1186"/>
      <c r="G1186"/>
      <c r="H1186"/>
    </row>
    <row r="1187" spans="1:8">
      <c r="A1187"/>
      <c r="B1187"/>
      <c r="C1187"/>
      <c r="D1187"/>
      <c r="E1187"/>
      <c r="F1187"/>
      <c r="G1187"/>
      <c r="H1187"/>
    </row>
    <row r="1188" spans="1:8">
      <c r="A1188"/>
      <c r="B1188"/>
      <c r="C1188"/>
      <c r="D1188"/>
      <c r="E1188"/>
      <c r="F1188"/>
      <c r="G1188"/>
      <c r="H1188"/>
    </row>
    <row r="1189" spans="1:8">
      <c r="A1189"/>
      <c r="B1189"/>
      <c r="C1189"/>
      <c r="D1189"/>
      <c r="E1189"/>
      <c r="F1189"/>
      <c r="G1189"/>
      <c r="H1189"/>
    </row>
    <row r="1190" spans="1:8">
      <c r="A1190"/>
      <c r="B1190"/>
      <c r="C1190"/>
      <c r="D1190"/>
      <c r="E1190"/>
      <c r="F1190"/>
      <c r="G1190"/>
      <c r="H1190"/>
    </row>
    <row r="1191" spans="1:8">
      <c r="A1191"/>
      <c r="B1191"/>
      <c r="C1191"/>
      <c r="D1191"/>
      <c r="E1191"/>
      <c r="F1191"/>
      <c r="G1191"/>
      <c r="H1191"/>
    </row>
    <row r="1192" spans="1:8">
      <c r="A1192"/>
      <c r="B1192"/>
      <c r="C1192"/>
      <c r="D1192"/>
      <c r="E1192"/>
      <c r="F1192"/>
      <c r="G1192"/>
      <c r="H1192"/>
    </row>
    <row r="1193" spans="1:8">
      <c r="A1193"/>
      <c r="B1193"/>
      <c r="C1193"/>
      <c r="D1193"/>
      <c r="E1193"/>
      <c r="F1193"/>
      <c r="G1193"/>
      <c r="H1193"/>
    </row>
    <row r="1194" spans="1:8">
      <c r="A1194"/>
      <c r="B1194"/>
      <c r="C1194"/>
      <c r="D1194"/>
      <c r="E1194"/>
      <c r="F1194"/>
      <c r="G1194"/>
      <c r="H1194"/>
    </row>
    <row r="1195" spans="1:8">
      <c r="A1195"/>
      <c r="B1195"/>
      <c r="C1195"/>
      <c r="D1195"/>
      <c r="E1195"/>
      <c r="F1195"/>
      <c r="G1195"/>
      <c r="H1195"/>
    </row>
    <row r="1196" spans="1:8">
      <c r="A1196"/>
      <c r="B1196"/>
      <c r="C1196"/>
      <c r="D1196"/>
      <c r="E1196"/>
      <c r="F1196"/>
      <c r="G1196"/>
      <c r="H1196"/>
    </row>
    <row r="1197" spans="1:8">
      <c r="A1197"/>
      <c r="B1197"/>
      <c r="C1197"/>
      <c r="D1197"/>
      <c r="E1197"/>
      <c r="F1197"/>
      <c r="G1197"/>
      <c r="H1197"/>
    </row>
    <row r="1198" spans="1:8">
      <c r="A1198"/>
      <c r="B1198"/>
      <c r="C1198"/>
      <c r="D1198"/>
      <c r="E1198"/>
      <c r="F1198"/>
      <c r="G1198"/>
      <c r="H1198"/>
    </row>
    <row r="1199" spans="1:8">
      <c r="A1199"/>
      <c r="B1199"/>
      <c r="C1199"/>
      <c r="D1199"/>
      <c r="E1199"/>
      <c r="F1199"/>
      <c r="G1199"/>
      <c r="H1199"/>
    </row>
    <row r="1200" spans="1:8">
      <c r="A1200"/>
      <c r="B1200"/>
      <c r="C1200"/>
      <c r="D1200"/>
      <c r="E1200"/>
      <c r="F1200"/>
      <c r="G1200"/>
      <c r="H1200"/>
    </row>
    <row r="1201" spans="1:8">
      <c r="A1201"/>
      <c r="B1201"/>
      <c r="C1201"/>
      <c r="D1201"/>
      <c r="E1201"/>
      <c r="F1201"/>
      <c r="G1201"/>
      <c r="H1201"/>
    </row>
    <row r="1202" spans="1:8">
      <c r="A1202"/>
      <c r="B1202"/>
      <c r="C1202"/>
      <c r="D1202"/>
      <c r="E1202"/>
      <c r="F1202"/>
      <c r="G1202"/>
      <c r="H1202"/>
    </row>
    <row r="1203" spans="1:8">
      <c r="A1203"/>
      <c r="B1203"/>
      <c r="C1203"/>
      <c r="D1203"/>
      <c r="E1203"/>
      <c r="F1203"/>
      <c r="G1203"/>
      <c r="H1203"/>
    </row>
    <row r="1204" spans="1:8">
      <c r="A1204"/>
      <c r="B1204"/>
      <c r="C1204"/>
      <c r="D1204"/>
      <c r="E1204"/>
      <c r="F1204"/>
      <c r="G1204"/>
      <c r="H1204"/>
    </row>
    <row r="1205" spans="1:8">
      <c r="A1205"/>
      <c r="B1205"/>
      <c r="C1205"/>
      <c r="D1205"/>
      <c r="E1205"/>
      <c r="F1205"/>
      <c r="G1205"/>
      <c r="H1205"/>
    </row>
    <row r="1206" spans="1:8">
      <c r="A1206"/>
      <c r="B1206"/>
      <c r="C1206"/>
      <c r="D1206"/>
      <c r="E1206"/>
      <c r="F1206"/>
      <c r="G1206"/>
      <c r="H1206"/>
    </row>
    <row r="1207" spans="1:8">
      <c r="A1207"/>
      <c r="B1207"/>
      <c r="C1207"/>
      <c r="D1207"/>
      <c r="E1207"/>
      <c r="F1207"/>
      <c r="G1207"/>
      <c r="H1207"/>
    </row>
    <row r="1208" spans="1:8">
      <c r="A1208"/>
      <c r="B1208"/>
      <c r="C1208"/>
      <c r="D1208"/>
      <c r="E1208"/>
      <c r="F1208"/>
      <c r="G1208"/>
      <c r="H1208"/>
    </row>
    <row r="1209" spans="1:8">
      <c r="A1209"/>
      <c r="B1209"/>
      <c r="C1209"/>
      <c r="D1209"/>
      <c r="E1209"/>
      <c r="F1209"/>
      <c r="G1209"/>
      <c r="H1209"/>
    </row>
    <row r="1210" spans="1:8">
      <c r="A1210"/>
      <c r="B1210"/>
      <c r="C1210"/>
      <c r="D1210"/>
      <c r="E1210"/>
      <c r="F1210"/>
      <c r="G1210"/>
      <c r="H1210"/>
    </row>
    <row r="1211" spans="1:8">
      <c r="A1211"/>
      <c r="B1211"/>
      <c r="C1211"/>
      <c r="D1211"/>
      <c r="E1211"/>
      <c r="F1211"/>
      <c r="G1211"/>
      <c r="H1211"/>
    </row>
    <row r="1212" spans="1:8">
      <c r="A1212"/>
      <c r="B1212"/>
      <c r="C1212"/>
      <c r="D1212"/>
      <c r="E1212"/>
      <c r="F1212"/>
      <c r="G1212"/>
      <c r="H1212"/>
    </row>
    <row r="1213" spans="1:8">
      <c r="A1213"/>
      <c r="B1213"/>
      <c r="C1213"/>
      <c r="D1213"/>
      <c r="E1213"/>
      <c r="F1213"/>
      <c r="G1213"/>
      <c r="H1213"/>
    </row>
    <row r="1214" spans="1:8">
      <c r="A1214"/>
      <c r="B1214"/>
      <c r="C1214"/>
      <c r="D1214"/>
      <c r="E1214"/>
      <c r="F1214"/>
      <c r="G1214"/>
      <c r="H1214"/>
    </row>
    <row r="1215" spans="1:8">
      <c r="A1215"/>
      <c r="B1215"/>
      <c r="C1215"/>
      <c r="D1215"/>
      <c r="E1215"/>
      <c r="F1215"/>
      <c r="G1215"/>
      <c r="H1215"/>
    </row>
    <row r="1216" spans="1:8">
      <c r="A1216"/>
      <c r="B1216"/>
      <c r="C1216"/>
      <c r="D1216"/>
      <c r="E1216"/>
      <c r="F1216"/>
      <c r="G1216"/>
      <c r="H1216"/>
    </row>
    <row r="1217" spans="1:8">
      <c r="A1217"/>
      <c r="B1217"/>
      <c r="C1217"/>
      <c r="D1217"/>
      <c r="E1217"/>
      <c r="F1217"/>
      <c r="G1217"/>
      <c r="H1217"/>
    </row>
    <row r="1218" spans="1:8">
      <c r="A1218"/>
      <c r="B1218"/>
      <c r="C1218"/>
      <c r="D1218"/>
      <c r="E1218"/>
      <c r="F1218"/>
      <c r="G1218"/>
      <c r="H1218"/>
    </row>
    <row r="1219" spans="1:8">
      <c r="A1219"/>
      <c r="B1219"/>
      <c r="C1219"/>
      <c r="D1219"/>
      <c r="E1219"/>
      <c r="F1219"/>
      <c r="G1219"/>
      <c r="H1219"/>
    </row>
    <row r="1220" spans="1:8">
      <c r="A1220"/>
      <c r="B1220"/>
      <c r="C1220"/>
      <c r="D1220"/>
      <c r="E1220"/>
      <c r="F1220"/>
      <c r="G1220"/>
      <c r="H1220"/>
    </row>
    <row r="1221" spans="1:8">
      <c r="A1221"/>
      <c r="B1221"/>
      <c r="C1221"/>
      <c r="D1221"/>
      <c r="E1221"/>
      <c r="F1221"/>
      <c r="G1221"/>
      <c r="H1221"/>
    </row>
    <row r="1222" spans="1:8">
      <c r="A1222"/>
      <c r="B1222"/>
      <c r="C1222"/>
      <c r="D1222"/>
      <c r="E1222"/>
      <c r="F1222"/>
      <c r="G1222"/>
      <c r="H1222"/>
    </row>
    <row r="1223" spans="1:8">
      <c r="A1223"/>
      <c r="B1223"/>
      <c r="C1223"/>
      <c r="D1223"/>
      <c r="E1223"/>
      <c r="F1223"/>
      <c r="G1223"/>
      <c r="H1223"/>
    </row>
    <row r="1224" spans="1:8">
      <c r="A1224"/>
      <c r="B1224"/>
      <c r="C1224"/>
      <c r="D1224"/>
      <c r="E1224"/>
      <c r="F1224"/>
      <c r="G1224"/>
      <c r="H1224"/>
    </row>
    <row r="1225" spans="1:8">
      <c r="A1225"/>
      <c r="B1225"/>
      <c r="C1225"/>
      <c r="D1225"/>
      <c r="E1225"/>
      <c r="F1225"/>
      <c r="G1225"/>
      <c r="H1225"/>
    </row>
    <row r="1226" spans="1:8">
      <c r="A1226"/>
      <c r="B1226"/>
      <c r="C1226"/>
      <c r="D1226"/>
      <c r="E1226"/>
      <c r="F1226"/>
      <c r="G1226"/>
      <c r="H1226"/>
    </row>
    <row r="1227" spans="1:8">
      <c r="A1227"/>
      <c r="B1227"/>
      <c r="C1227"/>
      <c r="D1227"/>
      <c r="E1227"/>
      <c r="F1227"/>
      <c r="G1227"/>
      <c r="H1227"/>
    </row>
    <row r="1228" spans="1:8">
      <c r="A1228"/>
      <c r="B1228"/>
      <c r="C1228"/>
      <c r="D1228"/>
      <c r="E1228"/>
      <c r="F1228"/>
      <c r="G1228"/>
      <c r="H1228"/>
    </row>
    <row r="1229" spans="1:8">
      <c r="A1229"/>
      <c r="B1229"/>
      <c r="C1229"/>
      <c r="D1229"/>
      <c r="E1229"/>
      <c r="F1229"/>
      <c r="G1229"/>
      <c r="H1229"/>
    </row>
    <row r="1230" spans="1:8">
      <c r="A1230"/>
      <c r="B1230"/>
      <c r="C1230"/>
      <c r="D1230"/>
      <c r="E1230"/>
      <c r="F1230"/>
      <c r="G1230"/>
      <c r="H1230"/>
    </row>
    <row r="1231" spans="1:8">
      <c r="A1231"/>
      <c r="B1231"/>
      <c r="C1231"/>
      <c r="D1231"/>
      <c r="E1231"/>
      <c r="F1231"/>
      <c r="G1231"/>
      <c r="H1231"/>
    </row>
    <row r="1232" spans="1:8">
      <c r="A1232"/>
      <c r="B1232"/>
      <c r="C1232"/>
      <c r="D1232"/>
      <c r="E1232"/>
      <c r="F1232"/>
      <c r="G1232"/>
      <c r="H1232"/>
    </row>
    <row r="1233" spans="1:8">
      <c r="A1233"/>
      <c r="B1233"/>
      <c r="C1233"/>
      <c r="D1233"/>
      <c r="E1233"/>
      <c r="F1233"/>
      <c r="G1233"/>
      <c r="H1233"/>
    </row>
    <row r="1234" spans="1:8">
      <c r="A1234"/>
      <c r="B1234"/>
      <c r="C1234"/>
      <c r="D1234"/>
      <c r="E1234"/>
      <c r="F1234"/>
      <c r="G1234"/>
      <c r="H1234"/>
    </row>
    <row r="1235" spans="1:8">
      <c r="A1235"/>
      <c r="B1235"/>
      <c r="C1235"/>
      <c r="D1235"/>
      <c r="E1235"/>
      <c r="F1235"/>
      <c r="G1235"/>
      <c r="H1235"/>
    </row>
    <row r="1236" spans="1:8">
      <c r="A1236"/>
      <c r="B1236"/>
      <c r="C1236"/>
      <c r="D1236"/>
      <c r="E1236"/>
      <c r="F1236"/>
      <c r="G1236"/>
      <c r="H1236"/>
    </row>
    <row r="1237" spans="1:8">
      <c r="A1237"/>
      <c r="B1237"/>
      <c r="C1237"/>
      <c r="D1237"/>
      <c r="E1237"/>
      <c r="F1237"/>
      <c r="G1237"/>
      <c r="H1237"/>
    </row>
    <row r="1238" spans="1:8">
      <c r="A1238"/>
      <c r="B1238"/>
      <c r="C1238"/>
      <c r="D1238"/>
      <c r="E1238"/>
      <c r="F1238"/>
      <c r="G1238"/>
      <c r="H1238"/>
    </row>
    <row r="1239" spans="1:8">
      <c r="A1239"/>
      <c r="B1239"/>
      <c r="C1239"/>
      <c r="D1239"/>
      <c r="E1239"/>
      <c r="F1239"/>
      <c r="G1239"/>
      <c r="H1239"/>
    </row>
    <row r="1240" spans="1:8">
      <c r="A1240"/>
      <c r="B1240"/>
      <c r="C1240"/>
      <c r="D1240"/>
      <c r="E1240"/>
      <c r="F1240"/>
      <c r="G1240"/>
      <c r="H1240"/>
    </row>
    <row r="1241" spans="1:8">
      <c r="A1241"/>
      <c r="B1241"/>
      <c r="C1241"/>
      <c r="D1241"/>
      <c r="E1241"/>
      <c r="F1241"/>
      <c r="G1241"/>
      <c r="H1241"/>
    </row>
    <row r="1242" spans="1:8">
      <c r="A1242"/>
      <c r="B1242"/>
      <c r="C1242"/>
      <c r="D1242"/>
      <c r="E1242"/>
      <c r="F1242"/>
      <c r="G1242"/>
      <c r="H1242"/>
    </row>
    <row r="1243" spans="1:8">
      <c r="A1243"/>
      <c r="B1243"/>
      <c r="C1243"/>
      <c r="D1243"/>
      <c r="E1243"/>
      <c r="F1243"/>
      <c r="G1243"/>
      <c r="H1243"/>
    </row>
    <row r="1244" spans="1:8">
      <c r="A1244"/>
      <c r="B1244"/>
      <c r="C1244"/>
      <c r="D1244"/>
      <c r="E1244"/>
      <c r="F1244"/>
      <c r="G1244"/>
      <c r="H1244"/>
    </row>
    <row r="1245" spans="1:8">
      <c r="A1245"/>
      <c r="B1245"/>
      <c r="C1245"/>
      <c r="D1245"/>
      <c r="E1245"/>
      <c r="F1245"/>
      <c r="G1245"/>
      <c r="H1245"/>
    </row>
    <row r="1246" spans="1:8">
      <c r="A1246"/>
      <c r="B1246"/>
      <c r="C1246"/>
      <c r="D1246"/>
      <c r="E1246"/>
      <c r="F1246"/>
      <c r="G1246"/>
      <c r="H1246"/>
    </row>
    <row r="1247" spans="1:8">
      <c r="A1247"/>
      <c r="B1247"/>
      <c r="C1247"/>
      <c r="D1247"/>
      <c r="E1247"/>
      <c r="F1247"/>
      <c r="G1247"/>
      <c r="H1247"/>
    </row>
    <row r="1248" spans="1:8">
      <c r="A1248"/>
      <c r="B1248"/>
      <c r="C1248"/>
      <c r="D1248"/>
      <c r="E1248"/>
      <c r="F1248"/>
      <c r="G1248"/>
      <c r="H1248"/>
    </row>
    <row r="1249" spans="1:8">
      <c r="A1249"/>
      <c r="B1249"/>
      <c r="C1249"/>
      <c r="D1249"/>
      <c r="E1249"/>
      <c r="F1249"/>
      <c r="G1249"/>
      <c r="H1249"/>
    </row>
    <row r="1250" spans="1:8">
      <c r="A1250"/>
      <c r="B1250"/>
      <c r="C1250"/>
      <c r="D1250"/>
      <c r="E1250"/>
      <c r="F1250"/>
      <c r="G1250"/>
      <c r="H1250"/>
    </row>
    <row r="1251" spans="1:8">
      <c r="A1251"/>
      <c r="B1251"/>
      <c r="C1251"/>
      <c r="D1251"/>
      <c r="E1251"/>
      <c r="F1251"/>
      <c r="G1251"/>
      <c r="H1251"/>
    </row>
    <row r="1252" spans="1:8">
      <c r="A1252"/>
      <c r="B1252"/>
      <c r="C1252"/>
      <c r="D1252"/>
      <c r="E1252"/>
      <c r="F1252"/>
      <c r="G1252"/>
      <c r="H1252"/>
    </row>
    <row r="1253" spans="1:8">
      <c r="A1253"/>
      <c r="B1253"/>
      <c r="C1253"/>
      <c r="D1253"/>
      <c r="E1253"/>
      <c r="F1253"/>
      <c r="G1253"/>
      <c r="H1253"/>
    </row>
    <row r="1254" spans="1:8">
      <c r="A1254"/>
      <c r="B1254"/>
      <c r="C1254"/>
      <c r="D1254"/>
      <c r="E1254"/>
      <c r="F1254"/>
      <c r="G1254"/>
      <c r="H1254"/>
    </row>
    <row r="1255" spans="1:8">
      <c r="A1255"/>
      <c r="B1255"/>
      <c r="C1255"/>
      <c r="D1255"/>
      <c r="E1255"/>
      <c r="F1255"/>
      <c r="G1255"/>
      <c r="H1255"/>
    </row>
    <row r="1256" spans="1:8">
      <c r="A1256"/>
      <c r="B1256"/>
      <c r="C1256"/>
      <c r="D1256"/>
      <c r="E1256"/>
      <c r="F1256"/>
      <c r="G1256"/>
      <c r="H1256"/>
    </row>
    <row r="1257" spans="1:8">
      <c r="A1257"/>
      <c r="B1257"/>
      <c r="C1257"/>
      <c r="D1257"/>
      <c r="E1257"/>
      <c r="F1257"/>
      <c r="G1257"/>
      <c r="H1257"/>
    </row>
    <row r="1258" spans="1:8">
      <c r="A1258"/>
      <c r="B1258"/>
      <c r="C1258"/>
      <c r="D1258"/>
      <c r="E1258"/>
      <c r="F1258"/>
      <c r="G1258"/>
      <c r="H1258"/>
    </row>
    <row r="1259" spans="1:8">
      <c r="A1259"/>
      <c r="B1259"/>
      <c r="C1259"/>
      <c r="D1259"/>
      <c r="E1259"/>
      <c r="F1259"/>
      <c r="G1259"/>
      <c r="H1259"/>
    </row>
    <row r="1260" spans="1:8">
      <c r="A1260"/>
      <c r="B1260"/>
      <c r="C1260"/>
      <c r="D1260"/>
      <c r="E1260"/>
      <c r="F1260"/>
      <c r="G1260"/>
      <c r="H1260"/>
    </row>
    <row r="1261" spans="1:8">
      <c r="A1261"/>
      <c r="B1261"/>
      <c r="C1261"/>
      <c r="D1261"/>
      <c r="E1261"/>
      <c r="F1261"/>
      <c r="G1261"/>
      <c r="H1261"/>
    </row>
    <row r="1262" spans="1:8">
      <c r="A1262"/>
      <c r="B1262"/>
      <c r="C1262"/>
      <c r="D1262"/>
      <c r="E1262"/>
      <c r="F1262"/>
      <c r="G1262"/>
      <c r="H1262"/>
    </row>
    <row r="1263" spans="1:8">
      <c r="A1263"/>
      <c r="B1263"/>
      <c r="C1263"/>
      <c r="D1263"/>
      <c r="E1263"/>
      <c r="F1263"/>
      <c r="G1263"/>
      <c r="H1263"/>
    </row>
    <row r="1264" spans="1:8">
      <c r="A1264"/>
      <c r="B1264"/>
      <c r="C1264"/>
      <c r="D1264"/>
      <c r="E1264"/>
      <c r="F1264"/>
      <c r="G1264"/>
      <c r="H1264"/>
    </row>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row>
    <row r="1336" spans="1:8">
      <c r="A1336"/>
      <c r="B1336"/>
      <c r="C1336"/>
      <c r="D1336"/>
      <c r="E1336"/>
      <c r="F1336"/>
      <c r="G1336"/>
    </row>
    <row r="1337" spans="1:8">
      <c r="A1337"/>
      <c r="B1337"/>
      <c r="C1337"/>
      <c r="D1337"/>
      <c r="E1337"/>
      <c r="F1337"/>
      <c r="G1337"/>
    </row>
    <row r="1338" spans="1:8">
      <c r="A1338"/>
      <c r="B1338"/>
      <c r="C1338"/>
      <c r="D1338"/>
      <c r="E1338"/>
      <c r="F1338"/>
      <c r="G1338"/>
    </row>
    <row r="1339" spans="1:8">
      <c r="A1339"/>
      <c r="B1339"/>
      <c r="C1339"/>
      <c r="D1339"/>
      <c r="E1339"/>
      <c r="F1339"/>
      <c r="G1339"/>
    </row>
    <row r="1340" spans="1:8">
      <c r="A1340"/>
      <c r="B1340"/>
      <c r="C1340"/>
      <c r="D1340"/>
      <c r="E1340"/>
      <c r="F1340"/>
      <c r="G1340"/>
    </row>
    <row r="1341" spans="1:8">
      <c r="A1341"/>
      <c r="B1341"/>
      <c r="C1341"/>
      <c r="D1341"/>
      <c r="E1341"/>
      <c r="F1341"/>
      <c r="G1341"/>
    </row>
    <row r="1342" spans="1:8">
      <c r="A1342"/>
      <c r="B1342"/>
      <c r="C1342"/>
      <c r="D1342"/>
      <c r="E1342"/>
      <c r="F1342"/>
      <c r="G1342"/>
    </row>
    <row r="1343" spans="1:8">
      <c r="A1343"/>
      <c r="B1343"/>
      <c r="C1343"/>
      <c r="D1343"/>
      <c r="E1343"/>
      <c r="F1343"/>
      <c r="G1343"/>
    </row>
    <row r="1344" spans="1:8">
      <c r="A1344"/>
      <c r="B1344"/>
      <c r="C1344"/>
      <c r="D1344"/>
      <c r="E1344"/>
      <c r="F1344"/>
      <c r="G1344"/>
    </row>
    <row r="1345" spans="1:7">
      <c r="A1345"/>
      <c r="B1345"/>
      <c r="C1345"/>
      <c r="D1345"/>
      <c r="E1345"/>
      <c r="F1345"/>
      <c r="G1345"/>
    </row>
    <row r="1346" spans="1:7">
      <c r="A1346"/>
      <c r="B1346"/>
      <c r="C1346"/>
      <c r="D1346"/>
      <c r="E1346"/>
      <c r="F1346"/>
      <c r="G1346"/>
    </row>
    <row r="1347" spans="1:7">
      <c r="A1347"/>
      <c r="B1347"/>
      <c r="C1347"/>
      <c r="D1347"/>
      <c r="E1347"/>
      <c r="F1347"/>
      <c r="G1347"/>
    </row>
    <row r="1348" spans="1:7">
      <c r="A1348"/>
      <c r="B1348"/>
      <c r="C1348"/>
      <c r="D1348"/>
      <c r="E1348"/>
      <c r="F1348"/>
      <c r="G1348"/>
    </row>
    <row r="1349" spans="1:7">
      <c r="A1349"/>
      <c r="B1349"/>
      <c r="C1349"/>
      <c r="D1349"/>
      <c r="E1349"/>
      <c r="F1349"/>
      <c r="G1349"/>
    </row>
    <row r="1350" spans="1:7">
      <c r="A1350"/>
      <c r="B1350"/>
      <c r="C1350"/>
      <c r="D1350"/>
      <c r="E1350"/>
      <c r="F1350"/>
      <c r="G1350"/>
    </row>
    <row r="1351" spans="1:7">
      <c r="A1351"/>
      <c r="B1351"/>
      <c r="C1351"/>
      <c r="D1351"/>
      <c r="E1351"/>
      <c r="F1351"/>
      <c r="G1351"/>
    </row>
    <row r="1352" spans="1:7">
      <c r="A1352"/>
      <c r="B1352"/>
      <c r="C1352"/>
      <c r="D1352"/>
      <c r="E1352"/>
      <c r="F1352"/>
      <c r="G1352"/>
    </row>
    <row r="1353" spans="1:7">
      <c r="A1353"/>
      <c r="B1353"/>
      <c r="C1353"/>
      <c r="D1353"/>
      <c r="E1353"/>
      <c r="F1353"/>
      <c r="G1353"/>
    </row>
    <row r="1354" spans="1:7">
      <c r="A1354"/>
      <c r="B1354"/>
      <c r="C1354"/>
      <c r="D1354"/>
      <c r="E1354"/>
      <c r="F1354"/>
      <c r="G1354"/>
    </row>
    <row r="1355" spans="1:7">
      <c r="A1355"/>
      <c r="B1355"/>
      <c r="C1355"/>
      <c r="D1355"/>
      <c r="E1355"/>
      <c r="F1355"/>
      <c r="G1355"/>
    </row>
    <row r="1356" spans="1:7">
      <c r="A1356"/>
      <c r="B1356"/>
      <c r="C1356"/>
      <c r="D1356"/>
      <c r="E1356"/>
      <c r="F1356"/>
      <c r="G1356"/>
    </row>
    <row r="1357" spans="1:7">
      <c r="A1357"/>
      <c r="B1357"/>
      <c r="C1357"/>
      <c r="D1357"/>
      <c r="E1357"/>
      <c r="F1357"/>
      <c r="G1357"/>
    </row>
    <row r="1358" spans="1:7">
      <c r="A1358"/>
      <c r="B1358"/>
      <c r="C1358"/>
      <c r="D1358"/>
      <c r="E1358"/>
      <c r="F1358"/>
      <c r="G1358"/>
    </row>
    <row r="1359" spans="1:7">
      <c r="A1359"/>
      <c r="B1359"/>
      <c r="C1359"/>
      <c r="D1359"/>
      <c r="E1359"/>
      <c r="F1359"/>
      <c r="G1359"/>
    </row>
    <row r="1360" spans="1:7">
      <c r="A1360"/>
      <c r="B1360"/>
      <c r="C1360"/>
      <c r="D1360"/>
      <c r="E1360"/>
      <c r="F1360"/>
      <c r="G1360"/>
    </row>
    <row r="1361" spans="1:7">
      <c r="A1361"/>
      <c r="B1361"/>
      <c r="C1361"/>
      <c r="D1361"/>
      <c r="E1361"/>
      <c r="F1361"/>
      <c r="G1361"/>
    </row>
    <row r="1362" spans="1:7">
      <c r="A1362"/>
      <c r="B1362"/>
      <c r="C1362"/>
      <c r="D1362"/>
      <c r="E1362"/>
      <c r="F1362"/>
      <c r="G1362"/>
    </row>
    <row r="1363" spans="1:7">
      <c r="A1363"/>
      <c r="B1363"/>
      <c r="C1363"/>
      <c r="D1363"/>
      <c r="E1363"/>
      <c r="F1363"/>
      <c r="G1363"/>
    </row>
    <row r="1364" spans="1:7">
      <c r="A1364"/>
      <c r="B1364"/>
      <c r="C1364"/>
      <c r="D1364"/>
      <c r="E1364"/>
      <c r="F1364"/>
      <c r="G1364"/>
    </row>
    <row r="1365" spans="1:7">
      <c r="A1365"/>
      <c r="B1365"/>
      <c r="C1365"/>
      <c r="D1365"/>
      <c r="E1365"/>
      <c r="F1365"/>
      <c r="G1365"/>
    </row>
    <row r="1366" spans="1:7">
      <c r="A1366"/>
      <c r="B1366"/>
      <c r="C1366"/>
      <c r="D1366"/>
      <c r="E1366"/>
      <c r="F1366"/>
      <c r="G1366"/>
    </row>
    <row r="1367" spans="1:7">
      <c r="A1367"/>
      <c r="B1367"/>
      <c r="C1367"/>
      <c r="D1367"/>
      <c r="E1367"/>
      <c r="F1367"/>
      <c r="G1367"/>
    </row>
    <row r="1368" spans="1:7">
      <c r="A1368"/>
      <c r="B1368"/>
      <c r="C1368"/>
      <c r="D1368"/>
      <c r="E1368"/>
      <c r="F1368"/>
      <c r="G1368"/>
    </row>
    <row r="1369" spans="1:7">
      <c r="A1369"/>
      <c r="B1369"/>
      <c r="C1369"/>
      <c r="D1369"/>
      <c r="E1369"/>
      <c r="F1369"/>
      <c r="G1369"/>
    </row>
    <row r="1370" spans="1:7">
      <c r="A1370"/>
      <c r="B1370"/>
      <c r="C1370"/>
      <c r="D1370"/>
      <c r="E1370"/>
      <c r="F1370"/>
      <c r="G1370"/>
    </row>
    <row r="1371" spans="1:7">
      <c r="A1371"/>
      <c r="B1371"/>
      <c r="C1371"/>
      <c r="D1371"/>
      <c r="E1371"/>
      <c r="F1371"/>
      <c r="G1371"/>
    </row>
    <row r="1372" spans="1:7">
      <c r="A1372"/>
      <c r="B1372"/>
      <c r="C1372"/>
      <c r="D1372"/>
      <c r="E1372"/>
      <c r="F1372"/>
      <c r="G1372"/>
    </row>
    <row r="1373" spans="1:7">
      <c r="A1373"/>
      <c r="B1373"/>
      <c r="C1373"/>
      <c r="D1373"/>
      <c r="E1373"/>
      <c r="F1373"/>
      <c r="G1373"/>
    </row>
    <row r="1374" spans="1:7">
      <c r="A1374"/>
      <c r="B1374"/>
      <c r="C1374"/>
      <c r="D1374"/>
      <c r="E1374"/>
      <c r="F1374"/>
      <c r="G1374"/>
    </row>
    <row r="1375" spans="1:7">
      <c r="A1375"/>
      <c r="B1375"/>
      <c r="C1375"/>
      <c r="D1375"/>
      <c r="E1375"/>
      <c r="F1375"/>
      <c r="G1375"/>
    </row>
    <row r="1376" spans="1:7">
      <c r="A1376"/>
      <c r="B1376"/>
      <c r="C1376"/>
      <c r="D1376"/>
      <c r="E1376"/>
      <c r="F1376"/>
      <c r="G1376"/>
    </row>
    <row r="1377" spans="1:7">
      <c r="A1377"/>
      <c r="B1377"/>
      <c r="C1377"/>
      <c r="D1377"/>
      <c r="E1377"/>
      <c r="F1377"/>
      <c r="G1377"/>
    </row>
    <row r="1378" spans="1:7">
      <c r="A1378"/>
      <c r="B1378"/>
      <c r="C1378"/>
      <c r="D1378"/>
      <c r="E1378"/>
      <c r="F1378"/>
      <c r="G1378"/>
    </row>
    <row r="1379" spans="1:7">
      <c r="A1379"/>
      <c r="B1379"/>
      <c r="C1379"/>
      <c r="D1379"/>
      <c r="E1379"/>
      <c r="F1379"/>
      <c r="G1379"/>
    </row>
    <row r="1380" spans="1:7">
      <c r="A1380"/>
      <c r="B1380"/>
      <c r="C1380"/>
      <c r="D1380"/>
      <c r="E1380"/>
      <c r="F1380"/>
      <c r="G1380"/>
    </row>
    <row r="1381" spans="1:7">
      <c r="A1381"/>
      <c r="B1381"/>
      <c r="C1381"/>
      <c r="D1381"/>
      <c r="E1381"/>
      <c r="F1381"/>
      <c r="G1381"/>
    </row>
    <row r="1382" spans="1:7">
      <c r="A1382"/>
      <c r="B1382"/>
      <c r="C1382"/>
      <c r="D1382"/>
      <c r="E1382"/>
      <c r="F1382"/>
      <c r="G1382"/>
    </row>
    <row r="1383" spans="1:7">
      <c r="A1383"/>
      <c r="B1383"/>
      <c r="C1383"/>
      <c r="D1383"/>
      <c r="E1383"/>
      <c r="F1383"/>
      <c r="G1383"/>
    </row>
    <row r="1384" spans="1:7">
      <c r="A1384"/>
      <c r="B1384"/>
      <c r="C1384"/>
      <c r="D1384"/>
      <c r="E1384"/>
      <c r="F1384"/>
      <c r="G1384"/>
    </row>
    <row r="1385" spans="1:7">
      <c r="A1385"/>
      <c r="B1385"/>
      <c r="C1385"/>
      <c r="D1385"/>
      <c r="E1385"/>
      <c r="F1385"/>
      <c r="G1385"/>
    </row>
    <row r="1386" spans="1:7">
      <c r="A1386"/>
      <c r="B1386"/>
      <c r="C1386"/>
      <c r="D1386"/>
      <c r="E1386"/>
      <c r="F1386"/>
      <c r="G1386"/>
    </row>
    <row r="1387" spans="1:7">
      <c r="A1387"/>
      <c r="B1387"/>
      <c r="C1387"/>
      <c r="D1387"/>
      <c r="E1387"/>
      <c r="F1387"/>
      <c r="G1387"/>
    </row>
    <row r="1388" spans="1:7">
      <c r="A1388"/>
      <c r="B1388"/>
      <c r="C1388"/>
      <c r="D1388"/>
      <c r="E1388"/>
      <c r="F1388"/>
      <c r="G1388"/>
    </row>
    <row r="1389" spans="1:7">
      <c r="A1389"/>
      <c r="B1389"/>
      <c r="C1389"/>
      <c r="D1389"/>
      <c r="E1389"/>
      <c r="F1389"/>
      <c r="G1389"/>
    </row>
    <row r="1390" spans="1:7">
      <c r="A1390"/>
      <c r="B1390"/>
      <c r="C1390"/>
      <c r="D1390"/>
      <c r="E1390"/>
      <c r="F1390"/>
      <c r="G1390"/>
    </row>
    <row r="1391" spans="1:7">
      <c r="A1391"/>
      <c r="B1391"/>
      <c r="C1391"/>
      <c r="D1391"/>
      <c r="E1391"/>
      <c r="F1391"/>
      <c r="G1391"/>
    </row>
    <row r="1392" spans="1:7">
      <c r="A1392"/>
      <c r="B1392"/>
      <c r="C1392"/>
      <c r="D1392"/>
      <c r="E1392"/>
      <c r="F1392"/>
      <c r="G1392"/>
    </row>
    <row r="1393" spans="1:7">
      <c r="A1393"/>
      <c r="B1393"/>
      <c r="C1393"/>
      <c r="D1393"/>
      <c r="E1393"/>
      <c r="F1393"/>
      <c r="G1393"/>
    </row>
    <row r="1394" spans="1:7">
      <c r="A1394"/>
      <c r="B1394"/>
      <c r="C1394"/>
      <c r="D1394"/>
      <c r="E1394"/>
      <c r="F1394"/>
      <c r="G1394"/>
    </row>
    <row r="1395" spans="1:7">
      <c r="A1395"/>
      <c r="B1395"/>
      <c r="C1395"/>
      <c r="D1395"/>
      <c r="E1395"/>
      <c r="F1395"/>
      <c r="G1395"/>
    </row>
    <row r="1396" spans="1:7">
      <c r="A1396"/>
      <c r="B1396"/>
      <c r="C1396"/>
      <c r="D1396"/>
      <c r="E1396"/>
      <c r="F1396"/>
      <c r="G1396"/>
    </row>
    <row r="1397" spans="1:7">
      <c r="A1397"/>
      <c r="B1397"/>
      <c r="C1397"/>
      <c r="D1397"/>
      <c r="E1397"/>
      <c r="F1397"/>
      <c r="G1397"/>
    </row>
    <row r="1398" spans="1:7">
      <c r="A1398"/>
      <c r="B1398"/>
      <c r="C1398"/>
      <c r="D1398"/>
      <c r="E1398"/>
      <c r="F1398"/>
      <c r="G1398"/>
    </row>
    <row r="1399" spans="1:7">
      <c r="A1399"/>
      <c r="B1399"/>
      <c r="C1399"/>
      <c r="D1399"/>
      <c r="E1399"/>
      <c r="F1399"/>
      <c r="G1399"/>
    </row>
    <row r="1400" spans="1:7">
      <c r="A1400"/>
      <c r="B1400"/>
      <c r="C1400"/>
      <c r="D1400"/>
      <c r="E1400"/>
      <c r="F1400"/>
      <c r="G1400"/>
    </row>
    <row r="1401" spans="1:7">
      <c r="A1401"/>
      <c r="B1401"/>
      <c r="C1401"/>
      <c r="D1401"/>
      <c r="E1401"/>
      <c r="F1401"/>
      <c r="G1401"/>
    </row>
    <row r="1402" spans="1:7">
      <c r="A1402"/>
      <c r="B1402"/>
      <c r="C1402"/>
      <c r="D1402"/>
      <c r="E1402"/>
      <c r="F1402"/>
      <c r="G1402"/>
    </row>
    <row r="1403" spans="1:7">
      <c r="A1403"/>
      <c r="B1403"/>
      <c r="C1403"/>
      <c r="D1403"/>
      <c r="E1403"/>
      <c r="F1403"/>
      <c r="G1403"/>
    </row>
    <row r="1404" spans="1:7">
      <c r="A1404"/>
      <c r="B1404"/>
      <c r="C1404"/>
      <c r="D1404"/>
      <c r="E1404"/>
      <c r="F1404"/>
      <c r="G1404"/>
    </row>
    <row r="1405" spans="1:7">
      <c r="A1405"/>
      <c r="B1405"/>
      <c r="C1405"/>
      <c r="D1405"/>
      <c r="E1405"/>
      <c r="F1405"/>
      <c r="G1405"/>
    </row>
    <row r="1406" spans="1:7">
      <c r="A1406"/>
      <c r="B1406"/>
      <c r="C1406"/>
      <c r="D1406"/>
      <c r="E1406"/>
      <c r="F1406"/>
      <c r="G1406"/>
    </row>
    <row r="1407" spans="1:7">
      <c r="A1407"/>
      <c r="B1407"/>
      <c r="C1407"/>
      <c r="D1407"/>
      <c r="E1407"/>
      <c r="F1407"/>
      <c r="G1407"/>
    </row>
    <row r="1408" spans="1:7">
      <c r="A1408"/>
      <c r="B1408"/>
      <c r="C1408"/>
      <c r="D1408"/>
      <c r="E1408"/>
      <c r="F1408"/>
      <c r="G1408"/>
    </row>
    <row r="1409" spans="1:7">
      <c r="A1409"/>
      <c r="B1409"/>
      <c r="C1409"/>
      <c r="D1409"/>
      <c r="E1409"/>
      <c r="F1409"/>
      <c r="G1409"/>
    </row>
    <row r="1410" spans="1:7">
      <c r="A1410"/>
      <c r="B1410"/>
      <c r="C1410"/>
      <c r="D1410"/>
      <c r="E1410"/>
      <c r="F1410"/>
      <c r="G1410"/>
    </row>
    <row r="1411" spans="1:7">
      <c r="A1411"/>
      <c r="B1411"/>
      <c r="C1411"/>
      <c r="D1411"/>
      <c r="E1411"/>
      <c r="F1411"/>
      <c r="G1411"/>
    </row>
    <row r="1412" spans="1:7">
      <c r="A1412"/>
      <c r="B1412"/>
      <c r="C1412"/>
      <c r="D1412"/>
      <c r="E1412"/>
      <c r="F1412"/>
      <c r="G1412"/>
    </row>
    <row r="1413" spans="1:7">
      <c r="A1413"/>
      <c r="B1413"/>
      <c r="C1413"/>
      <c r="D1413"/>
      <c r="E1413"/>
      <c r="F1413"/>
      <c r="G1413"/>
    </row>
    <row r="1414" spans="1:7">
      <c r="A1414"/>
      <c r="B1414"/>
      <c r="C1414"/>
      <c r="D1414"/>
      <c r="E1414"/>
      <c r="F1414"/>
      <c r="G1414"/>
    </row>
    <row r="1415" spans="1:7">
      <c r="A1415"/>
      <c r="B1415"/>
      <c r="C1415"/>
      <c r="D1415"/>
      <c r="E1415"/>
      <c r="F1415"/>
      <c r="G1415"/>
    </row>
    <row r="1416" spans="1:7">
      <c r="A1416"/>
      <c r="B1416"/>
      <c r="C1416"/>
      <c r="D1416"/>
      <c r="E1416"/>
      <c r="F1416"/>
      <c r="G1416"/>
    </row>
    <row r="1417" spans="1:7">
      <c r="A1417"/>
      <c r="B1417"/>
      <c r="C1417"/>
      <c r="D1417"/>
      <c r="E1417"/>
      <c r="F1417"/>
      <c r="G1417"/>
    </row>
    <row r="1418" spans="1:7">
      <c r="A1418"/>
      <c r="B1418"/>
      <c r="C1418"/>
      <c r="D1418"/>
      <c r="E1418"/>
      <c r="F1418"/>
      <c r="G1418"/>
    </row>
    <row r="1419" spans="1:7">
      <c r="A1419"/>
      <c r="B1419"/>
      <c r="C1419"/>
      <c r="D1419"/>
      <c r="E1419"/>
      <c r="F1419"/>
      <c r="G1419"/>
    </row>
    <row r="1420" spans="1:7">
      <c r="A1420"/>
      <c r="B1420"/>
      <c r="C1420"/>
      <c r="D1420"/>
      <c r="E1420"/>
      <c r="F1420"/>
      <c r="G1420"/>
    </row>
    <row r="1421" spans="1:7">
      <c r="A1421"/>
      <c r="B1421"/>
      <c r="C1421"/>
      <c r="D1421"/>
      <c r="E1421"/>
      <c r="F1421"/>
      <c r="G1421"/>
    </row>
    <row r="1422" spans="1:7">
      <c r="A1422"/>
      <c r="B1422"/>
      <c r="C1422"/>
      <c r="D1422"/>
      <c r="E1422"/>
      <c r="F1422"/>
      <c r="G1422"/>
    </row>
    <row r="1423" spans="1:7">
      <c r="A1423"/>
      <c r="B1423"/>
      <c r="C1423"/>
      <c r="D1423"/>
      <c r="E1423"/>
      <c r="F1423"/>
      <c r="G1423"/>
    </row>
    <row r="1424" spans="1:7">
      <c r="A1424"/>
      <c r="B1424"/>
      <c r="C1424"/>
      <c r="D1424"/>
      <c r="E1424"/>
      <c r="F1424"/>
      <c r="G1424"/>
    </row>
    <row r="1425" spans="1:7">
      <c r="A1425"/>
      <c r="B1425"/>
      <c r="C1425"/>
      <c r="D1425"/>
      <c r="E1425"/>
      <c r="F1425"/>
      <c r="G1425"/>
    </row>
    <row r="1426" spans="1:7">
      <c r="A1426"/>
      <c r="B1426"/>
      <c r="C1426"/>
      <c r="D1426"/>
      <c r="E1426"/>
      <c r="F1426"/>
      <c r="G1426"/>
    </row>
    <row r="1427" spans="1:7">
      <c r="A1427"/>
      <c r="B1427"/>
      <c r="C1427"/>
      <c r="D1427"/>
      <c r="E1427"/>
      <c r="F1427"/>
      <c r="G1427"/>
    </row>
    <row r="1428" spans="1:7">
      <c r="A1428"/>
      <c r="B1428"/>
      <c r="C1428"/>
      <c r="D1428"/>
      <c r="E1428"/>
      <c r="F1428"/>
      <c r="G1428"/>
    </row>
    <row r="1429" spans="1:7">
      <c r="A1429"/>
      <c r="B1429"/>
      <c r="C1429"/>
      <c r="D1429"/>
      <c r="E1429"/>
      <c r="F1429"/>
      <c r="G1429"/>
    </row>
    <row r="1430" spans="1:7">
      <c r="A1430"/>
      <c r="B1430"/>
      <c r="C1430"/>
      <c r="D1430"/>
      <c r="E1430"/>
      <c r="F1430"/>
      <c r="G1430"/>
    </row>
    <row r="1431" spans="1:7">
      <c r="A1431"/>
      <c r="B1431"/>
      <c r="C1431"/>
      <c r="D1431"/>
      <c r="E1431"/>
      <c r="F1431"/>
      <c r="G1431"/>
    </row>
    <row r="1432" spans="1:7">
      <c r="A1432"/>
      <c r="B1432"/>
      <c r="C1432"/>
      <c r="D1432"/>
      <c r="E1432"/>
      <c r="F1432"/>
      <c r="G1432"/>
    </row>
    <row r="1433" spans="1:7">
      <c r="A1433"/>
      <c r="B1433"/>
      <c r="C1433"/>
      <c r="D1433"/>
      <c r="E1433"/>
      <c r="F1433"/>
      <c r="G1433"/>
    </row>
    <row r="1434" spans="1:7">
      <c r="A1434"/>
      <c r="B1434"/>
      <c r="C1434"/>
      <c r="D1434"/>
      <c r="E1434"/>
      <c r="F1434"/>
      <c r="G1434"/>
    </row>
    <row r="1435" spans="1:7">
      <c r="A1435"/>
      <c r="B1435"/>
      <c r="C1435"/>
      <c r="D1435"/>
      <c r="E1435"/>
      <c r="F1435"/>
      <c r="G1435"/>
    </row>
    <row r="1436" spans="1:7">
      <c r="A1436"/>
      <c r="B1436"/>
      <c r="C1436"/>
      <c r="D1436"/>
      <c r="E1436"/>
      <c r="F1436"/>
      <c r="G1436"/>
    </row>
    <row r="1437" spans="1:7">
      <c r="A1437"/>
      <c r="B1437"/>
      <c r="C1437"/>
      <c r="D1437"/>
      <c r="E1437"/>
      <c r="F1437"/>
      <c r="G1437"/>
    </row>
    <row r="1438" spans="1:7">
      <c r="A1438"/>
      <c r="B1438"/>
      <c r="C1438"/>
      <c r="D1438"/>
      <c r="E1438"/>
      <c r="F1438"/>
      <c r="G1438"/>
    </row>
    <row r="1439" spans="1:7">
      <c r="A1439"/>
      <c r="B1439"/>
      <c r="C1439"/>
      <c r="D1439"/>
      <c r="E1439"/>
      <c r="F1439"/>
      <c r="G1439"/>
    </row>
    <row r="1440" spans="1:7">
      <c r="A1440"/>
      <c r="B1440"/>
      <c r="C1440"/>
      <c r="D1440"/>
      <c r="E1440"/>
      <c r="F1440"/>
      <c r="G1440"/>
    </row>
    <row r="1441" spans="1:7">
      <c r="A1441"/>
      <c r="B1441"/>
      <c r="C1441"/>
      <c r="D1441"/>
      <c r="E1441"/>
      <c r="F1441"/>
      <c r="G1441"/>
    </row>
    <row r="1442" spans="1:7">
      <c r="A1442"/>
      <c r="B1442"/>
      <c r="C1442"/>
      <c r="D1442"/>
      <c r="E1442"/>
      <c r="F1442"/>
      <c r="G1442"/>
    </row>
    <row r="1443" spans="1:7">
      <c r="A1443"/>
      <c r="B1443"/>
      <c r="C1443"/>
      <c r="D1443"/>
      <c r="E1443"/>
      <c r="F1443"/>
      <c r="G1443"/>
    </row>
    <row r="1444" spans="1:7">
      <c r="A1444"/>
      <c r="B1444"/>
      <c r="C1444"/>
      <c r="D1444"/>
      <c r="E1444"/>
      <c r="F1444"/>
      <c r="G1444"/>
    </row>
    <row r="1445" spans="1:7">
      <c r="A1445"/>
      <c r="B1445"/>
      <c r="C1445"/>
      <c r="D1445"/>
      <c r="E1445"/>
      <c r="F1445"/>
      <c r="G1445"/>
    </row>
    <row r="1446" spans="1:7">
      <c r="A1446"/>
      <c r="B1446"/>
      <c r="C1446"/>
      <c r="D1446"/>
      <c r="E1446"/>
      <c r="F1446"/>
      <c r="G1446"/>
    </row>
    <row r="1447" spans="1:7">
      <c r="A1447"/>
      <c r="B1447"/>
      <c r="C1447"/>
      <c r="D1447"/>
      <c r="E1447"/>
      <c r="F1447"/>
      <c r="G1447"/>
    </row>
    <row r="1448" spans="1:7">
      <c r="A1448"/>
      <c r="B1448"/>
      <c r="C1448"/>
      <c r="D1448"/>
      <c r="E1448"/>
      <c r="F1448"/>
      <c r="G1448"/>
    </row>
    <row r="1449" spans="1:7">
      <c r="A1449"/>
      <c r="B1449"/>
      <c r="C1449"/>
      <c r="D1449"/>
      <c r="E1449"/>
      <c r="F1449"/>
      <c r="G1449"/>
    </row>
    <row r="1450" spans="1:7">
      <c r="A1450"/>
      <c r="B1450"/>
      <c r="C1450"/>
      <c r="D1450"/>
      <c r="E1450"/>
      <c r="F1450"/>
      <c r="G1450"/>
    </row>
    <row r="1451" spans="1:7">
      <c r="A1451"/>
      <c r="B1451"/>
      <c r="C1451"/>
      <c r="D1451"/>
      <c r="E1451"/>
      <c r="F1451"/>
      <c r="G1451"/>
    </row>
    <row r="1452" spans="1:7">
      <c r="A1452"/>
      <c r="B1452"/>
      <c r="C1452"/>
      <c r="D1452"/>
      <c r="E1452"/>
      <c r="F1452"/>
      <c r="G1452"/>
    </row>
    <row r="1453" spans="1:7">
      <c r="A1453"/>
      <c r="B1453"/>
      <c r="C1453"/>
      <c r="D1453"/>
      <c r="E1453"/>
      <c r="F1453"/>
      <c r="G1453"/>
    </row>
    <row r="1454" spans="1:7">
      <c r="A1454"/>
      <c r="B1454"/>
      <c r="C1454"/>
      <c r="D1454"/>
      <c r="E1454"/>
      <c r="F1454"/>
      <c r="G1454"/>
    </row>
    <row r="1455" spans="1:7">
      <c r="A1455"/>
      <c r="B1455"/>
      <c r="C1455"/>
      <c r="D1455"/>
      <c r="E1455"/>
      <c r="F1455"/>
      <c r="G1455"/>
    </row>
    <row r="1456" spans="1:7">
      <c r="A1456"/>
      <c r="B1456"/>
      <c r="C1456"/>
      <c r="D1456"/>
      <c r="E1456"/>
      <c r="F1456"/>
      <c r="G1456"/>
    </row>
    <row r="1457" spans="1:7">
      <c r="A1457"/>
      <c r="B1457"/>
      <c r="C1457"/>
      <c r="D1457"/>
      <c r="E1457"/>
      <c r="F1457"/>
      <c r="G1457"/>
    </row>
    <row r="1458" spans="1:7">
      <c r="A1458"/>
      <c r="B1458"/>
      <c r="C1458"/>
      <c r="D1458"/>
      <c r="E1458"/>
      <c r="F1458"/>
      <c r="G1458"/>
    </row>
    <row r="1459" spans="1:7">
      <c r="A1459"/>
      <c r="B1459"/>
      <c r="C1459"/>
      <c r="D1459"/>
      <c r="E1459"/>
      <c r="F1459"/>
      <c r="G1459"/>
    </row>
    <row r="1460" spans="1:7">
      <c r="A1460"/>
      <c r="B1460"/>
      <c r="C1460"/>
      <c r="D1460"/>
      <c r="E1460"/>
      <c r="F1460"/>
      <c r="G1460"/>
    </row>
    <row r="1461" spans="1:7">
      <c r="A1461"/>
      <c r="B1461"/>
      <c r="C1461"/>
      <c r="D1461"/>
      <c r="E1461"/>
      <c r="F1461"/>
      <c r="G1461"/>
    </row>
    <row r="1462" spans="1:7">
      <c r="A1462"/>
      <c r="B1462"/>
      <c r="C1462"/>
      <c r="D1462"/>
      <c r="E1462"/>
      <c r="F1462"/>
      <c r="G1462"/>
    </row>
    <row r="1463" spans="1:7">
      <c r="A1463"/>
      <c r="B1463"/>
      <c r="C1463"/>
      <c r="D1463"/>
      <c r="E1463"/>
      <c r="F1463"/>
      <c r="G1463"/>
    </row>
    <row r="1464" spans="1:7">
      <c r="A1464"/>
      <c r="B1464"/>
      <c r="C1464"/>
      <c r="D1464"/>
      <c r="E1464"/>
      <c r="F1464"/>
      <c r="G1464"/>
    </row>
    <row r="1465" spans="1:7">
      <c r="A1465"/>
      <c r="B1465"/>
      <c r="C1465"/>
      <c r="D1465"/>
      <c r="E1465"/>
      <c r="F1465"/>
      <c r="G1465"/>
    </row>
    <row r="1466" spans="1:7">
      <c r="A1466"/>
      <c r="B1466"/>
      <c r="C1466"/>
      <c r="D1466"/>
      <c r="E1466"/>
      <c r="F1466"/>
      <c r="G1466"/>
    </row>
    <row r="1467" spans="1:7">
      <c r="A1467"/>
      <c r="B1467"/>
      <c r="C1467"/>
      <c r="D1467"/>
      <c r="E1467"/>
      <c r="F1467"/>
      <c r="G1467"/>
    </row>
    <row r="1468" spans="1:7">
      <c r="A1468"/>
      <c r="B1468"/>
      <c r="C1468"/>
      <c r="D1468"/>
      <c r="E1468"/>
      <c r="F1468"/>
      <c r="G1468"/>
    </row>
    <row r="1469" spans="1:7">
      <c r="A1469"/>
      <c r="B1469"/>
      <c r="C1469"/>
      <c r="D1469"/>
      <c r="E1469"/>
      <c r="F1469"/>
      <c r="G1469"/>
    </row>
    <row r="1470" spans="1:7">
      <c r="A1470"/>
      <c r="B1470"/>
      <c r="C1470"/>
      <c r="D1470"/>
      <c r="E1470"/>
      <c r="F1470"/>
      <c r="G1470"/>
    </row>
    <row r="1471" spans="1:7">
      <c r="A1471"/>
      <c r="B1471"/>
      <c r="C1471"/>
      <c r="D1471"/>
      <c r="E1471"/>
      <c r="F1471"/>
      <c r="G1471"/>
    </row>
    <row r="1472" spans="1:7">
      <c r="A1472"/>
      <c r="B1472"/>
      <c r="C1472"/>
      <c r="D1472"/>
      <c r="E1472"/>
      <c r="F1472"/>
      <c r="G1472"/>
    </row>
    <row r="1473" spans="1:7">
      <c r="A1473"/>
      <c r="B1473"/>
      <c r="C1473"/>
      <c r="D1473"/>
      <c r="E1473"/>
      <c r="F1473"/>
      <c r="G1473"/>
    </row>
    <row r="1474" spans="1:7">
      <c r="A1474"/>
      <c r="B1474"/>
      <c r="C1474"/>
      <c r="D1474"/>
      <c r="E1474"/>
      <c r="F1474"/>
      <c r="G1474"/>
    </row>
    <row r="1475" spans="1:7">
      <c r="A1475"/>
      <c r="B1475"/>
      <c r="C1475"/>
      <c r="D1475"/>
      <c r="E1475"/>
      <c r="F1475"/>
      <c r="G1475"/>
    </row>
    <row r="1476" spans="1:7">
      <c r="A1476"/>
      <c r="B1476"/>
      <c r="C1476"/>
      <c r="D1476"/>
      <c r="E1476"/>
      <c r="F1476"/>
      <c r="G1476"/>
    </row>
    <row r="1477" spans="1:7">
      <c r="A1477"/>
      <c r="B1477"/>
      <c r="C1477"/>
      <c r="D1477"/>
      <c r="E1477"/>
      <c r="F1477"/>
      <c r="G1477"/>
    </row>
    <row r="1478" spans="1:7">
      <c r="A1478"/>
      <c r="B1478"/>
      <c r="C1478"/>
      <c r="D1478"/>
      <c r="E1478"/>
      <c r="F1478"/>
      <c r="G1478"/>
    </row>
    <row r="1479" spans="1:7">
      <c r="A1479"/>
      <c r="B1479"/>
      <c r="C1479"/>
      <c r="D1479"/>
      <c r="E1479"/>
      <c r="F1479"/>
      <c r="G1479"/>
    </row>
    <row r="1480" spans="1:7">
      <c r="A1480"/>
      <c r="B1480"/>
      <c r="C1480"/>
      <c r="D1480"/>
      <c r="E1480"/>
      <c r="F1480"/>
      <c r="G1480"/>
    </row>
    <row r="1481" spans="1:7">
      <c r="A1481"/>
      <c r="B1481"/>
      <c r="C1481"/>
      <c r="D1481"/>
      <c r="E1481"/>
      <c r="F1481"/>
      <c r="G1481"/>
    </row>
    <row r="1482" spans="1:7">
      <c r="A1482"/>
      <c r="B1482"/>
      <c r="C1482"/>
      <c r="D1482"/>
      <c r="E1482"/>
      <c r="F1482"/>
      <c r="G1482"/>
    </row>
    <row r="1483" spans="1:7">
      <c r="A1483"/>
      <c r="B1483"/>
      <c r="C1483"/>
      <c r="D1483"/>
      <c r="E1483"/>
      <c r="F1483"/>
      <c r="G1483"/>
    </row>
    <row r="1484" spans="1:7">
      <c r="A1484"/>
      <c r="B1484"/>
      <c r="C1484"/>
      <c r="D1484"/>
      <c r="E1484"/>
      <c r="F1484"/>
      <c r="G1484"/>
    </row>
    <row r="1485" spans="1:7">
      <c r="A1485"/>
      <c r="B1485"/>
      <c r="C1485"/>
      <c r="D1485"/>
      <c r="E1485"/>
      <c r="F1485"/>
      <c r="G1485"/>
    </row>
    <row r="1486" spans="1:7">
      <c r="A1486"/>
      <c r="B1486"/>
      <c r="C1486"/>
      <c r="D1486"/>
      <c r="E1486"/>
      <c r="F1486"/>
      <c r="G1486"/>
    </row>
    <row r="1487" spans="1:7">
      <c r="A1487"/>
      <c r="B1487"/>
      <c r="C1487"/>
      <c r="D1487"/>
      <c r="E1487"/>
      <c r="F1487"/>
      <c r="G1487"/>
    </row>
    <row r="1488" spans="1:7">
      <c r="A1488"/>
      <c r="B1488"/>
      <c r="C1488"/>
      <c r="D1488"/>
      <c r="E1488"/>
      <c r="F1488"/>
      <c r="G1488"/>
    </row>
    <row r="1489" spans="1:7">
      <c r="A1489"/>
      <c r="B1489"/>
      <c r="C1489"/>
      <c r="D1489"/>
      <c r="E1489"/>
      <c r="F1489"/>
      <c r="G1489"/>
    </row>
    <row r="1490" spans="1:7">
      <c r="A1490"/>
      <c r="B1490"/>
      <c r="C1490"/>
      <c r="D1490"/>
      <c r="E1490"/>
      <c r="F1490"/>
      <c r="G1490"/>
    </row>
    <row r="1491" spans="1:7">
      <c r="A1491"/>
      <c r="B1491"/>
      <c r="C1491"/>
      <c r="D1491"/>
      <c r="E1491"/>
      <c r="F1491"/>
      <c r="G1491"/>
    </row>
    <row r="1492" spans="1:7">
      <c r="A1492"/>
      <c r="B1492"/>
      <c r="C1492"/>
      <c r="D1492"/>
      <c r="E1492"/>
      <c r="F1492"/>
      <c r="G1492"/>
    </row>
    <row r="1493" spans="1:7">
      <c r="A1493"/>
      <c r="B1493"/>
      <c r="C1493"/>
      <c r="D1493"/>
      <c r="E1493"/>
      <c r="F1493"/>
      <c r="G1493"/>
    </row>
    <row r="1494" spans="1:7">
      <c r="A1494"/>
      <c r="B1494"/>
      <c r="C1494"/>
      <c r="D1494"/>
      <c r="E1494"/>
      <c r="F1494"/>
      <c r="G1494"/>
    </row>
    <row r="1495" spans="1:7">
      <c r="A1495"/>
      <c r="B1495"/>
      <c r="C1495"/>
      <c r="D1495"/>
      <c r="E1495"/>
      <c r="F1495"/>
      <c r="G1495"/>
    </row>
    <row r="1496" spans="1:7">
      <c r="A1496"/>
      <c r="B1496"/>
      <c r="C1496"/>
      <c r="D1496"/>
      <c r="E1496"/>
      <c r="F1496"/>
      <c r="G1496"/>
    </row>
    <row r="1497" spans="1:7">
      <c r="A1497"/>
      <c r="B1497"/>
      <c r="C1497"/>
      <c r="D1497"/>
      <c r="E1497"/>
      <c r="F1497"/>
      <c r="G1497"/>
    </row>
    <row r="1498" spans="1:7">
      <c r="A1498"/>
      <c r="B1498"/>
      <c r="C1498"/>
      <c r="D1498"/>
      <c r="E1498"/>
      <c r="F1498"/>
      <c r="G1498"/>
    </row>
    <row r="1499" spans="1:7">
      <c r="A1499"/>
      <c r="B1499"/>
      <c r="C1499"/>
      <c r="D1499"/>
      <c r="E1499"/>
      <c r="F1499"/>
      <c r="G1499"/>
    </row>
    <row r="1500" spans="1:7">
      <c r="A1500"/>
      <c r="B1500"/>
      <c r="C1500"/>
      <c r="D1500"/>
      <c r="E1500"/>
      <c r="F1500"/>
      <c r="G1500"/>
    </row>
    <row r="1501" spans="1:7">
      <c r="A1501"/>
      <c r="B1501"/>
      <c r="C1501"/>
      <c r="D1501"/>
      <c r="E1501"/>
      <c r="F1501"/>
      <c r="G1501"/>
    </row>
    <row r="1502" spans="1:7">
      <c r="A1502"/>
      <c r="B1502"/>
      <c r="C1502"/>
      <c r="D1502"/>
      <c r="E1502"/>
      <c r="F1502"/>
      <c r="G1502"/>
    </row>
    <row r="1503" spans="1:7">
      <c r="A1503"/>
      <c r="B1503"/>
      <c r="C1503"/>
      <c r="D1503"/>
      <c r="E1503"/>
      <c r="F1503"/>
      <c r="G1503"/>
    </row>
    <row r="1504" spans="1:7">
      <c r="A1504"/>
      <c r="B1504"/>
      <c r="C1504"/>
      <c r="D1504"/>
      <c r="E1504"/>
      <c r="F1504"/>
      <c r="G1504"/>
    </row>
    <row r="1505" spans="1:7">
      <c r="A1505"/>
      <c r="B1505"/>
      <c r="C1505"/>
      <c r="D1505"/>
      <c r="E1505"/>
      <c r="F1505"/>
      <c r="G1505"/>
    </row>
    <row r="1506" spans="1:7">
      <c r="A1506"/>
      <c r="B1506"/>
      <c r="C1506"/>
      <c r="D1506"/>
      <c r="E1506"/>
      <c r="F1506"/>
      <c r="G1506"/>
    </row>
    <row r="1507" spans="1:7">
      <c r="A1507"/>
      <c r="B1507"/>
      <c r="C1507"/>
      <c r="D1507"/>
      <c r="E1507"/>
      <c r="F1507"/>
      <c r="G1507"/>
    </row>
    <row r="1508" spans="1:7">
      <c r="A1508"/>
      <c r="B1508"/>
      <c r="C1508"/>
      <c r="D1508"/>
      <c r="E1508"/>
      <c r="F1508"/>
      <c r="G1508"/>
    </row>
    <row r="1509" spans="1:7">
      <c r="A1509"/>
      <c r="B1509"/>
      <c r="C1509"/>
      <c r="D1509"/>
      <c r="E1509"/>
      <c r="F1509"/>
      <c r="G1509"/>
    </row>
    <row r="1510" spans="1:7">
      <c r="A1510"/>
      <c r="B1510"/>
      <c r="C1510"/>
      <c r="D1510"/>
      <c r="E1510"/>
      <c r="F1510"/>
      <c r="G1510"/>
    </row>
    <row r="1511" spans="1:7">
      <c r="A1511"/>
      <c r="B1511"/>
      <c r="C1511"/>
      <c r="D1511"/>
      <c r="E1511"/>
      <c r="F1511"/>
      <c r="G1511"/>
    </row>
    <row r="1512" spans="1:7">
      <c r="A1512"/>
      <c r="B1512"/>
      <c r="C1512"/>
      <c r="D1512"/>
      <c r="E1512"/>
      <c r="F1512"/>
      <c r="G1512"/>
    </row>
    <row r="1513" spans="1:7">
      <c r="A1513"/>
      <c r="B1513"/>
      <c r="C1513"/>
      <c r="D1513"/>
      <c r="E1513"/>
      <c r="F1513"/>
      <c r="G1513"/>
    </row>
    <row r="1514" spans="1:7">
      <c r="A1514"/>
      <c r="B1514"/>
      <c r="C1514"/>
      <c r="D1514"/>
      <c r="E1514"/>
      <c r="F1514"/>
      <c r="G1514"/>
    </row>
    <row r="1515" spans="1:7">
      <c r="A1515"/>
      <c r="B1515"/>
      <c r="C1515"/>
      <c r="D1515"/>
      <c r="E1515"/>
      <c r="F1515"/>
      <c r="G1515"/>
    </row>
    <row r="1516" spans="1:7">
      <c r="A1516"/>
      <c r="B1516"/>
      <c r="C1516"/>
      <c r="D1516"/>
      <c r="E1516"/>
      <c r="F1516"/>
      <c r="G1516"/>
    </row>
    <row r="1517" spans="1:7">
      <c r="A1517"/>
      <c r="B1517"/>
      <c r="C1517"/>
      <c r="D1517"/>
      <c r="E1517"/>
      <c r="F1517"/>
      <c r="G1517"/>
    </row>
    <row r="1518" spans="1:7">
      <c r="A1518"/>
      <c r="B1518"/>
      <c r="C1518"/>
      <c r="D1518"/>
      <c r="E1518"/>
      <c r="F1518"/>
      <c r="G1518"/>
    </row>
    <row r="1519" spans="1:7">
      <c r="A1519"/>
      <c r="B1519"/>
      <c r="C1519"/>
      <c r="D1519"/>
      <c r="E1519"/>
      <c r="F1519"/>
      <c r="G1519"/>
    </row>
    <row r="1520" spans="1:7">
      <c r="A1520"/>
      <c r="B1520"/>
      <c r="C1520"/>
      <c r="D1520"/>
      <c r="E1520"/>
      <c r="F1520"/>
      <c r="G1520"/>
    </row>
    <row r="1521" spans="1:7">
      <c r="A1521"/>
      <c r="B1521"/>
      <c r="C1521"/>
      <c r="D1521"/>
      <c r="E1521"/>
      <c r="F1521"/>
      <c r="G1521"/>
    </row>
    <row r="1522" spans="1:7">
      <c r="A1522"/>
      <c r="B1522"/>
      <c r="C1522"/>
      <c r="D1522"/>
      <c r="E1522"/>
      <c r="F1522"/>
      <c r="G1522"/>
    </row>
    <row r="1523" spans="1:7">
      <c r="A1523"/>
      <c r="B1523"/>
      <c r="C1523"/>
      <c r="D1523"/>
      <c r="E1523"/>
      <c r="F1523"/>
      <c r="G1523"/>
    </row>
    <row r="1524" spans="1:7">
      <c r="A1524"/>
      <c r="B1524"/>
      <c r="C1524"/>
      <c r="D1524"/>
      <c r="E1524"/>
      <c r="F1524"/>
      <c r="G1524"/>
    </row>
    <row r="1525" spans="1:7">
      <c r="A1525"/>
      <c r="B1525"/>
      <c r="C1525"/>
      <c r="D1525"/>
      <c r="E1525"/>
      <c r="F1525"/>
      <c r="G1525"/>
    </row>
    <row r="1526" spans="1:7">
      <c r="A1526"/>
      <c r="B1526"/>
      <c r="C1526"/>
      <c r="D1526"/>
      <c r="E1526"/>
      <c r="F1526"/>
      <c r="G1526"/>
    </row>
    <row r="1527" spans="1:7">
      <c r="A1527"/>
      <c r="B1527"/>
      <c r="C1527"/>
      <c r="D1527"/>
      <c r="E1527"/>
      <c r="F1527"/>
      <c r="G1527"/>
    </row>
    <row r="1528" spans="1:7">
      <c r="A1528"/>
      <c r="B1528"/>
      <c r="C1528"/>
      <c r="D1528"/>
      <c r="E1528"/>
      <c r="F1528"/>
      <c r="G1528"/>
    </row>
    <row r="1529" spans="1:7">
      <c r="A1529"/>
      <c r="B1529"/>
      <c r="C1529"/>
      <c r="D1529"/>
      <c r="E1529"/>
      <c r="F1529"/>
      <c r="G1529"/>
    </row>
    <row r="1530" spans="1:7">
      <c r="A1530"/>
      <c r="B1530"/>
      <c r="C1530"/>
      <c r="D1530"/>
      <c r="E1530"/>
      <c r="F1530"/>
      <c r="G1530"/>
    </row>
    <row r="1531" spans="1:7">
      <c r="A1531"/>
      <c r="B1531"/>
      <c r="C1531"/>
      <c r="D1531"/>
      <c r="E1531"/>
      <c r="F1531"/>
      <c r="G1531"/>
    </row>
    <row r="1532" spans="1:7">
      <c r="A1532"/>
      <c r="B1532"/>
      <c r="C1532"/>
      <c r="D1532"/>
      <c r="E1532"/>
      <c r="F1532"/>
      <c r="G1532"/>
    </row>
    <row r="1533" spans="1:7">
      <c r="A1533"/>
      <c r="B1533"/>
      <c r="C1533"/>
      <c r="D1533"/>
      <c r="E1533"/>
      <c r="F1533"/>
      <c r="G1533"/>
    </row>
    <row r="1534" spans="1:7">
      <c r="A1534"/>
      <c r="B1534"/>
      <c r="C1534"/>
      <c r="D1534"/>
      <c r="E1534"/>
      <c r="F1534"/>
      <c r="G1534"/>
    </row>
    <row r="1535" spans="1:7">
      <c r="A1535"/>
      <c r="B1535"/>
      <c r="C1535"/>
      <c r="D1535"/>
      <c r="E1535"/>
      <c r="F1535"/>
      <c r="G1535"/>
    </row>
    <row r="1536" spans="1:7">
      <c r="A1536"/>
      <c r="B1536"/>
      <c r="C1536"/>
      <c r="D1536"/>
      <c r="E1536"/>
      <c r="F1536"/>
      <c r="G1536"/>
    </row>
    <row r="1537" spans="1:7">
      <c r="A1537"/>
      <c r="B1537"/>
      <c r="C1537"/>
      <c r="D1537"/>
      <c r="E1537"/>
      <c r="F1537"/>
      <c r="G1537"/>
    </row>
    <row r="1538" spans="1:7">
      <c r="A1538"/>
      <c r="B1538"/>
      <c r="C1538"/>
      <c r="D1538"/>
      <c r="E1538"/>
      <c r="F1538"/>
      <c r="G1538"/>
    </row>
    <row r="1539" spans="1:7">
      <c r="A1539"/>
      <c r="B1539"/>
      <c r="C1539"/>
      <c r="D1539"/>
      <c r="E1539"/>
      <c r="F1539"/>
      <c r="G1539"/>
    </row>
    <row r="1540" spans="1:7">
      <c r="A1540"/>
      <c r="B1540"/>
      <c r="C1540"/>
      <c r="D1540"/>
      <c r="E1540"/>
      <c r="F1540"/>
      <c r="G1540"/>
    </row>
    <row r="1541" spans="1:7">
      <c r="A1541"/>
      <c r="B1541"/>
      <c r="C1541"/>
      <c r="D1541"/>
      <c r="E1541"/>
      <c r="F1541"/>
      <c r="G1541"/>
    </row>
    <row r="1542" spans="1:7">
      <c r="A1542"/>
      <c r="B1542"/>
      <c r="C1542"/>
      <c r="D1542"/>
      <c r="E1542"/>
      <c r="F1542"/>
      <c r="G1542"/>
    </row>
    <row r="1543" spans="1:7">
      <c r="A1543"/>
      <c r="B1543"/>
      <c r="C1543"/>
      <c r="D1543"/>
      <c r="E1543"/>
      <c r="F1543"/>
      <c r="G1543"/>
    </row>
    <row r="1544" spans="1:7">
      <c r="A1544"/>
      <c r="B1544"/>
      <c r="C1544"/>
      <c r="D1544"/>
      <c r="E1544"/>
      <c r="F1544"/>
      <c r="G1544"/>
    </row>
    <row r="1545" spans="1:7">
      <c r="A1545"/>
      <c r="B1545"/>
      <c r="C1545"/>
      <c r="D1545"/>
      <c r="E1545"/>
      <c r="F1545"/>
      <c r="G1545"/>
    </row>
    <row r="1546" spans="1:7">
      <c r="A1546"/>
      <c r="B1546"/>
      <c r="C1546"/>
      <c r="D1546"/>
      <c r="E1546"/>
      <c r="F1546"/>
      <c r="G1546"/>
    </row>
    <row r="1547" spans="1:7">
      <c r="A1547"/>
      <c r="B1547"/>
      <c r="C1547"/>
      <c r="D1547"/>
      <c r="E1547"/>
      <c r="F1547"/>
      <c r="G1547"/>
    </row>
    <row r="1548" spans="1:7">
      <c r="A1548"/>
      <c r="B1548"/>
      <c r="C1548"/>
      <c r="D1548"/>
      <c r="E1548"/>
      <c r="F1548"/>
      <c r="G1548"/>
    </row>
    <row r="1549" spans="1:7">
      <c r="A1549"/>
      <c r="B1549"/>
      <c r="C1549"/>
      <c r="D1549"/>
      <c r="E1549"/>
      <c r="F1549"/>
      <c r="G1549"/>
    </row>
    <row r="1550" spans="1:7">
      <c r="A1550"/>
      <c r="B1550"/>
      <c r="C1550"/>
      <c r="D1550"/>
      <c r="E1550"/>
      <c r="F1550"/>
      <c r="G1550"/>
    </row>
    <row r="1551" spans="1:7">
      <c r="A1551"/>
      <c r="B1551"/>
      <c r="C1551"/>
      <c r="D1551"/>
      <c r="E1551"/>
      <c r="F1551"/>
      <c r="G1551"/>
    </row>
    <row r="1552" spans="1:7">
      <c r="A1552"/>
      <c r="B1552"/>
      <c r="C1552"/>
      <c r="D1552"/>
      <c r="E1552"/>
      <c r="F1552"/>
      <c r="G1552"/>
    </row>
    <row r="1553" spans="1:7">
      <c r="A1553"/>
      <c r="B1553"/>
      <c r="C1553"/>
      <c r="D1553"/>
      <c r="E1553"/>
      <c r="F1553"/>
      <c r="G1553"/>
    </row>
    <row r="1554" spans="1:7">
      <c r="A1554"/>
      <c r="B1554"/>
      <c r="C1554"/>
      <c r="D1554"/>
      <c r="E1554"/>
      <c r="F1554"/>
      <c r="G1554"/>
    </row>
    <row r="1555" spans="1:7">
      <c r="A1555"/>
      <c r="B1555"/>
      <c r="C1555"/>
      <c r="D1555"/>
      <c r="E1555"/>
      <c r="F1555"/>
      <c r="G1555"/>
    </row>
    <row r="1556" spans="1:7">
      <c r="A1556"/>
      <c r="B1556"/>
      <c r="C1556"/>
      <c r="D1556"/>
      <c r="E1556"/>
      <c r="F1556"/>
      <c r="G1556"/>
    </row>
    <row r="1557" spans="1:7">
      <c r="A1557"/>
      <c r="B1557"/>
      <c r="C1557"/>
      <c r="D1557"/>
      <c r="E1557"/>
      <c r="F1557"/>
      <c r="G1557"/>
    </row>
    <row r="1558" spans="1:7">
      <c r="A1558"/>
      <c r="B1558"/>
      <c r="C1558"/>
      <c r="D1558"/>
      <c r="E1558"/>
      <c r="F1558"/>
      <c r="G1558"/>
    </row>
    <row r="1559" spans="1:7">
      <c r="A1559"/>
      <c r="B1559"/>
      <c r="C1559"/>
      <c r="D1559"/>
      <c r="E1559"/>
      <c r="F1559"/>
      <c r="G1559"/>
    </row>
    <row r="1560" spans="1:7">
      <c r="A1560"/>
      <c r="B1560"/>
      <c r="C1560"/>
      <c r="D1560"/>
      <c r="E1560"/>
      <c r="F1560"/>
      <c r="G1560"/>
    </row>
    <row r="1561" spans="1:7">
      <c r="A1561"/>
      <c r="B1561"/>
      <c r="C1561"/>
      <c r="D1561"/>
      <c r="E1561"/>
      <c r="F1561"/>
      <c r="G1561"/>
    </row>
    <row r="1562" spans="1:7">
      <c r="A1562"/>
      <c r="B1562"/>
      <c r="C1562"/>
      <c r="D1562"/>
      <c r="E1562"/>
      <c r="F1562"/>
      <c r="G1562"/>
    </row>
    <row r="1563" spans="1:7">
      <c r="A1563"/>
      <c r="B1563"/>
      <c r="C1563"/>
      <c r="D1563"/>
      <c r="E1563"/>
      <c r="F1563"/>
      <c r="G1563"/>
    </row>
    <row r="1564" spans="1:7">
      <c r="A1564"/>
      <c r="B1564"/>
      <c r="C1564"/>
      <c r="D1564"/>
      <c r="E1564"/>
      <c r="F1564"/>
      <c r="G1564"/>
    </row>
    <row r="1565" spans="1:7">
      <c r="A1565"/>
      <c r="B1565"/>
      <c r="C1565"/>
      <c r="D1565"/>
      <c r="E1565"/>
      <c r="F1565"/>
      <c r="G1565"/>
    </row>
    <row r="1566" spans="1:7">
      <c r="A1566"/>
      <c r="B1566"/>
      <c r="C1566"/>
      <c r="D1566"/>
      <c r="E1566"/>
      <c r="F1566"/>
      <c r="G1566"/>
    </row>
    <row r="1567" spans="1:7">
      <c r="A1567"/>
      <c r="B1567"/>
      <c r="C1567"/>
      <c r="D1567"/>
      <c r="E1567"/>
      <c r="F1567"/>
      <c r="G1567"/>
    </row>
    <row r="1568" spans="1:7">
      <c r="A1568"/>
      <c r="B1568"/>
      <c r="C1568"/>
      <c r="D1568"/>
      <c r="E1568"/>
      <c r="F1568"/>
      <c r="G1568"/>
    </row>
    <row r="1569" spans="1:7">
      <c r="A1569"/>
      <c r="B1569"/>
      <c r="C1569"/>
      <c r="D1569"/>
      <c r="E1569"/>
      <c r="F1569"/>
      <c r="G1569"/>
    </row>
    <row r="1570" spans="1:7">
      <c r="A1570"/>
      <c r="B1570"/>
      <c r="C1570"/>
      <c r="D1570"/>
      <c r="E1570"/>
      <c r="F1570"/>
      <c r="G1570"/>
    </row>
    <row r="1571" spans="1:7">
      <c r="A1571"/>
      <c r="B1571"/>
      <c r="C1571"/>
      <c r="D1571"/>
      <c r="E1571"/>
      <c r="F1571"/>
      <c r="G1571"/>
    </row>
    <row r="1572" spans="1:7">
      <c r="A1572"/>
      <c r="B1572"/>
      <c r="C1572"/>
      <c r="D1572"/>
      <c r="E1572"/>
      <c r="F1572"/>
      <c r="G1572"/>
    </row>
    <row r="1573" spans="1:7">
      <c r="A1573"/>
      <c r="B1573"/>
      <c r="C1573"/>
      <c r="D1573"/>
      <c r="E1573"/>
      <c r="F1573"/>
      <c r="G1573"/>
    </row>
    <row r="1574" spans="1:7">
      <c r="A1574"/>
      <c r="B1574"/>
      <c r="C1574"/>
      <c r="D1574"/>
      <c r="E1574"/>
      <c r="F1574"/>
      <c r="G1574"/>
    </row>
    <row r="1575" spans="1:7">
      <c r="A1575"/>
      <c r="B1575"/>
      <c r="C1575"/>
      <c r="D1575"/>
      <c r="E1575"/>
      <c r="F1575"/>
      <c r="G1575"/>
    </row>
    <row r="1576" spans="1:7">
      <c r="A1576"/>
      <c r="B1576"/>
      <c r="C1576"/>
      <c r="D1576"/>
      <c r="E1576"/>
      <c r="F1576"/>
      <c r="G1576"/>
    </row>
    <row r="1577" spans="1:7">
      <c r="A1577"/>
      <c r="B1577"/>
      <c r="C1577"/>
      <c r="D1577"/>
      <c r="E1577"/>
      <c r="F1577"/>
      <c r="G1577"/>
    </row>
    <row r="1578" spans="1:7">
      <c r="A1578"/>
      <c r="B1578"/>
      <c r="C1578"/>
      <c r="D1578"/>
      <c r="E1578"/>
      <c r="F1578"/>
      <c r="G1578"/>
    </row>
    <row r="1579" spans="1:7">
      <c r="A1579"/>
      <c r="B1579"/>
      <c r="C1579"/>
      <c r="D1579"/>
      <c r="E1579"/>
      <c r="F1579"/>
      <c r="G1579"/>
    </row>
    <row r="1580" spans="1:7">
      <c r="A1580"/>
      <c r="B1580"/>
      <c r="C1580"/>
      <c r="D1580"/>
      <c r="E1580"/>
      <c r="F1580"/>
      <c r="G1580"/>
    </row>
    <row r="1581" spans="1:7">
      <c r="A1581"/>
      <c r="B1581"/>
      <c r="C1581"/>
      <c r="D1581"/>
      <c r="E1581"/>
      <c r="F1581"/>
      <c r="G1581"/>
    </row>
    <row r="1582" spans="1:7">
      <c r="A1582"/>
      <c r="B1582"/>
      <c r="C1582"/>
      <c r="D1582"/>
      <c r="E1582"/>
      <c r="F1582"/>
      <c r="G1582"/>
    </row>
    <row r="1583" spans="1:7">
      <c r="A1583"/>
      <c r="B1583"/>
      <c r="C1583"/>
      <c r="D1583"/>
      <c r="E1583"/>
      <c r="F1583"/>
      <c r="G1583"/>
    </row>
    <row r="1584" spans="1:7">
      <c r="A1584"/>
      <c r="B1584"/>
      <c r="C1584"/>
      <c r="D1584"/>
      <c r="E1584"/>
      <c r="F1584"/>
      <c r="G1584"/>
    </row>
    <row r="1585" spans="1:7">
      <c r="A1585"/>
      <c r="B1585"/>
      <c r="C1585"/>
      <c r="D1585"/>
      <c r="E1585"/>
      <c r="F1585"/>
      <c r="G1585"/>
    </row>
    <row r="1586" spans="1:7">
      <c r="A1586"/>
      <c r="B1586"/>
      <c r="C1586"/>
      <c r="D1586"/>
      <c r="E1586"/>
      <c r="F1586"/>
      <c r="G1586"/>
    </row>
    <row r="1587" spans="1:7">
      <c r="A1587"/>
      <c r="B1587"/>
      <c r="C1587"/>
      <c r="D1587"/>
      <c r="E1587"/>
      <c r="F1587"/>
      <c r="G1587"/>
    </row>
    <row r="1588" spans="1:7">
      <c r="A1588"/>
      <c r="B1588"/>
      <c r="C1588"/>
      <c r="D1588"/>
      <c r="E1588"/>
      <c r="F1588"/>
      <c r="G1588"/>
    </row>
    <row r="1589" spans="1:7">
      <c r="A1589"/>
      <c r="B1589"/>
      <c r="C1589"/>
      <c r="D1589"/>
      <c r="E1589"/>
      <c r="F1589"/>
      <c r="G1589"/>
    </row>
    <row r="1590" spans="1:7">
      <c r="A1590"/>
      <c r="B1590"/>
      <c r="C1590"/>
      <c r="D1590"/>
      <c r="E1590"/>
      <c r="F1590"/>
      <c r="G1590"/>
    </row>
    <row r="1591" spans="1:7">
      <c r="A1591"/>
      <c r="B1591"/>
      <c r="C1591"/>
      <c r="D1591"/>
      <c r="E1591"/>
      <c r="F1591"/>
      <c r="G1591"/>
    </row>
    <row r="1592" spans="1:7">
      <c r="A1592"/>
      <c r="B1592"/>
      <c r="C1592"/>
      <c r="D1592"/>
      <c r="E1592"/>
      <c r="F1592"/>
      <c r="G1592"/>
    </row>
    <row r="1593" spans="1:7">
      <c r="A1593"/>
      <c r="B1593"/>
      <c r="C1593"/>
      <c r="D1593"/>
      <c r="E1593"/>
      <c r="F1593"/>
      <c r="G1593"/>
    </row>
    <row r="1594" spans="1:7">
      <c r="A1594"/>
      <c r="B1594"/>
      <c r="C1594"/>
      <c r="D1594"/>
      <c r="E1594"/>
      <c r="F1594"/>
      <c r="G1594"/>
    </row>
    <row r="1595" spans="1:7">
      <c r="A1595"/>
      <c r="B1595"/>
      <c r="C1595"/>
      <c r="D1595"/>
      <c r="E1595"/>
      <c r="F1595"/>
      <c r="G1595"/>
    </row>
    <row r="1596" spans="1:7">
      <c r="A1596"/>
      <c r="B1596"/>
      <c r="C1596"/>
      <c r="D1596"/>
      <c r="E1596"/>
      <c r="F1596"/>
      <c r="G1596"/>
    </row>
    <row r="1597" spans="1:7">
      <c r="A1597"/>
      <c r="B1597"/>
      <c r="C1597"/>
      <c r="D1597"/>
      <c r="E1597"/>
      <c r="F1597"/>
      <c r="G1597"/>
    </row>
    <row r="1598" spans="1:7">
      <c r="A1598"/>
      <c r="B1598"/>
      <c r="C1598"/>
      <c r="D1598"/>
      <c r="E1598"/>
      <c r="F1598"/>
      <c r="G1598"/>
    </row>
    <row r="1599" spans="1:7">
      <c r="A1599"/>
      <c r="B1599"/>
      <c r="C1599"/>
      <c r="D1599"/>
      <c r="E1599"/>
      <c r="F1599"/>
      <c r="G1599"/>
    </row>
    <row r="1600" spans="1:7">
      <c r="A1600"/>
      <c r="B1600"/>
      <c r="C1600"/>
      <c r="D1600"/>
      <c r="E1600"/>
      <c r="F1600"/>
      <c r="G1600"/>
    </row>
    <row r="1601" spans="1:7">
      <c r="A1601"/>
      <c r="B1601"/>
      <c r="C1601"/>
      <c r="D1601"/>
      <c r="E1601"/>
      <c r="F1601"/>
      <c r="G1601"/>
    </row>
    <row r="1602" spans="1:7">
      <c r="A1602"/>
      <c r="B1602"/>
      <c r="C1602"/>
      <c r="D1602"/>
      <c r="E1602"/>
      <c r="F1602"/>
      <c r="G1602"/>
    </row>
    <row r="1603" spans="1:7">
      <c r="A1603"/>
      <c r="B1603"/>
      <c r="C1603"/>
      <c r="D1603"/>
      <c r="E1603"/>
      <c r="F1603"/>
      <c r="G1603"/>
    </row>
    <row r="1604" spans="1:7">
      <c r="A1604"/>
      <c r="B1604"/>
      <c r="C1604"/>
      <c r="D1604"/>
      <c r="E1604"/>
      <c r="F1604"/>
      <c r="G1604"/>
    </row>
    <row r="1605" spans="1:7">
      <c r="A1605"/>
      <c r="B1605"/>
      <c r="C1605"/>
      <c r="D1605"/>
      <c r="E1605"/>
      <c r="F1605"/>
      <c r="G1605"/>
    </row>
    <row r="1606" spans="1:7">
      <c r="A1606"/>
      <c r="B1606"/>
      <c r="C1606"/>
      <c r="D1606"/>
      <c r="E1606"/>
      <c r="F1606"/>
      <c r="G1606"/>
    </row>
    <row r="1607" spans="1:7">
      <c r="A1607"/>
      <c r="B1607"/>
      <c r="C1607"/>
      <c r="D1607"/>
      <c r="E1607"/>
      <c r="F1607"/>
      <c r="G1607"/>
    </row>
    <row r="1608" spans="1:7">
      <c r="A1608"/>
      <c r="B1608"/>
      <c r="C1608"/>
      <c r="D1608"/>
      <c r="E1608"/>
      <c r="F1608"/>
      <c r="G1608"/>
    </row>
    <row r="1609" spans="1:7">
      <c r="A1609"/>
      <c r="B1609"/>
      <c r="C1609"/>
      <c r="D1609"/>
      <c r="E1609"/>
      <c r="F1609"/>
      <c r="G1609"/>
    </row>
    <row r="1610" spans="1:7">
      <c r="A1610"/>
      <c r="B1610"/>
      <c r="C1610"/>
      <c r="D1610"/>
      <c r="E1610"/>
      <c r="F1610"/>
      <c r="G1610"/>
    </row>
    <row r="1611" spans="1:7">
      <c r="A1611"/>
      <c r="B1611"/>
      <c r="C1611"/>
      <c r="D1611"/>
      <c r="E1611"/>
      <c r="F1611"/>
      <c r="G1611"/>
    </row>
    <row r="1612" spans="1:7">
      <c r="A1612"/>
      <c r="B1612"/>
      <c r="C1612"/>
      <c r="D1612"/>
      <c r="E1612"/>
      <c r="F1612"/>
      <c r="G1612"/>
    </row>
    <row r="1613" spans="1:7">
      <c r="A1613"/>
      <c r="B1613"/>
      <c r="C1613"/>
      <c r="D1613"/>
      <c r="E1613"/>
      <c r="F1613"/>
      <c r="G1613"/>
    </row>
    <row r="1614" spans="1:7">
      <c r="A1614"/>
      <c r="B1614"/>
      <c r="C1614"/>
      <c r="D1614"/>
      <c r="E1614"/>
      <c r="F1614"/>
      <c r="G1614"/>
    </row>
    <row r="1615" spans="1:7">
      <c r="A1615"/>
      <c r="B1615"/>
      <c r="C1615"/>
      <c r="D1615"/>
      <c r="E1615"/>
      <c r="F1615"/>
      <c r="G1615"/>
    </row>
    <row r="1616" spans="1:7">
      <c r="A1616"/>
      <c r="B1616"/>
      <c r="C1616"/>
      <c r="D1616"/>
      <c r="E1616"/>
      <c r="F1616"/>
      <c r="G1616"/>
    </row>
    <row r="1617" spans="1:7">
      <c r="A1617"/>
      <c r="B1617"/>
      <c r="C1617"/>
      <c r="D1617"/>
      <c r="E1617"/>
      <c r="F1617"/>
      <c r="G1617"/>
    </row>
    <row r="1618" spans="1:7">
      <c r="A1618"/>
      <c r="B1618"/>
      <c r="C1618"/>
      <c r="D1618"/>
      <c r="E1618"/>
      <c r="F1618"/>
      <c r="G1618"/>
    </row>
    <row r="1619" spans="1:7">
      <c r="A1619"/>
      <c r="B1619"/>
      <c r="C1619"/>
      <c r="D1619"/>
      <c r="E1619"/>
      <c r="F1619"/>
      <c r="G1619"/>
    </row>
    <row r="1620" spans="1:7">
      <c r="A1620"/>
      <c r="B1620"/>
      <c r="C1620"/>
      <c r="D1620"/>
      <c r="E1620"/>
      <c r="F1620"/>
      <c r="G1620"/>
    </row>
    <row r="1621" spans="1:7">
      <c r="A1621"/>
      <c r="B1621"/>
      <c r="C1621"/>
      <c r="D1621"/>
      <c r="E1621"/>
      <c r="F1621"/>
      <c r="G1621"/>
    </row>
    <row r="1622" spans="1:7">
      <c r="A1622"/>
      <c r="B1622"/>
      <c r="C1622"/>
      <c r="D1622"/>
      <c r="E1622"/>
      <c r="F1622"/>
      <c r="G1622"/>
    </row>
    <row r="1623" spans="1:7">
      <c r="A1623"/>
      <c r="B1623"/>
      <c r="C1623"/>
      <c r="D1623"/>
      <c r="E1623"/>
      <c r="F1623"/>
      <c r="G1623"/>
    </row>
    <row r="1624" spans="1:7">
      <c r="A1624"/>
      <c r="B1624"/>
      <c r="C1624"/>
      <c r="D1624"/>
      <c r="E1624"/>
      <c r="F1624"/>
      <c r="G1624"/>
    </row>
    <row r="1625" spans="1:7">
      <c r="A1625"/>
      <c r="B1625"/>
      <c r="C1625"/>
      <c r="D1625"/>
      <c r="E1625"/>
      <c r="F1625"/>
      <c r="G1625"/>
    </row>
    <row r="1626" spans="1:7">
      <c r="A1626"/>
      <c r="B1626"/>
      <c r="C1626"/>
      <c r="D1626"/>
      <c r="E1626"/>
      <c r="F1626"/>
      <c r="G1626"/>
    </row>
    <row r="1627" spans="1:7">
      <c r="A1627"/>
      <c r="B1627"/>
      <c r="C1627"/>
      <c r="D1627"/>
      <c r="E1627"/>
      <c r="F1627"/>
      <c r="G1627"/>
    </row>
    <row r="1628" spans="1:7">
      <c r="A1628"/>
      <c r="B1628"/>
      <c r="C1628"/>
      <c r="D1628"/>
      <c r="E1628"/>
      <c r="F1628"/>
      <c r="G1628"/>
    </row>
    <row r="1629" spans="1:7">
      <c r="A1629"/>
      <c r="B1629"/>
      <c r="C1629"/>
      <c r="D1629"/>
      <c r="E1629"/>
      <c r="F1629"/>
      <c r="G1629"/>
    </row>
    <row r="1630" spans="1:7">
      <c r="A1630"/>
      <c r="B1630"/>
      <c r="C1630"/>
      <c r="D1630"/>
      <c r="E1630"/>
      <c r="F1630"/>
      <c r="G1630"/>
    </row>
    <row r="1631" spans="1:7">
      <c r="A1631"/>
      <c r="B1631"/>
      <c r="C1631"/>
      <c r="D1631"/>
      <c r="E1631"/>
      <c r="F1631"/>
      <c r="G1631"/>
    </row>
    <row r="1632" spans="1:7">
      <c r="A1632"/>
      <c r="B1632"/>
      <c r="C1632"/>
      <c r="D1632"/>
      <c r="E1632"/>
      <c r="F1632"/>
      <c r="G1632"/>
    </row>
    <row r="1633" spans="1:7">
      <c r="A1633"/>
      <c r="B1633"/>
      <c r="C1633"/>
      <c r="D1633"/>
      <c r="E1633"/>
      <c r="F1633"/>
      <c r="G1633"/>
    </row>
    <row r="1634" spans="1:7">
      <c r="A1634"/>
      <c r="B1634"/>
      <c r="C1634"/>
      <c r="D1634"/>
      <c r="E1634"/>
      <c r="F1634"/>
      <c r="G1634"/>
    </row>
    <row r="1635" spans="1:7">
      <c r="A1635"/>
      <c r="B1635"/>
      <c r="C1635"/>
      <c r="D1635"/>
      <c r="E1635"/>
      <c r="F1635"/>
      <c r="G1635"/>
    </row>
    <row r="1636" spans="1:7">
      <c r="A1636"/>
      <c r="B1636"/>
      <c r="C1636"/>
      <c r="D1636"/>
      <c r="E1636"/>
      <c r="F1636"/>
      <c r="G1636"/>
    </row>
    <row r="1637" spans="1:7">
      <c r="A1637"/>
      <c r="B1637"/>
      <c r="C1637"/>
      <c r="D1637"/>
      <c r="E1637"/>
      <c r="F1637"/>
      <c r="G1637"/>
    </row>
    <row r="1638" spans="1:7">
      <c r="A1638"/>
      <c r="B1638"/>
      <c r="C1638"/>
      <c r="D1638"/>
      <c r="E1638"/>
      <c r="F1638"/>
      <c r="G1638"/>
    </row>
    <row r="1639" spans="1:7">
      <c r="A1639"/>
      <c r="B1639"/>
      <c r="C1639"/>
      <c r="D1639"/>
      <c r="E1639"/>
      <c r="F1639"/>
      <c r="G1639"/>
    </row>
    <row r="1640" spans="1:7">
      <c r="A1640"/>
      <c r="B1640"/>
      <c r="C1640"/>
      <c r="D1640"/>
      <c r="E1640"/>
      <c r="F1640"/>
      <c r="G1640"/>
    </row>
    <row r="1641" spans="1:7">
      <c r="A1641"/>
      <c r="B1641"/>
      <c r="C1641"/>
      <c r="D1641"/>
      <c r="E1641"/>
      <c r="F1641"/>
      <c r="G1641"/>
    </row>
    <row r="1642" spans="1:7">
      <c r="A1642"/>
      <c r="B1642"/>
      <c r="C1642"/>
      <c r="D1642"/>
      <c r="E1642"/>
      <c r="F1642"/>
      <c r="G1642"/>
    </row>
    <row r="1643" spans="1:7">
      <c r="A1643"/>
      <c r="B1643"/>
      <c r="C1643"/>
      <c r="D1643"/>
      <c r="E1643"/>
      <c r="F1643"/>
      <c r="G1643"/>
    </row>
    <row r="1644" spans="1:7">
      <c r="A1644"/>
      <c r="B1644"/>
      <c r="C1644"/>
      <c r="D1644"/>
      <c r="E1644"/>
      <c r="F1644"/>
      <c r="G1644"/>
    </row>
    <row r="1645" spans="1:7">
      <c r="A1645"/>
      <c r="B1645"/>
      <c r="C1645"/>
      <c r="D1645"/>
      <c r="E1645"/>
      <c r="F1645"/>
      <c r="G1645"/>
    </row>
    <row r="1646" spans="1:7">
      <c r="A1646"/>
      <c r="B1646"/>
      <c r="C1646"/>
      <c r="D1646"/>
      <c r="E1646"/>
      <c r="F1646"/>
      <c r="G1646"/>
    </row>
    <row r="1647" spans="1:7">
      <c r="A1647"/>
      <c r="B1647"/>
      <c r="C1647"/>
      <c r="D1647"/>
      <c r="E1647"/>
      <c r="F1647"/>
      <c r="G1647"/>
    </row>
    <row r="1648" spans="1:7">
      <c r="A1648"/>
      <c r="B1648"/>
      <c r="C1648"/>
      <c r="D1648"/>
      <c r="E1648"/>
      <c r="F1648"/>
      <c r="G1648"/>
    </row>
    <row r="1649" spans="1:7">
      <c r="A1649"/>
      <c r="B1649"/>
      <c r="C1649"/>
      <c r="D1649"/>
      <c r="E1649"/>
      <c r="F1649"/>
      <c r="G1649"/>
    </row>
    <row r="1650" spans="1:7">
      <c r="A1650"/>
      <c r="B1650"/>
      <c r="C1650"/>
      <c r="D1650"/>
      <c r="E1650"/>
      <c r="F1650"/>
      <c r="G1650"/>
    </row>
    <row r="1651" spans="1:7">
      <c r="A1651"/>
      <c r="B1651"/>
      <c r="C1651"/>
      <c r="D1651"/>
      <c r="E1651"/>
      <c r="F1651"/>
      <c r="G1651"/>
    </row>
    <row r="1652" spans="1:7">
      <c r="A1652"/>
      <c r="B1652"/>
      <c r="C1652"/>
      <c r="D1652"/>
      <c r="E1652"/>
      <c r="F1652"/>
      <c r="G1652"/>
    </row>
    <row r="1653" spans="1:7">
      <c r="A1653"/>
      <c r="B1653"/>
      <c r="C1653"/>
      <c r="D1653"/>
      <c r="E1653"/>
      <c r="F1653"/>
      <c r="G1653"/>
    </row>
    <row r="1654" spans="1:7">
      <c r="A1654"/>
      <c r="B1654"/>
      <c r="C1654"/>
      <c r="D1654"/>
      <c r="E1654"/>
      <c r="F1654"/>
      <c r="G1654"/>
    </row>
    <row r="1655" spans="1:7">
      <c r="A1655"/>
      <c r="B1655"/>
      <c r="C1655"/>
      <c r="D1655"/>
      <c r="E1655"/>
      <c r="F1655"/>
      <c r="G1655"/>
    </row>
    <row r="1656" spans="1:7">
      <c r="A1656"/>
      <c r="B1656"/>
      <c r="C1656"/>
      <c r="D1656"/>
      <c r="E1656"/>
      <c r="F1656"/>
      <c r="G1656"/>
    </row>
    <row r="1657" spans="1:7">
      <c r="A1657"/>
      <c r="B1657"/>
      <c r="C1657"/>
      <c r="D1657"/>
      <c r="E1657"/>
      <c r="F1657"/>
      <c r="G1657"/>
    </row>
    <row r="1658" spans="1:7">
      <c r="A1658"/>
      <c r="B1658"/>
      <c r="C1658"/>
      <c r="D1658"/>
      <c r="E1658"/>
      <c r="F1658"/>
      <c r="G1658"/>
    </row>
    <row r="1659" spans="1:7">
      <c r="A1659"/>
      <c r="B1659"/>
      <c r="C1659"/>
      <c r="D1659"/>
      <c r="E1659"/>
      <c r="F1659"/>
      <c r="G1659"/>
    </row>
    <row r="1660" spans="1:7">
      <c r="A1660"/>
      <c r="B1660"/>
      <c r="C1660"/>
      <c r="D1660"/>
      <c r="E1660"/>
      <c r="F1660"/>
      <c r="G1660"/>
    </row>
    <row r="1661" spans="1:7">
      <c r="A1661"/>
      <c r="B1661"/>
      <c r="C1661"/>
      <c r="D1661"/>
      <c r="E1661"/>
      <c r="F1661"/>
      <c r="G1661"/>
    </row>
    <row r="1662" spans="1:7">
      <c r="A1662"/>
      <c r="B1662"/>
      <c r="C1662"/>
      <c r="D1662"/>
      <c r="E1662"/>
      <c r="F1662"/>
      <c r="G1662"/>
    </row>
    <row r="1663" spans="1:7">
      <c r="A1663"/>
      <c r="B1663"/>
      <c r="C1663"/>
      <c r="D1663"/>
      <c r="E1663"/>
      <c r="F1663"/>
      <c r="G1663"/>
    </row>
    <row r="1664" spans="1:7">
      <c r="A1664"/>
      <c r="B1664"/>
      <c r="C1664"/>
      <c r="D1664"/>
      <c r="E1664"/>
      <c r="F1664"/>
      <c r="G1664"/>
    </row>
    <row r="1665" spans="1:7">
      <c r="A1665"/>
      <c r="B1665"/>
      <c r="C1665"/>
      <c r="D1665"/>
      <c r="E1665"/>
      <c r="F1665"/>
      <c r="G1665"/>
    </row>
    <row r="1666" spans="1:7">
      <c r="A1666"/>
      <c r="B1666"/>
      <c r="C1666"/>
      <c r="D1666"/>
      <c r="E1666"/>
      <c r="F1666"/>
      <c r="G1666"/>
    </row>
    <row r="1667" spans="1:7">
      <c r="A1667"/>
      <c r="B1667"/>
      <c r="C1667"/>
      <c r="D1667"/>
      <c r="E1667"/>
      <c r="F1667"/>
      <c r="G1667"/>
    </row>
    <row r="1668" spans="1:7">
      <c r="A1668"/>
      <c r="B1668"/>
      <c r="C1668"/>
      <c r="D1668"/>
      <c r="E1668"/>
      <c r="F1668"/>
      <c r="G1668"/>
    </row>
    <row r="1669" spans="1:7">
      <c r="A1669"/>
      <c r="B1669"/>
      <c r="C1669"/>
      <c r="D1669"/>
      <c r="E1669"/>
      <c r="F1669"/>
      <c r="G1669"/>
    </row>
    <row r="1670" spans="1:7">
      <c r="A1670"/>
      <c r="B1670"/>
      <c r="C1670"/>
      <c r="D1670"/>
      <c r="E1670"/>
      <c r="F1670"/>
      <c r="G1670"/>
    </row>
    <row r="1671" spans="1:7">
      <c r="A1671"/>
      <c r="B1671"/>
      <c r="C1671"/>
      <c r="D1671"/>
      <c r="E1671"/>
      <c r="F1671"/>
      <c r="G1671"/>
    </row>
    <row r="1672" spans="1:7">
      <c r="A1672"/>
      <c r="B1672"/>
      <c r="C1672"/>
      <c r="D1672"/>
      <c r="E1672"/>
      <c r="F1672"/>
      <c r="G1672"/>
    </row>
    <row r="1673" spans="1:7">
      <c r="A1673"/>
      <c r="B1673"/>
      <c r="C1673"/>
      <c r="D1673"/>
      <c r="E1673"/>
      <c r="F1673"/>
      <c r="G1673"/>
    </row>
    <row r="1674" spans="1:7">
      <c r="A1674"/>
      <c r="B1674"/>
      <c r="C1674"/>
      <c r="D1674"/>
      <c r="E1674"/>
      <c r="F1674"/>
      <c r="G1674"/>
    </row>
    <row r="1675" spans="1:7">
      <c r="A1675"/>
      <c r="B1675"/>
      <c r="C1675"/>
      <c r="D1675"/>
      <c r="E1675"/>
      <c r="F1675"/>
      <c r="G1675"/>
    </row>
    <row r="1676" spans="1:7">
      <c r="A1676"/>
      <c r="B1676"/>
      <c r="C1676"/>
      <c r="D1676"/>
      <c r="E1676"/>
      <c r="F1676"/>
      <c r="G1676"/>
    </row>
    <row r="1677" spans="1:7">
      <c r="A1677"/>
      <c r="B1677"/>
      <c r="C1677"/>
      <c r="D1677"/>
      <c r="E1677"/>
      <c r="F1677"/>
      <c r="G1677"/>
    </row>
    <row r="1678" spans="1:7">
      <c r="A1678"/>
      <c r="B1678"/>
      <c r="C1678"/>
      <c r="D1678"/>
      <c r="E1678"/>
      <c r="F1678"/>
      <c r="G1678"/>
    </row>
    <row r="1679" spans="1:7">
      <c r="A1679"/>
      <c r="B1679"/>
      <c r="C1679"/>
      <c r="D1679"/>
      <c r="E1679"/>
      <c r="F1679"/>
      <c r="G1679"/>
    </row>
    <row r="1680" spans="1:7">
      <c r="A1680"/>
      <c r="B1680"/>
      <c r="C1680"/>
      <c r="D1680"/>
      <c r="E1680"/>
      <c r="F1680"/>
      <c r="G1680"/>
    </row>
    <row r="1681" spans="1:7">
      <c r="A1681"/>
      <c r="B1681"/>
      <c r="C1681"/>
      <c r="D1681"/>
      <c r="E1681"/>
      <c r="F1681"/>
      <c r="G1681"/>
    </row>
    <row r="1682" spans="1:7">
      <c r="A1682"/>
      <c r="B1682"/>
      <c r="C1682"/>
      <c r="D1682"/>
      <c r="E1682"/>
      <c r="F1682"/>
      <c r="G1682"/>
    </row>
    <row r="1683" spans="1:7">
      <c r="A1683"/>
      <c r="B1683"/>
      <c r="C1683"/>
      <c r="D1683"/>
      <c r="E1683"/>
      <c r="F1683"/>
      <c r="G1683"/>
    </row>
    <row r="1684" spans="1:7">
      <c r="A1684"/>
      <c r="B1684"/>
      <c r="C1684"/>
      <c r="D1684"/>
      <c r="E1684"/>
      <c r="F1684"/>
      <c r="G1684"/>
    </row>
    <row r="1685" spans="1:7">
      <c r="A1685"/>
      <c r="B1685"/>
      <c r="C1685"/>
      <c r="D1685"/>
      <c r="E1685"/>
      <c r="F1685"/>
      <c r="G1685"/>
    </row>
    <row r="1686" spans="1:7">
      <c r="A1686"/>
      <c r="B1686"/>
      <c r="C1686"/>
      <c r="D1686"/>
      <c r="E1686"/>
      <c r="F1686"/>
      <c r="G1686"/>
    </row>
    <row r="1687" spans="1:7">
      <c r="A1687"/>
      <c r="B1687"/>
      <c r="C1687"/>
      <c r="D1687"/>
      <c r="E1687"/>
      <c r="F1687"/>
      <c r="G1687"/>
    </row>
    <row r="1688" spans="1:7">
      <c r="A1688"/>
      <c r="B1688"/>
      <c r="C1688"/>
      <c r="D1688"/>
      <c r="E1688"/>
      <c r="F1688"/>
      <c r="G1688"/>
    </row>
    <row r="1689" spans="1:7">
      <c r="A1689"/>
      <c r="B1689"/>
      <c r="C1689"/>
      <c r="D1689"/>
      <c r="E1689"/>
      <c r="F1689"/>
      <c r="G1689"/>
    </row>
    <row r="1690" spans="1:7">
      <c r="A1690"/>
      <c r="B1690"/>
      <c r="C1690"/>
      <c r="D1690"/>
      <c r="E1690"/>
      <c r="F1690"/>
      <c r="G1690"/>
    </row>
    <row r="1691" spans="1:7">
      <c r="A1691"/>
      <c r="B1691"/>
      <c r="C1691"/>
      <c r="D1691"/>
      <c r="E1691"/>
      <c r="F1691"/>
      <c r="G1691"/>
    </row>
    <row r="1692" spans="1:7">
      <c r="A1692"/>
      <c r="B1692"/>
      <c r="C1692"/>
      <c r="D1692"/>
      <c r="E1692"/>
      <c r="F1692"/>
      <c r="G1692"/>
    </row>
    <row r="1693" spans="1:7">
      <c r="A1693"/>
      <c r="B1693"/>
      <c r="C1693"/>
      <c r="D1693"/>
      <c r="E1693"/>
      <c r="F1693"/>
      <c r="G1693"/>
    </row>
    <row r="1694" spans="1:7">
      <c r="A1694"/>
      <c r="B1694"/>
      <c r="C1694"/>
      <c r="D1694"/>
      <c r="E1694"/>
      <c r="F1694"/>
      <c r="G1694"/>
    </row>
    <row r="1695" spans="1:7">
      <c r="A1695"/>
      <c r="B1695"/>
      <c r="C1695"/>
      <c r="D1695"/>
      <c r="E1695"/>
      <c r="F1695"/>
      <c r="G1695"/>
    </row>
    <row r="1696" spans="1:7">
      <c r="A1696"/>
      <c r="B1696"/>
      <c r="C1696"/>
      <c r="D1696"/>
      <c r="E1696"/>
      <c r="F1696"/>
      <c r="G1696"/>
    </row>
    <row r="1697" spans="1:7">
      <c r="A1697"/>
      <c r="B1697"/>
      <c r="C1697"/>
      <c r="D1697"/>
      <c r="E1697"/>
      <c r="F1697"/>
      <c r="G1697"/>
    </row>
    <row r="1698" spans="1:7">
      <c r="A1698"/>
      <c r="B1698"/>
      <c r="C1698"/>
      <c r="D1698"/>
      <c r="E1698"/>
      <c r="F1698"/>
      <c r="G1698"/>
    </row>
    <row r="1699" spans="1:7">
      <c r="A1699"/>
      <c r="B1699"/>
      <c r="C1699"/>
      <c r="D1699"/>
      <c r="E1699"/>
      <c r="F1699"/>
      <c r="G1699"/>
    </row>
    <row r="1700" spans="1:7">
      <c r="A1700"/>
      <c r="B1700"/>
      <c r="C1700"/>
      <c r="D1700"/>
      <c r="E1700"/>
      <c r="F1700"/>
      <c r="G1700"/>
    </row>
    <row r="1701" spans="1:7">
      <c r="A1701"/>
      <c r="B1701"/>
      <c r="C1701"/>
      <c r="D1701"/>
      <c r="E1701"/>
      <c r="F1701"/>
      <c r="G1701"/>
    </row>
    <row r="1702" spans="1:7">
      <c r="A1702"/>
      <c r="B1702"/>
      <c r="C1702"/>
      <c r="D1702"/>
      <c r="E1702"/>
      <c r="F1702"/>
      <c r="G1702"/>
    </row>
    <row r="1703" spans="1:7">
      <c r="A1703"/>
      <c r="B1703"/>
      <c r="C1703"/>
      <c r="D1703"/>
      <c r="E1703"/>
      <c r="F1703"/>
      <c r="G1703"/>
    </row>
    <row r="1704" spans="1:7">
      <c r="A1704"/>
      <c r="B1704"/>
      <c r="C1704"/>
      <c r="D1704"/>
      <c r="E1704"/>
      <c r="F1704"/>
      <c r="G1704"/>
    </row>
    <row r="1705" spans="1:7">
      <c r="A1705"/>
      <c r="B1705"/>
      <c r="C1705"/>
      <c r="D1705"/>
      <c r="E1705"/>
      <c r="F1705"/>
      <c r="G1705"/>
    </row>
    <row r="1706" spans="1:7">
      <c r="A1706"/>
      <c r="B1706"/>
      <c r="C1706"/>
      <c r="D1706"/>
      <c r="E1706"/>
      <c r="F1706"/>
      <c r="G1706"/>
    </row>
    <row r="1707" spans="1:7">
      <c r="A1707"/>
      <c r="B1707"/>
      <c r="C1707"/>
      <c r="D1707"/>
      <c r="E1707"/>
      <c r="F1707"/>
      <c r="G1707"/>
    </row>
    <row r="1708" spans="1:7">
      <c r="A1708"/>
      <c r="B1708"/>
      <c r="C1708"/>
      <c r="D1708"/>
      <c r="E1708"/>
      <c r="F1708"/>
      <c r="G1708"/>
    </row>
    <row r="1709" spans="1:7">
      <c r="A1709"/>
      <c r="B1709"/>
      <c r="C1709"/>
      <c r="D1709"/>
      <c r="E1709"/>
      <c r="F1709"/>
      <c r="G1709"/>
    </row>
    <row r="1710" spans="1:7">
      <c r="A1710"/>
      <c r="B1710"/>
      <c r="C1710"/>
      <c r="D1710"/>
      <c r="E1710"/>
      <c r="F1710"/>
      <c r="G1710"/>
    </row>
    <row r="1711" spans="1:7">
      <c r="A1711"/>
      <c r="B1711"/>
      <c r="C1711"/>
      <c r="D1711"/>
      <c r="E1711"/>
      <c r="F1711"/>
      <c r="G1711"/>
    </row>
    <row r="1712" spans="1:7">
      <c r="A1712"/>
      <c r="B1712"/>
      <c r="C1712"/>
      <c r="D1712"/>
      <c r="E1712"/>
      <c r="F1712"/>
      <c r="G1712"/>
    </row>
    <row r="1713" spans="1:7">
      <c r="A1713"/>
      <c r="B1713"/>
      <c r="C1713"/>
      <c r="D1713"/>
      <c r="E1713"/>
      <c r="F1713"/>
      <c r="G1713"/>
    </row>
    <row r="1714" spans="1:7">
      <c r="A1714"/>
      <c r="B1714"/>
      <c r="C1714"/>
      <c r="D1714"/>
      <c r="E1714"/>
      <c r="F1714"/>
      <c r="G1714"/>
    </row>
    <row r="1715" spans="1:7">
      <c r="A1715"/>
      <c r="B1715"/>
      <c r="C1715"/>
      <c r="D1715"/>
      <c r="E1715"/>
      <c r="F1715"/>
      <c r="G1715"/>
    </row>
    <row r="1716" spans="1:7">
      <c r="A1716"/>
      <c r="B1716"/>
      <c r="C1716"/>
      <c r="D1716"/>
      <c r="E1716"/>
      <c r="F1716"/>
      <c r="G1716"/>
    </row>
    <row r="1717" spans="1:7">
      <c r="A1717"/>
      <c r="B1717"/>
      <c r="C1717"/>
      <c r="D1717"/>
      <c r="E1717"/>
      <c r="F1717"/>
      <c r="G1717"/>
    </row>
    <row r="1718" spans="1:7">
      <c r="A1718"/>
      <c r="B1718"/>
      <c r="C1718"/>
      <c r="D1718"/>
      <c r="E1718"/>
      <c r="F1718"/>
      <c r="G1718"/>
    </row>
    <row r="1719" spans="1:7">
      <c r="A1719"/>
      <c r="B1719"/>
      <c r="C1719"/>
      <c r="D1719"/>
      <c r="E1719"/>
      <c r="F1719"/>
      <c r="G1719"/>
    </row>
    <row r="1720" spans="1:7">
      <c r="A1720"/>
      <c r="B1720"/>
      <c r="C1720"/>
      <c r="D1720"/>
      <c r="E1720"/>
      <c r="F1720"/>
      <c r="G1720"/>
    </row>
    <row r="1721" spans="1:7">
      <c r="A1721"/>
      <c r="B1721"/>
      <c r="C1721"/>
      <c r="D1721"/>
      <c r="E1721"/>
      <c r="F1721"/>
      <c r="G1721"/>
    </row>
    <row r="1722" spans="1:7">
      <c r="A1722"/>
      <c r="B1722"/>
      <c r="C1722"/>
      <c r="D1722"/>
      <c r="E1722"/>
      <c r="F1722"/>
      <c r="G1722"/>
    </row>
    <row r="1723" spans="1:7">
      <c r="A1723"/>
      <c r="B1723"/>
      <c r="C1723"/>
      <c r="D1723"/>
      <c r="E1723"/>
      <c r="F1723"/>
      <c r="G1723"/>
    </row>
    <row r="1724" spans="1:7">
      <c r="A1724"/>
      <c r="B1724"/>
      <c r="C1724"/>
      <c r="D1724"/>
      <c r="E1724"/>
      <c r="F1724"/>
      <c r="G1724"/>
    </row>
    <row r="1725" spans="1:7">
      <c r="A1725"/>
      <c r="B1725"/>
      <c r="C1725"/>
      <c r="D1725"/>
      <c r="E1725"/>
      <c r="F1725"/>
      <c r="G1725"/>
    </row>
    <row r="1726" spans="1:7">
      <c r="A1726"/>
      <c r="B1726"/>
      <c r="C1726"/>
      <c r="D1726"/>
      <c r="E1726"/>
      <c r="F1726"/>
      <c r="G1726"/>
    </row>
    <row r="1727" spans="1:7">
      <c r="A1727"/>
      <c r="B1727"/>
      <c r="C1727"/>
      <c r="D1727"/>
      <c r="E1727"/>
      <c r="F1727"/>
      <c r="G1727"/>
    </row>
    <row r="1728" spans="1:7">
      <c r="A1728"/>
      <c r="B1728"/>
      <c r="C1728"/>
      <c r="D1728"/>
      <c r="E1728"/>
      <c r="F1728"/>
      <c r="G1728"/>
    </row>
    <row r="1729" spans="1:7">
      <c r="A1729"/>
      <c r="B1729"/>
      <c r="C1729"/>
      <c r="D1729"/>
      <c r="E1729"/>
      <c r="F1729"/>
      <c r="G1729"/>
    </row>
    <row r="1730" spans="1:7">
      <c r="A1730"/>
      <c r="B1730"/>
      <c r="C1730"/>
      <c r="D1730"/>
      <c r="E1730"/>
      <c r="F1730"/>
      <c r="G1730"/>
    </row>
    <row r="1731" spans="1:7">
      <c r="A1731"/>
      <c r="B1731"/>
      <c r="C1731"/>
      <c r="D1731"/>
      <c r="E1731"/>
      <c r="F1731"/>
      <c r="G1731"/>
    </row>
    <row r="1732" spans="1:7">
      <c r="A1732"/>
      <c r="B1732"/>
      <c r="C1732"/>
      <c r="D1732"/>
      <c r="E1732"/>
      <c r="F1732"/>
      <c r="G1732"/>
    </row>
    <row r="1733" spans="1:7">
      <c r="A1733"/>
      <c r="B1733"/>
      <c r="C1733"/>
      <c r="D1733"/>
      <c r="E1733"/>
      <c r="F1733"/>
      <c r="G1733"/>
    </row>
    <row r="1734" spans="1:7">
      <c r="A1734"/>
      <c r="B1734"/>
      <c r="C1734"/>
      <c r="D1734"/>
      <c r="E1734"/>
      <c r="F1734"/>
      <c r="G1734"/>
    </row>
    <row r="1735" spans="1:7">
      <c r="A1735"/>
      <c r="B1735"/>
      <c r="C1735"/>
      <c r="D1735"/>
      <c r="E1735"/>
      <c r="F1735"/>
      <c r="G1735"/>
    </row>
    <row r="1736" spans="1:7">
      <c r="A1736"/>
      <c r="B1736"/>
      <c r="C1736"/>
      <c r="D1736"/>
      <c r="E1736"/>
      <c r="F1736"/>
      <c r="G1736"/>
    </row>
    <row r="1737" spans="1:7">
      <c r="A1737"/>
      <c r="B1737"/>
      <c r="C1737"/>
      <c r="D1737"/>
      <c r="E1737"/>
      <c r="F1737"/>
      <c r="G1737"/>
    </row>
    <row r="1738" spans="1:7">
      <c r="A1738"/>
      <c r="B1738"/>
      <c r="C1738"/>
      <c r="D1738"/>
      <c r="E1738"/>
      <c r="F1738"/>
      <c r="G1738"/>
    </row>
    <row r="1739" spans="1:7">
      <c r="A1739"/>
      <c r="B1739"/>
      <c r="C1739"/>
      <c r="D1739"/>
      <c r="E1739"/>
      <c r="F1739"/>
      <c r="G1739"/>
    </row>
    <row r="1740" spans="1:7">
      <c r="A1740"/>
      <c r="B1740"/>
      <c r="C1740"/>
      <c r="D1740"/>
      <c r="E1740"/>
      <c r="F1740"/>
      <c r="G1740"/>
    </row>
    <row r="1741" spans="1:7">
      <c r="A1741"/>
      <c r="B1741"/>
      <c r="C1741"/>
      <c r="D1741"/>
      <c r="E1741"/>
      <c r="F1741"/>
      <c r="G1741"/>
    </row>
    <row r="1742" spans="1:7">
      <c r="A1742"/>
      <c r="B1742"/>
      <c r="C1742"/>
      <c r="D1742"/>
      <c r="E1742"/>
      <c r="F1742"/>
      <c r="G1742"/>
    </row>
    <row r="1743" spans="1:7">
      <c r="A1743"/>
      <c r="B1743"/>
      <c r="C1743"/>
      <c r="D1743"/>
      <c r="E1743"/>
      <c r="F1743"/>
      <c r="G1743"/>
    </row>
    <row r="1744" spans="1:7">
      <c r="A1744"/>
      <c r="B1744"/>
      <c r="C1744"/>
      <c r="D1744"/>
      <c r="E1744"/>
      <c r="F1744"/>
      <c r="G1744"/>
    </row>
    <row r="1745" spans="1:7">
      <c r="A1745"/>
      <c r="B1745"/>
      <c r="C1745"/>
      <c r="D1745"/>
      <c r="E1745"/>
      <c r="F1745"/>
      <c r="G1745"/>
    </row>
    <row r="1746" spans="1:7">
      <c r="A1746"/>
      <c r="B1746"/>
      <c r="C1746"/>
      <c r="D1746"/>
      <c r="E1746"/>
      <c r="F1746"/>
      <c r="G1746"/>
    </row>
    <row r="1747" spans="1:7">
      <c r="A1747"/>
      <c r="B1747"/>
      <c r="C1747"/>
      <c r="D1747"/>
      <c r="E1747"/>
      <c r="F1747"/>
      <c r="G1747"/>
    </row>
    <row r="1748" spans="1:7">
      <c r="A1748"/>
      <c r="B1748"/>
      <c r="C1748"/>
      <c r="D1748"/>
      <c r="E1748"/>
      <c r="F1748"/>
      <c r="G1748"/>
    </row>
    <row r="1749" spans="1:7">
      <c r="A1749"/>
      <c r="B1749"/>
      <c r="C1749"/>
      <c r="D1749"/>
      <c r="E1749"/>
      <c r="F1749"/>
      <c r="G1749"/>
    </row>
    <row r="1750" spans="1:7">
      <c r="A1750"/>
      <c r="B1750"/>
      <c r="C1750"/>
      <c r="D1750"/>
      <c r="E1750"/>
      <c r="F1750"/>
      <c r="G1750"/>
    </row>
    <row r="1751" spans="1:7">
      <c r="A1751"/>
      <c r="B1751"/>
      <c r="C1751"/>
      <c r="D1751"/>
      <c r="E1751"/>
      <c r="F1751"/>
      <c r="G1751"/>
    </row>
    <row r="1752" spans="1:7">
      <c r="A1752"/>
      <c r="B1752"/>
      <c r="C1752"/>
      <c r="D1752"/>
      <c r="E1752"/>
      <c r="F1752"/>
      <c r="G1752"/>
    </row>
    <row r="1753" spans="1:7">
      <c r="A1753"/>
      <c r="B1753"/>
      <c r="C1753"/>
      <c r="D1753"/>
      <c r="E1753"/>
      <c r="F1753"/>
      <c r="G1753"/>
    </row>
    <row r="1754" spans="1:7">
      <c r="A1754"/>
      <c r="B1754"/>
      <c r="C1754"/>
      <c r="D1754"/>
      <c r="E1754"/>
      <c r="F1754"/>
      <c r="G1754"/>
    </row>
    <row r="1755" spans="1:7">
      <c r="A1755"/>
      <c r="B1755"/>
      <c r="C1755"/>
      <c r="D1755"/>
      <c r="E1755"/>
      <c r="F1755"/>
      <c r="G1755"/>
    </row>
    <row r="1756" spans="1:7">
      <c r="A1756"/>
      <c r="B1756"/>
      <c r="C1756"/>
      <c r="D1756"/>
      <c r="E1756"/>
      <c r="F1756"/>
      <c r="G1756"/>
    </row>
    <row r="1757" spans="1:7">
      <c r="A1757"/>
      <c r="B1757"/>
      <c r="C1757"/>
      <c r="D1757"/>
      <c r="E1757"/>
      <c r="F1757"/>
      <c r="G1757"/>
    </row>
    <row r="1758" spans="1:7">
      <c r="A1758"/>
      <c r="B1758"/>
      <c r="C1758"/>
      <c r="D1758"/>
      <c r="E1758"/>
      <c r="F1758"/>
      <c r="G1758"/>
    </row>
    <row r="1759" spans="1:7">
      <c r="A1759"/>
      <c r="B1759"/>
      <c r="C1759"/>
      <c r="D1759"/>
      <c r="E1759"/>
      <c r="F1759"/>
      <c r="G1759"/>
    </row>
    <row r="1760" spans="1:7">
      <c r="A1760"/>
      <c r="B1760"/>
      <c r="C1760"/>
      <c r="D1760"/>
      <c r="E1760"/>
      <c r="F1760"/>
      <c r="G1760"/>
    </row>
    <row r="1761" spans="1:7">
      <c r="A1761"/>
      <c r="B1761"/>
      <c r="C1761"/>
      <c r="D1761"/>
      <c r="E1761"/>
      <c r="F1761"/>
      <c r="G1761"/>
    </row>
    <row r="1762" spans="1:7">
      <c r="A1762"/>
      <c r="B1762"/>
      <c r="C1762"/>
      <c r="D1762"/>
      <c r="E1762"/>
      <c r="F1762"/>
      <c r="G1762"/>
    </row>
    <row r="1763" spans="1:7">
      <c r="A1763"/>
      <c r="B1763"/>
      <c r="C1763"/>
      <c r="D1763"/>
      <c r="E1763"/>
      <c r="F1763"/>
      <c r="G1763"/>
    </row>
    <row r="1764" spans="1:7">
      <c r="A1764"/>
      <c r="B1764"/>
      <c r="C1764"/>
      <c r="D1764"/>
      <c r="E1764"/>
      <c r="F1764"/>
      <c r="G1764"/>
    </row>
    <row r="1765" spans="1:7">
      <c r="A1765"/>
      <c r="B1765"/>
      <c r="C1765"/>
      <c r="D1765"/>
      <c r="E1765"/>
      <c r="F1765"/>
      <c r="G1765"/>
    </row>
    <row r="1766" spans="1:7">
      <c r="A1766"/>
      <c r="B1766"/>
      <c r="C1766"/>
      <c r="D1766"/>
      <c r="E1766"/>
      <c r="F1766"/>
      <c r="G1766"/>
    </row>
    <row r="1767" spans="1:7">
      <c r="A1767"/>
      <c r="B1767"/>
      <c r="C1767"/>
      <c r="D1767"/>
      <c r="E1767"/>
      <c r="F1767"/>
      <c r="G1767"/>
    </row>
    <row r="1768" spans="1:7">
      <c r="A1768"/>
      <c r="B1768"/>
      <c r="C1768"/>
      <c r="D1768"/>
      <c r="E1768"/>
      <c r="F1768"/>
      <c r="G1768"/>
    </row>
    <row r="1769" spans="1:7">
      <c r="A1769"/>
      <c r="B1769"/>
      <c r="C1769"/>
      <c r="D1769"/>
      <c r="E1769"/>
      <c r="F1769"/>
      <c r="G1769"/>
    </row>
    <row r="1770" spans="1:7">
      <c r="A1770"/>
      <c r="B1770"/>
      <c r="C1770"/>
      <c r="D1770"/>
      <c r="E1770"/>
      <c r="F1770"/>
      <c r="G1770"/>
    </row>
    <row r="1771" spans="1:7">
      <c r="A1771"/>
      <c r="B1771"/>
      <c r="C1771"/>
      <c r="D1771"/>
      <c r="E1771"/>
      <c r="F1771"/>
      <c r="G1771"/>
    </row>
    <row r="1772" spans="1:7">
      <c r="A1772"/>
      <c r="B1772"/>
      <c r="C1772"/>
      <c r="D1772"/>
      <c r="E1772"/>
      <c r="F1772"/>
      <c r="G1772"/>
    </row>
    <row r="1773" spans="1:7">
      <c r="A1773"/>
      <c r="B1773"/>
      <c r="C1773"/>
      <c r="D1773"/>
      <c r="E1773"/>
      <c r="F1773"/>
      <c r="G1773"/>
    </row>
    <row r="1774" spans="1:7">
      <c r="A1774"/>
      <c r="B1774"/>
      <c r="C1774"/>
      <c r="D1774"/>
      <c r="E1774"/>
      <c r="F1774"/>
      <c r="G1774"/>
    </row>
    <row r="1775" spans="1:7">
      <c r="A1775"/>
      <c r="B1775"/>
      <c r="C1775"/>
      <c r="D1775"/>
      <c r="E1775"/>
      <c r="F1775"/>
      <c r="G1775"/>
    </row>
    <row r="1776" spans="1:7">
      <c r="A1776"/>
      <c r="B1776"/>
      <c r="C1776"/>
      <c r="D1776"/>
      <c r="E1776"/>
      <c r="F1776"/>
      <c r="G1776"/>
    </row>
    <row r="1777" spans="1:7">
      <c r="A1777"/>
      <c r="B1777"/>
      <c r="C1777"/>
      <c r="D1777"/>
      <c r="E1777"/>
      <c r="F1777"/>
      <c r="G1777"/>
    </row>
    <row r="1778" spans="1:7">
      <c r="A1778"/>
      <c r="B1778"/>
      <c r="C1778"/>
      <c r="D1778"/>
      <c r="E1778"/>
      <c r="F1778"/>
      <c r="G1778"/>
    </row>
    <row r="1779" spans="1:7">
      <c r="A1779"/>
      <c r="B1779"/>
      <c r="C1779"/>
      <c r="D1779"/>
      <c r="E1779"/>
      <c r="F1779"/>
      <c r="G1779"/>
    </row>
    <row r="1780" spans="1:7">
      <c r="A1780"/>
      <c r="B1780"/>
      <c r="C1780"/>
      <c r="D1780"/>
      <c r="E1780"/>
      <c r="F1780"/>
      <c r="G1780"/>
    </row>
    <row r="1781" spans="1:7">
      <c r="A1781"/>
      <c r="B1781"/>
      <c r="C1781"/>
      <c r="D1781"/>
      <c r="E1781"/>
      <c r="F1781"/>
      <c r="G1781"/>
    </row>
    <row r="1782" spans="1:7">
      <c r="A1782"/>
      <c r="B1782"/>
      <c r="C1782"/>
      <c r="D1782"/>
      <c r="E1782"/>
      <c r="F1782"/>
      <c r="G1782"/>
    </row>
    <row r="1783" spans="1:7">
      <c r="A1783"/>
      <c r="B1783"/>
      <c r="C1783"/>
      <c r="D1783"/>
      <c r="E1783"/>
      <c r="F1783"/>
      <c r="G1783"/>
    </row>
    <row r="1784" spans="1:7">
      <c r="A1784"/>
      <c r="B1784"/>
      <c r="C1784"/>
      <c r="D1784"/>
      <c r="E1784"/>
      <c r="F1784"/>
      <c r="G1784"/>
    </row>
    <row r="1785" spans="1:7">
      <c r="A1785"/>
      <c r="B1785"/>
      <c r="C1785"/>
      <c r="D1785"/>
      <c r="E1785"/>
      <c r="F1785"/>
      <c r="G1785"/>
    </row>
    <row r="1786" spans="1:7">
      <c r="A1786"/>
      <c r="B1786"/>
      <c r="C1786"/>
      <c r="D1786"/>
      <c r="E1786"/>
      <c r="F1786"/>
      <c r="G1786"/>
    </row>
    <row r="1787" spans="1:7">
      <c r="A1787"/>
      <c r="B1787"/>
      <c r="C1787"/>
      <c r="D1787"/>
      <c r="E1787"/>
      <c r="F1787"/>
      <c r="G1787"/>
    </row>
    <row r="1788" spans="1:7">
      <c r="A1788"/>
      <c r="B1788"/>
      <c r="C1788"/>
      <c r="D1788"/>
      <c r="E1788"/>
      <c r="F1788"/>
      <c r="G1788"/>
    </row>
    <row r="1789" spans="1:7">
      <c r="A1789"/>
      <c r="B1789"/>
      <c r="C1789"/>
      <c r="D1789"/>
      <c r="E1789"/>
      <c r="F1789"/>
      <c r="G1789"/>
    </row>
    <row r="1790" spans="1:7">
      <c r="A1790"/>
      <c r="B1790"/>
      <c r="C1790"/>
      <c r="D1790"/>
      <c r="E1790"/>
      <c r="F1790"/>
      <c r="G1790"/>
    </row>
    <row r="1791" spans="1:7">
      <c r="A1791"/>
      <c r="B1791"/>
      <c r="C1791"/>
      <c r="D1791"/>
      <c r="E1791"/>
      <c r="F1791"/>
      <c r="G1791"/>
    </row>
    <row r="1792" spans="1:7">
      <c r="A1792"/>
      <c r="B1792"/>
      <c r="C1792"/>
      <c r="D1792"/>
      <c r="E1792"/>
      <c r="F1792"/>
      <c r="G1792"/>
    </row>
    <row r="1793" spans="1:7">
      <c r="A1793"/>
      <c r="B1793"/>
      <c r="C1793"/>
      <c r="D1793"/>
      <c r="E1793"/>
      <c r="F1793"/>
      <c r="G1793"/>
    </row>
    <row r="1794" spans="1:7">
      <c r="A1794"/>
      <c r="B1794"/>
      <c r="C1794"/>
      <c r="D1794"/>
      <c r="E1794"/>
      <c r="F1794"/>
      <c r="G1794"/>
    </row>
    <row r="1795" spans="1:7">
      <c r="A1795"/>
      <c r="B1795"/>
      <c r="C1795"/>
      <c r="D1795"/>
      <c r="E1795"/>
      <c r="F1795"/>
      <c r="G1795"/>
    </row>
    <row r="1796" spans="1:7">
      <c r="A1796"/>
      <c r="B1796"/>
      <c r="C1796"/>
      <c r="D1796"/>
      <c r="E1796"/>
      <c r="F1796"/>
      <c r="G1796"/>
    </row>
    <row r="1797" spans="1:7">
      <c r="A1797"/>
      <c r="B1797"/>
      <c r="C1797"/>
      <c r="D1797"/>
      <c r="E1797"/>
      <c r="F1797"/>
      <c r="G1797"/>
    </row>
    <row r="1798" spans="1:7">
      <c r="A1798"/>
      <c r="B1798"/>
      <c r="C1798"/>
      <c r="D1798"/>
      <c r="E1798"/>
      <c r="F1798"/>
      <c r="G1798"/>
    </row>
    <row r="1799" spans="1:7">
      <c r="A1799"/>
      <c r="B1799"/>
      <c r="C1799"/>
      <c r="D1799"/>
      <c r="E1799"/>
      <c r="F1799"/>
      <c r="G1799"/>
    </row>
    <row r="1800" spans="1:7">
      <c r="A1800"/>
      <c r="B1800"/>
      <c r="C1800"/>
      <c r="D1800"/>
      <c r="E1800"/>
      <c r="F1800"/>
      <c r="G1800"/>
    </row>
    <row r="1801" spans="1:7">
      <c r="A1801"/>
      <c r="B1801"/>
      <c r="C1801"/>
      <c r="D1801"/>
      <c r="E1801"/>
      <c r="F1801"/>
      <c r="G1801"/>
    </row>
    <row r="1802" spans="1:7">
      <c r="A1802"/>
      <c r="B1802"/>
      <c r="C1802"/>
      <c r="D1802"/>
      <c r="E1802"/>
      <c r="F1802"/>
      <c r="G1802"/>
    </row>
    <row r="1803" spans="1:7">
      <c r="A1803"/>
      <c r="B1803"/>
      <c r="C1803"/>
      <c r="D1803"/>
      <c r="E1803"/>
      <c r="F1803"/>
      <c r="G1803"/>
    </row>
    <row r="1804" spans="1:7">
      <c r="A1804"/>
      <c r="B1804"/>
      <c r="C1804"/>
      <c r="D1804"/>
      <c r="E1804"/>
      <c r="F1804"/>
      <c r="G1804"/>
    </row>
    <row r="1805" spans="1:7">
      <c r="A1805"/>
      <c r="B1805"/>
      <c r="C1805"/>
      <c r="D1805"/>
      <c r="E1805"/>
      <c r="F1805"/>
      <c r="G1805"/>
    </row>
    <row r="1806" spans="1:7">
      <c r="A1806"/>
      <c r="B1806"/>
      <c r="C1806"/>
      <c r="D1806"/>
      <c r="E1806"/>
      <c r="F1806"/>
      <c r="G1806"/>
    </row>
    <row r="1807" spans="1:7">
      <c r="A1807"/>
      <c r="B1807"/>
      <c r="C1807"/>
      <c r="D1807"/>
      <c r="E1807"/>
      <c r="F1807"/>
      <c r="G1807"/>
    </row>
    <row r="1808" spans="1:7">
      <c r="A1808"/>
      <c r="B1808"/>
      <c r="C1808"/>
      <c r="D1808"/>
      <c r="E1808"/>
      <c r="F1808"/>
      <c r="G1808"/>
    </row>
    <row r="1809" spans="1:7">
      <c r="A1809"/>
      <c r="B1809"/>
      <c r="C1809"/>
      <c r="D1809"/>
      <c r="E1809"/>
      <c r="F1809"/>
      <c r="G1809"/>
    </row>
    <row r="1810" spans="1:7">
      <c r="A1810"/>
      <c r="B1810"/>
      <c r="C1810"/>
      <c r="D1810"/>
      <c r="E1810"/>
      <c r="F1810"/>
      <c r="G1810"/>
    </row>
    <row r="1811" spans="1:7">
      <c r="A1811"/>
      <c r="B1811"/>
      <c r="C1811"/>
      <c r="D1811"/>
      <c r="E1811"/>
      <c r="F1811"/>
      <c r="G1811"/>
    </row>
    <row r="1812" spans="1:7">
      <c r="A1812"/>
      <c r="B1812"/>
      <c r="C1812"/>
      <c r="D1812"/>
      <c r="E1812"/>
      <c r="F1812"/>
      <c r="G1812"/>
    </row>
    <row r="1813" spans="1:7">
      <c r="A1813"/>
      <c r="B1813"/>
      <c r="C1813"/>
      <c r="D1813"/>
      <c r="E1813"/>
      <c r="F1813"/>
      <c r="G1813"/>
    </row>
    <row r="1814" spans="1:7">
      <c r="A1814"/>
      <c r="B1814"/>
      <c r="C1814"/>
      <c r="D1814"/>
      <c r="E1814"/>
      <c r="F1814"/>
      <c r="G1814"/>
    </row>
    <row r="1815" spans="1:7">
      <c r="A1815"/>
      <c r="B1815"/>
      <c r="C1815"/>
      <c r="D1815"/>
      <c r="E1815"/>
      <c r="F1815"/>
      <c r="G1815"/>
    </row>
    <row r="1816" spans="1:7">
      <c r="A1816"/>
      <c r="B1816"/>
      <c r="C1816"/>
      <c r="D1816"/>
      <c r="E1816"/>
      <c r="F1816"/>
      <c r="G1816"/>
    </row>
    <row r="1817" spans="1:7">
      <c r="A1817"/>
      <c r="B1817"/>
      <c r="C1817"/>
      <c r="D1817"/>
      <c r="E1817"/>
      <c r="F1817"/>
      <c r="G1817"/>
    </row>
    <row r="1818" spans="1:7">
      <c r="A1818"/>
      <c r="B1818"/>
      <c r="C1818"/>
      <c r="D1818"/>
      <c r="E1818"/>
      <c r="F1818"/>
      <c r="G1818"/>
    </row>
    <row r="1819" spans="1:7">
      <c r="A1819"/>
      <c r="B1819"/>
      <c r="C1819"/>
      <c r="D1819"/>
      <c r="E1819"/>
      <c r="F1819"/>
      <c r="G1819"/>
    </row>
    <row r="1820" spans="1:7">
      <c r="A1820"/>
      <c r="B1820"/>
      <c r="C1820"/>
      <c r="D1820"/>
      <c r="E1820"/>
      <c r="F1820"/>
      <c r="G1820"/>
    </row>
    <row r="1821" spans="1:7">
      <c r="A1821"/>
      <c r="B1821"/>
      <c r="C1821"/>
      <c r="D1821"/>
      <c r="E1821"/>
      <c r="F1821"/>
      <c r="G1821"/>
    </row>
    <row r="1822" spans="1:7">
      <c r="A1822"/>
      <c r="B1822"/>
      <c r="C1822"/>
      <c r="D1822"/>
      <c r="E1822"/>
      <c r="F1822"/>
      <c r="G1822"/>
    </row>
    <row r="1823" spans="1:7">
      <c r="A1823"/>
      <c r="B1823"/>
      <c r="C1823"/>
      <c r="D1823"/>
      <c r="E1823"/>
      <c r="F1823"/>
      <c r="G1823"/>
    </row>
    <row r="1824" spans="1:7">
      <c r="A1824"/>
      <c r="B1824"/>
      <c r="C1824"/>
      <c r="D1824"/>
      <c r="E1824"/>
      <c r="F1824"/>
      <c r="G1824"/>
    </row>
    <row r="1825" spans="1:7">
      <c r="A1825"/>
      <c r="B1825"/>
      <c r="C1825"/>
      <c r="D1825"/>
      <c r="E1825"/>
      <c r="F1825"/>
      <c r="G1825"/>
    </row>
    <row r="1826" spans="1:7">
      <c r="A1826"/>
      <c r="B1826"/>
      <c r="C1826"/>
      <c r="D1826"/>
      <c r="E1826"/>
      <c r="F1826"/>
      <c r="G1826"/>
    </row>
    <row r="1827" spans="1:7">
      <c r="A1827"/>
      <c r="B1827"/>
      <c r="C1827"/>
      <c r="D1827"/>
      <c r="E1827"/>
      <c r="F1827"/>
      <c r="G1827"/>
    </row>
    <row r="1828" spans="1:7">
      <c r="A1828"/>
      <c r="B1828"/>
      <c r="C1828"/>
      <c r="D1828"/>
      <c r="E1828"/>
      <c r="F1828"/>
      <c r="G1828"/>
    </row>
    <row r="1829" spans="1:7">
      <c r="A1829"/>
      <c r="B1829"/>
      <c r="C1829"/>
      <c r="D1829"/>
      <c r="E1829"/>
      <c r="F1829"/>
      <c r="G1829"/>
    </row>
    <row r="1830" spans="1:7">
      <c r="A1830"/>
      <c r="B1830"/>
      <c r="C1830"/>
      <c r="D1830"/>
      <c r="E1830"/>
      <c r="F1830"/>
      <c r="G1830"/>
    </row>
    <row r="1831" spans="1:7">
      <c r="A1831"/>
      <c r="B1831"/>
      <c r="C1831"/>
      <c r="D1831"/>
      <c r="E1831"/>
      <c r="F1831"/>
      <c r="G1831"/>
    </row>
    <row r="1832" spans="1:7">
      <c r="A1832"/>
      <c r="B1832"/>
      <c r="C1832"/>
      <c r="D1832"/>
      <c r="E1832"/>
      <c r="F1832"/>
      <c r="G1832"/>
    </row>
    <row r="1833" spans="1:7">
      <c r="A1833"/>
      <c r="B1833"/>
      <c r="C1833"/>
      <c r="D1833"/>
      <c r="E1833"/>
      <c r="F1833"/>
      <c r="G1833"/>
    </row>
    <row r="1834" spans="1:7">
      <c r="A1834"/>
      <c r="B1834"/>
      <c r="C1834"/>
      <c r="D1834"/>
      <c r="E1834"/>
      <c r="F1834"/>
      <c r="G1834"/>
    </row>
    <row r="1835" spans="1:7">
      <c r="A1835"/>
      <c r="B1835"/>
      <c r="C1835"/>
      <c r="D1835"/>
      <c r="E1835"/>
      <c r="F1835"/>
      <c r="G1835"/>
    </row>
    <row r="1836" spans="1:7">
      <c r="A1836"/>
      <c r="B1836"/>
      <c r="C1836"/>
      <c r="D1836"/>
      <c r="E1836"/>
      <c r="F1836"/>
      <c r="G1836"/>
    </row>
    <row r="1837" spans="1:7">
      <c r="A1837"/>
      <c r="B1837"/>
      <c r="C1837"/>
      <c r="D1837"/>
      <c r="E1837"/>
      <c r="F1837"/>
      <c r="G1837"/>
    </row>
    <row r="1838" spans="1:7">
      <c r="A1838"/>
      <c r="B1838"/>
      <c r="C1838"/>
      <c r="D1838"/>
      <c r="E1838"/>
      <c r="F1838"/>
      <c r="G1838"/>
    </row>
    <row r="1839" spans="1:7">
      <c r="A1839"/>
      <c r="B1839"/>
      <c r="C1839"/>
      <c r="D1839"/>
      <c r="E1839"/>
      <c r="F1839"/>
      <c r="G1839"/>
    </row>
    <row r="1840" spans="1:7">
      <c r="A1840"/>
      <c r="B1840"/>
      <c r="C1840"/>
      <c r="D1840"/>
      <c r="E1840"/>
      <c r="F1840"/>
      <c r="G1840"/>
    </row>
    <row r="1841" spans="1:7">
      <c r="A1841"/>
      <c r="B1841"/>
      <c r="C1841"/>
      <c r="D1841"/>
      <c r="E1841"/>
      <c r="F1841"/>
      <c r="G1841"/>
    </row>
    <row r="1842" spans="1:7">
      <c r="A1842"/>
      <c r="B1842"/>
      <c r="C1842"/>
      <c r="D1842"/>
      <c r="E1842"/>
      <c r="F1842"/>
      <c r="G1842"/>
    </row>
    <row r="1843" spans="1:7">
      <c r="A1843"/>
      <c r="B1843"/>
      <c r="C1843"/>
      <c r="D1843"/>
      <c r="E1843"/>
      <c r="F1843"/>
      <c r="G1843"/>
    </row>
    <row r="1844" spans="1:7">
      <c r="A1844"/>
      <c r="B1844"/>
      <c r="C1844"/>
      <c r="D1844"/>
      <c r="E1844"/>
      <c r="F1844"/>
      <c r="G1844"/>
    </row>
    <row r="1845" spans="1:7">
      <c r="A1845"/>
      <c r="B1845"/>
      <c r="C1845"/>
      <c r="D1845"/>
      <c r="E1845"/>
      <c r="F1845"/>
      <c r="G1845"/>
    </row>
    <row r="1846" spans="1:7">
      <c r="A1846"/>
      <c r="B1846"/>
      <c r="C1846"/>
      <c r="D1846"/>
      <c r="E1846"/>
      <c r="F1846"/>
      <c r="G1846"/>
    </row>
    <row r="1847" spans="1:7">
      <c r="A1847"/>
      <c r="B1847"/>
      <c r="C1847"/>
      <c r="D1847"/>
      <c r="E1847"/>
      <c r="F1847"/>
      <c r="G1847"/>
    </row>
    <row r="1848" spans="1:7">
      <c r="A1848"/>
      <c r="B1848"/>
      <c r="C1848"/>
      <c r="D1848"/>
      <c r="E1848"/>
      <c r="F1848"/>
      <c r="G1848"/>
    </row>
    <row r="1849" spans="1:7">
      <c r="A1849"/>
      <c r="B1849"/>
      <c r="C1849"/>
      <c r="D1849"/>
      <c r="E1849"/>
      <c r="F1849"/>
      <c r="G1849"/>
    </row>
    <row r="1850" spans="1:7">
      <c r="A1850"/>
      <c r="B1850"/>
      <c r="C1850"/>
      <c r="D1850"/>
      <c r="E1850"/>
      <c r="F1850"/>
      <c r="G1850"/>
    </row>
    <row r="1851" spans="1:7">
      <c r="A1851"/>
      <c r="B1851"/>
      <c r="C1851"/>
      <c r="D1851"/>
      <c r="E1851"/>
      <c r="F1851"/>
      <c r="G1851"/>
    </row>
    <row r="1852" spans="1:7">
      <c r="A1852"/>
      <c r="B1852"/>
      <c r="C1852"/>
      <c r="D1852"/>
      <c r="E1852"/>
      <c r="F1852"/>
      <c r="G1852"/>
    </row>
    <row r="1853" spans="1:7">
      <c r="A1853"/>
      <c r="B1853"/>
      <c r="C1853"/>
      <c r="D1853"/>
      <c r="E1853"/>
      <c r="F1853"/>
      <c r="G1853"/>
    </row>
    <row r="1854" spans="1:7">
      <c r="A1854"/>
      <c r="B1854"/>
      <c r="C1854"/>
      <c r="D1854"/>
      <c r="E1854"/>
      <c r="F1854"/>
      <c r="G1854"/>
    </row>
    <row r="1855" spans="1:7">
      <c r="A1855"/>
      <c r="B1855"/>
      <c r="C1855"/>
      <c r="D1855"/>
      <c r="E1855"/>
      <c r="F1855"/>
      <c r="G1855"/>
    </row>
    <row r="1856" spans="1:7">
      <c r="A1856"/>
      <c r="B1856"/>
      <c r="C1856"/>
      <c r="D1856"/>
      <c r="E1856"/>
      <c r="F1856"/>
      <c r="G1856"/>
    </row>
    <row r="1857" spans="1:7">
      <c r="A1857"/>
      <c r="B1857"/>
      <c r="C1857"/>
      <c r="D1857"/>
      <c r="E1857"/>
      <c r="F1857"/>
      <c r="G1857"/>
    </row>
    <row r="1858" spans="1:7">
      <c r="A1858"/>
      <c r="B1858"/>
      <c r="C1858"/>
      <c r="D1858"/>
      <c r="E1858"/>
      <c r="F1858"/>
      <c r="G1858"/>
    </row>
    <row r="1859" spans="1:7">
      <c r="A1859"/>
      <c r="B1859"/>
      <c r="C1859"/>
      <c r="D1859"/>
      <c r="E1859"/>
      <c r="F1859"/>
      <c r="G1859"/>
    </row>
    <row r="1860" spans="1:7">
      <c r="A1860"/>
      <c r="B1860"/>
      <c r="C1860"/>
      <c r="D1860"/>
      <c r="E1860"/>
      <c r="F1860"/>
      <c r="G1860"/>
    </row>
    <row r="1861" spans="1:7">
      <c r="A1861"/>
      <c r="B1861"/>
      <c r="C1861"/>
      <c r="D1861"/>
      <c r="E1861"/>
      <c r="F1861"/>
      <c r="G1861"/>
    </row>
    <row r="1862" spans="1:7">
      <c r="A1862"/>
      <c r="B1862"/>
      <c r="C1862"/>
      <c r="D1862"/>
      <c r="E1862"/>
      <c r="F1862"/>
      <c r="G1862"/>
    </row>
    <row r="1863" spans="1:7">
      <c r="A1863"/>
      <c r="B1863"/>
      <c r="C1863"/>
      <c r="D1863"/>
      <c r="E1863"/>
      <c r="F1863"/>
      <c r="G1863"/>
    </row>
    <row r="1864" spans="1:7">
      <c r="A1864"/>
      <c r="B1864"/>
      <c r="C1864"/>
      <c r="D1864"/>
      <c r="E1864"/>
      <c r="F1864"/>
      <c r="G1864"/>
    </row>
    <row r="1865" spans="1:7">
      <c r="A1865"/>
      <c r="B1865"/>
      <c r="C1865"/>
      <c r="D1865"/>
      <c r="E1865"/>
      <c r="F1865"/>
      <c r="G1865"/>
    </row>
    <row r="1866" spans="1:7">
      <c r="A1866"/>
      <c r="B1866"/>
      <c r="C1866"/>
      <c r="D1866"/>
      <c r="E1866"/>
      <c r="F1866"/>
      <c r="G1866"/>
    </row>
    <row r="1867" spans="1:7">
      <c r="A1867"/>
      <c r="B1867"/>
      <c r="C1867"/>
      <c r="D1867"/>
      <c r="E1867"/>
      <c r="F1867"/>
      <c r="G1867"/>
    </row>
    <row r="1868" spans="1:7">
      <c r="A1868"/>
      <c r="B1868"/>
      <c r="C1868"/>
      <c r="D1868"/>
      <c r="E1868"/>
      <c r="F1868"/>
      <c r="G1868"/>
    </row>
    <row r="1869" spans="1:7">
      <c r="A1869"/>
      <c r="B1869"/>
      <c r="C1869"/>
      <c r="D1869"/>
      <c r="E1869"/>
      <c r="F1869"/>
      <c r="G1869"/>
    </row>
    <row r="1870" spans="1:7">
      <c r="A1870"/>
      <c r="B1870"/>
      <c r="C1870"/>
      <c r="D1870"/>
      <c r="E1870"/>
      <c r="F1870"/>
      <c r="G1870"/>
    </row>
    <row r="1871" spans="1:7">
      <c r="A1871"/>
      <c r="B1871"/>
      <c r="C1871"/>
      <c r="D1871"/>
      <c r="E1871"/>
      <c r="F1871"/>
      <c r="G1871"/>
    </row>
    <row r="1872" spans="1:7">
      <c r="A1872"/>
      <c r="B1872"/>
      <c r="C1872"/>
      <c r="D1872"/>
      <c r="E1872"/>
      <c r="F1872"/>
      <c r="G1872"/>
    </row>
    <row r="1873" spans="1:7">
      <c r="A1873"/>
      <c r="B1873"/>
      <c r="C1873"/>
      <c r="D1873"/>
      <c r="E1873"/>
      <c r="F1873"/>
      <c r="G1873"/>
    </row>
    <row r="1874" spans="1:7">
      <c r="A1874"/>
      <c r="B1874"/>
      <c r="C1874"/>
      <c r="D1874"/>
      <c r="E1874"/>
      <c r="F1874"/>
      <c r="G1874"/>
    </row>
    <row r="1875" spans="1:7">
      <c r="A1875"/>
      <c r="B1875"/>
      <c r="C1875"/>
      <c r="D1875"/>
      <c r="E1875"/>
      <c r="F1875"/>
      <c r="G1875"/>
    </row>
    <row r="1876" spans="1:7">
      <c r="A1876"/>
      <c r="B1876"/>
      <c r="C1876"/>
      <c r="D1876"/>
      <c r="E1876"/>
      <c r="F1876"/>
      <c r="G1876"/>
    </row>
    <row r="1877" spans="1:7">
      <c r="A1877"/>
      <c r="B1877"/>
      <c r="C1877"/>
      <c r="D1877"/>
      <c r="E1877"/>
      <c r="F1877"/>
      <c r="G1877"/>
    </row>
    <row r="1878" spans="1:7">
      <c r="A1878"/>
      <c r="B1878"/>
      <c r="C1878"/>
      <c r="D1878"/>
      <c r="E1878"/>
      <c r="F1878"/>
      <c r="G1878"/>
    </row>
    <row r="1879" spans="1:7">
      <c r="A1879"/>
      <c r="B1879"/>
      <c r="C1879"/>
      <c r="D1879"/>
      <c r="E1879"/>
      <c r="F1879"/>
      <c r="G1879"/>
    </row>
    <row r="1880" spans="1:7">
      <c r="A1880"/>
      <c r="B1880"/>
      <c r="C1880"/>
      <c r="D1880"/>
      <c r="E1880"/>
      <c r="F1880"/>
      <c r="G1880"/>
    </row>
    <row r="1881" spans="1:7">
      <c r="A1881"/>
      <c r="B1881"/>
      <c r="C1881"/>
      <c r="D1881"/>
      <c r="E1881"/>
      <c r="F1881"/>
      <c r="G1881"/>
    </row>
    <row r="1882" spans="1:7">
      <c r="A1882"/>
      <c r="B1882"/>
      <c r="C1882"/>
      <c r="D1882"/>
      <c r="E1882"/>
      <c r="F1882"/>
      <c r="G1882"/>
    </row>
    <row r="1883" spans="1:7">
      <c r="A1883"/>
      <c r="B1883"/>
      <c r="C1883"/>
      <c r="D1883"/>
      <c r="E1883"/>
      <c r="F1883"/>
      <c r="G1883"/>
    </row>
    <row r="1884" spans="1:7">
      <c r="A1884"/>
      <c r="B1884"/>
      <c r="C1884"/>
      <c r="D1884"/>
      <c r="E1884"/>
      <c r="F1884"/>
      <c r="G1884"/>
    </row>
    <row r="1885" spans="1:7">
      <c r="A1885"/>
      <c r="B1885"/>
      <c r="C1885"/>
      <c r="D1885"/>
      <c r="E1885"/>
      <c r="F1885"/>
      <c r="G1885"/>
    </row>
    <row r="1886" spans="1:7">
      <c r="A1886"/>
      <c r="B1886"/>
      <c r="C1886"/>
      <c r="D1886"/>
      <c r="E1886"/>
      <c r="F1886"/>
      <c r="G1886"/>
    </row>
    <row r="1887" spans="1:7">
      <c r="A1887"/>
      <c r="B1887"/>
      <c r="C1887"/>
      <c r="D1887"/>
      <c r="E1887"/>
      <c r="F1887"/>
      <c r="G1887"/>
    </row>
    <row r="1888" spans="1:7">
      <c r="A1888"/>
      <c r="B1888"/>
      <c r="C1888"/>
      <c r="D1888"/>
      <c r="E1888"/>
      <c r="F1888"/>
      <c r="G1888"/>
    </row>
    <row r="1889" spans="1:7">
      <c r="A1889"/>
      <c r="B1889"/>
      <c r="C1889"/>
      <c r="D1889"/>
      <c r="E1889"/>
      <c r="F1889"/>
      <c r="G1889"/>
    </row>
    <row r="1890" spans="1:7">
      <c r="A1890"/>
      <c r="B1890"/>
      <c r="C1890"/>
      <c r="D1890"/>
      <c r="E1890"/>
      <c r="F1890"/>
      <c r="G1890"/>
    </row>
    <row r="1891" spans="1:7">
      <c r="A1891"/>
      <c r="B1891"/>
      <c r="C1891"/>
      <c r="D1891"/>
      <c r="E1891"/>
      <c r="F1891"/>
      <c r="G1891"/>
    </row>
    <row r="1892" spans="1:7">
      <c r="A1892"/>
      <c r="B1892"/>
      <c r="C1892"/>
      <c r="D1892"/>
      <c r="E1892"/>
      <c r="F1892"/>
      <c r="G1892"/>
    </row>
    <row r="1893" spans="1:7">
      <c r="A1893"/>
      <c r="B1893"/>
      <c r="C1893"/>
      <c r="D1893"/>
      <c r="E1893"/>
      <c r="F1893"/>
      <c r="G1893"/>
    </row>
    <row r="1894" spans="1:7">
      <c r="A1894"/>
      <c r="B1894"/>
      <c r="C1894"/>
      <c r="D1894"/>
      <c r="E1894"/>
      <c r="F1894"/>
      <c r="G1894"/>
    </row>
    <row r="1895" spans="1:7">
      <c r="A1895"/>
      <c r="B1895"/>
      <c r="C1895"/>
      <c r="D1895"/>
      <c r="E1895"/>
      <c r="F1895"/>
      <c r="G1895"/>
    </row>
    <row r="1896" spans="1:7">
      <c r="A1896"/>
      <c r="B1896"/>
      <c r="C1896"/>
      <c r="D1896"/>
      <c r="E1896"/>
      <c r="F1896"/>
      <c r="G1896"/>
    </row>
    <row r="1897" spans="1:7">
      <c r="A1897"/>
      <c r="B1897"/>
      <c r="C1897"/>
      <c r="D1897"/>
      <c r="E1897"/>
      <c r="F1897"/>
      <c r="G1897"/>
    </row>
    <row r="1898" spans="1:7">
      <c r="A1898"/>
      <c r="B1898"/>
      <c r="C1898"/>
      <c r="D1898"/>
      <c r="E1898"/>
      <c r="F1898"/>
      <c r="G1898"/>
    </row>
    <row r="1899" spans="1:7">
      <c r="A1899"/>
      <c r="B1899"/>
      <c r="C1899"/>
      <c r="D1899"/>
      <c r="E1899"/>
      <c r="F1899"/>
      <c r="G1899"/>
    </row>
    <row r="1900" spans="1:7">
      <c r="A1900"/>
      <c r="B1900"/>
      <c r="C1900"/>
      <c r="D1900"/>
      <c r="E1900"/>
      <c r="F1900"/>
      <c r="G1900"/>
    </row>
    <row r="1901" spans="1:7">
      <c r="A1901"/>
      <c r="B1901"/>
      <c r="C1901"/>
      <c r="D1901"/>
      <c r="E1901"/>
      <c r="F1901"/>
      <c r="G1901"/>
    </row>
    <row r="1902" spans="1:7">
      <c r="A1902"/>
      <c r="B1902"/>
      <c r="C1902"/>
      <c r="D1902"/>
      <c r="E1902"/>
      <c r="F1902"/>
      <c r="G1902"/>
    </row>
    <row r="1903" spans="1:7">
      <c r="A1903"/>
      <c r="B1903"/>
      <c r="C1903"/>
      <c r="D1903"/>
      <c r="E1903"/>
      <c r="F1903"/>
      <c r="G1903"/>
    </row>
    <row r="1904" spans="1:7">
      <c r="A1904"/>
      <c r="B1904"/>
      <c r="C1904"/>
      <c r="D1904"/>
      <c r="E1904"/>
      <c r="F1904"/>
      <c r="G1904"/>
    </row>
    <row r="1905" spans="1:7">
      <c r="A1905"/>
      <c r="B1905"/>
      <c r="C1905"/>
      <c r="D1905"/>
      <c r="E1905"/>
      <c r="F1905"/>
      <c r="G1905"/>
    </row>
    <row r="1906" spans="1:7">
      <c r="A1906"/>
      <c r="B1906"/>
      <c r="C1906"/>
      <c r="D1906"/>
      <c r="E1906"/>
      <c r="F1906"/>
      <c r="G1906"/>
    </row>
    <row r="1907" spans="1:7">
      <c r="A1907"/>
      <c r="B1907"/>
      <c r="C1907"/>
      <c r="D1907"/>
      <c r="E1907"/>
      <c r="F1907"/>
      <c r="G1907"/>
    </row>
    <row r="1908" spans="1:7">
      <c r="A1908"/>
      <c r="B1908"/>
      <c r="C1908"/>
      <c r="D1908"/>
      <c r="E1908"/>
      <c r="F1908"/>
      <c r="G1908"/>
    </row>
    <row r="1909" spans="1:7">
      <c r="A1909"/>
      <c r="B1909"/>
      <c r="C1909"/>
      <c r="D1909"/>
      <c r="E1909"/>
      <c r="F1909"/>
      <c r="G1909"/>
    </row>
    <row r="1910" spans="1:7">
      <c r="A1910"/>
      <c r="B1910"/>
      <c r="C1910"/>
      <c r="D1910"/>
      <c r="E1910"/>
      <c r="F1910"/>
      <c r="G1910"/>
    </row>
    <row r="1911" spans="1:7">
      <c r="A1911"/>
      <c r="B1911"/>
      <c r="C1911"/>
      <c r="D1911"/>
      <c r="E1911"/>
      <c r="F1911"/>
      <c r="G1911"/>
    </row>
    <row r="1912" spans="1:7">
      <c r="A1912"/>
      <c r="B1912"/>
      <c r="C1912"/>
      <c r="D1912"/>
      <c r="E1912"/>
      <c r="F1912"/>
      <c r="G1912"/>
    </row>
    <row r="1913" spans="1:7">
      <c r="A1913"/>
      <c r="B1913"/>
      <c r="C1913"/>
      <c r="D1913"/>
      <c r="E1913"/>
      <c r="F1913"/>
      <c r="G1913"/>
    </row>
    <row r="1914" spans="1:7">
      <c r="A1914"/>
      <c r="B1914"/>
      <c r="C1914"/>
      <c r="D1914"/>
      <c r="E1914"/>
      <c r="F1914"/>
      <c r="G1914"/>
    </row>
    <row r="1915" spans="1:7">
      <c r="A1915"/>
      <c r="B1915"/>
      <c r="C1915"/>
      <c r="D1915"/>
      <c r="E1915"/>
      <c r="F1915"/>
      <c r="G1915"/>
    </row>
    <row r="1916" spans="1:7">
      <c r="A1916"/>
      <c r="B1916"/>
      <c r="C1916"/>
      <c r="D1916"/>
      <c r="E1916"/>
      <c r="F1916"/>
      <c r="G1916"/>
    </row>
    <row r="1917" spans="1:7">
      <c r="A1917"/>
      <c r="B1917"/>
      <c r="C1917"/>
      <c r="D1917"/>
      <c r="E1917"/>
      <c r="F1917"/>
      <c r="G1917"/>
    </row>
    <row r="1918" spans="1:7">
      <c r="A1918"/>
      <c r="B1918"/>
      <c r="C1918"/>
      <c r="D1918"/>
      <c r="E1918"/>
      <c r="F1918"/>
      <c r="G1918"/>
    </row>
    <row r="1919" spans="1:7">
      <c r="A1919"/>
      <c r="B1919"/>
      <c r="C1919"/>
      <c r="D1919"/>
      <c r="E1919"/>
      <c r="F1919"/>
      <c r="G1919"/>
    </row>
    <row r="1920" spans="1:7">
      <c r="A1920"/>
      <c r="B1920"/>
      <c r="C1920"/>
      <c r="D1920"/>
      <c r="E1920"/>
      <c r="F1920"/>
      <c r="G1920"/>
    </row>
    <row r="1921" spans="1:7">
      <c r="A1921"/>
      <c r="B1921"/>
      <c r="C1921"/>
      <c r="D1921"/>
      <c r="E1921"/>
      <c r="F1921"/>
      <c r="G1921"/>
    </row>
    <row r="1922" spans="1:7">
      <c r="A1922"/>
      <c r="B1922"/>
      <c r="C1922"/>
      <c r="D1922"/>
      <c r="E1922"/>
      <c r="F1922"/>
      <c r="G1922"/>
    </row>
    <row r="1923" spans="1:7">
      <c r="A1923"/>
      <c r="B1923"/>
      <c r="C1923"/>
      <c r="D1923"/>
      <c r="E1923"/>
      <c r="F1923"/>
      <c r="G1923"/>
    </row>
    <row r="1924" spans="1:7">
      <c r="A1924"/>
      <c r="B1924"/>
      <c r="C1924"/>
      <c r="D1924"/>
      <c r="E1924"/>
      <c r="F1924"/>
      <c r="G1924"/>
    </row>
    <row r="1925" spans="1:7">
      <c r="A1925"/>
      <c r="B1925"/>
      <c r="C1925"/>
      <c r="D1925"/>
      <c r="E1925"/>
      <c r="F1925"/>
      <c r="G1925"/>
    </row>
    <row r="1926" spans="1:7">
      <c r="A1926"/>
      <c r="B1926"/>
      <c r="C1926"/>
      <c r="D1926"/>
      <c r="E1926"/>
      <c r="F1926"/>
      <c r="G1926"/>
    </row>
    <row r="1927" spans="1:7">
      <c r="A1927"/>
      <c r="B1927"/>
      <c r="C1927"/>
      <c r="D1927"/>
      <c r="E1927"/>
      <c r="F1927"/>
      <c r="G1927"/>
    </row>
    <row r="1928" spans="1:7">
      <c r="A1928"/>
      <c r="B1928"/>
      <c r="C1928"/>
      <c r="D1928"/>
      <c r="E1928"/>
      <c r="F1928"/>
      <c r="G1928"/>
    </row>
    <row r="1929" spans="1:7">
      <c r="A1929"/>
      <c r="B1929"/>
      <c r="C1929"/>
      <c r="D1929"/>
      <c r="E1929"/>
      <c r="F1929"/>
      <c r="G1929"/>
    </row>
    <row r="1930" spans="1:7">
      <c r="A1930"/>
      <c r="B1930"/>
      <c r="C1930"/>
      <c r="D1930"/>
      <c r="E1930"/>
      <c r="F1930"/>
      <c r="G1930"/>
    </row>
    <row r="1931" spans="1:7">
      <c r="A1931"/>
      <c r="B1931"/>
      <c r="C1931"/>
      <c r="D1931"/>
      <c r="E1931"/>
      <c r="F1931"/>
      <c r="G1931"/>
    </row>
    <row r="1932" spans="1:7">
      <c r="A1932"/>
      <c r="B1932"/>
      <c r="C1932"/>
      <c r="D1932"/>
      <c r="E1932"/>
      <c r="F1932"/>
      <c r="G1932"/>
    </row>
    <row r="1933" spans="1:7">
      <c r="A1933"/>
      <c r="B1933"/>
      <c r="C1933"/>
      <c r="D1933"/>
      <c r="E1933"/>
      <c r="F1933"/>
      <c r="G1933"/>
    </row>
    <row r="1934" spans="1:7">
      <c r="A1934"/>
      <c r="B1934"/>
      <c r="C1934"/>
      <c r="D1934"/>
      <c r="E1934"/>
      <c r="F1934"/>
      <c r="G1934"/>
    </row>
    <row r="1935" spans="1:7">
      <c r="A1935"/>
      <c r="B1935"/>
      <c r="C1935"/>
      <c r="D1935"/>
      <c r="E1935"/>
      <c r="F1935"/>
      <c r="G1935"/>
    </row>
    <row r="1936" spans="1:7">
      <c r="A1936"/>
      <c r="B1936"/>
      <c r="C1936"/>
      <c r="D1936"/>
      <c r="E1936"/>
      <c r="F1936"/>
      <c r="G1936"/>
    </row>
    <row r="1937" spans="1:7">
      <c r="A1937"/>
      <c r="B1937"/>
      <c r="C1937"/>
      <c r="D1937"/>
      <c r="E1937"/>
      <c r="F1937"/>
      <c r="G1937"/>
    </row>
    <row r="1938" spans="1:7">
      <c r="A1938"/>
      <c r="B1938"/>
      <c r="C1938"/>
      <c r="D1938"/>
      <c r="E1938"/>
      <c r="F1938"/>
      <c r="G1938"/>
    </row>
    <row r="1939" spans="1:7">
      <c r="A1939"/>
      <c r="B1939"/>
      <c r="C1939"/>
      <c r="D1939"/>
      <c r="E1939"/>
      <c r="F1939"/>
      <c r="G1939"/>
    </row>
    <row r="1940" spans="1:7">
      <c r="A1940"/>
      <c r="B1940"/>
      <c r="C1940"/>
      <c r="D1940"/>
      <c r="E1940"/>
      <c r="F1940"/>
      <c r="G1940"/>
    </row>
    <row r="1941" spans="1:7">
      <c r="A1941"/>
      <c r="B1941"/>
      <c r="C1941"/>
      <c r="D1941"/>
      <c r="E1941"/>
      <c r="F1941"/>
      <c r="G1941"/>
    </row>
    <row r="1942" spans="1:7">
      <c r="A1942"/>
      <c r="B1942"/>
      <c r="C1942"/>
      <c r="D1942"/>
      <c r="E1942"/>
      <c r="F1942"/>
      <c r="G1942"/>
    </row>
    <row r="1943" spans="1:7">
      <c r="A1943"/>
      <c r="B1943"/>
      <c r="C1943"/>
      <c r="D1943"/>
      <c r="E1943"/>
      <c r="F1943"/>
      <c r="G1943"/>
    </row>
    <row r="1944" spans="1:7">
      <c r="A1944"/>
      <c r="B1944"/>
      <c r="C1944"/>
      <c r="D1944"/>
      <c r="E1944"/>
      <c r="F1944"/>
      <c r="G1944"/>
    </row>
    <row r="1945" spans="1:7">
      <c r="A1945"/>
      <c r="B1945"/>
      <c r="C1945"/>
      <c r="D1945"/>
      <c r="E1945"/>
      <c r="F1945"/>
      <c r="G1945"/>
    </row>
    <row r="1946" spans="1:7">
      <c r="A1946"/>
      <c r="B1946"/>
      <c r="C1946"/>
      <c r="D1946"/>
      <c r="E1946"/>
      <c r="F1946"/>
      <c r="G1946"/>
    </row>
    <row r="1947" spans="1:7">
      <c r="A1947"/>
      <c r="B1947"/>
      <c r="C1947"/>
      <c r="D1947"/>
      <c r="E1947"/>
      <c r="F1947"/>
      <c r="G1947"/>
    </row>
    <row r="1948" spans="1:7">
      <c r="A1948"/>
      <c r="B1948"/>
      <c r="C1948"/>
      <c r="D1948"/>
      <c r="E1948"/>
      <c r="F1948"/>
      <c r="G1948"/>
    </row>
    <row r="1949" spans="1:7">
      <c r="A1949"/>
      <c r="B1949"/>
      <c r="C1949"/>
      <c r="D1949"/>
      <c r="E1949"/>
      <c r="F1949"/>
      <c r="G1949"/>
    </row>
    <row r="1950" spans="1:7">
      <c r="A1950"/>
      <c r="B1950"/>
      <c r="C1950"/>
      <c r="D1950"/>
      <c r="E1950"/>
      <c r="F1950"/>
      <c r="G1950"/>
    </row>
    <row r="1951" spans="1:7">
      <c r="A1951"/>
      <c r="B1951"/>
      <c r="C1951"/>
      <c r="D1951"/>
      <c r="E1951"/>
      <c r="F1951"/>
      <c r="G1951"/>
    </row>
    <row r="1952" spans="1:7">
      <c r="A1952"/>
      <c r="B1952"/>
      <c r="C1952"/>
      <c r="D1952"/>
      <c r="E1952"/>
      <c r="F1952"/>
      <c r="G1952"/>
    </row>
    <row r="1953" spans="1:7">
      <c r="A1953"/>
      <c r="B1953"/>
      <c r="C1953"/>
      <c r="D1953"/>
      <c r="E1953"/>
      <c r="F1953"/>
      <c r="G1953"/>
    </row>
    <row r="1954" spans="1:7">
      <c r="A1954"/>
      <c r="B1954"/>
      <c r="C1954"/>
      <c r="D1954"/>
      <c r="E1954"/>
      <c r="F1954"/>
      <c r="G1954"/>
    </row>
    <row r="1955" spans="1:7">
      <c r="A1955"/>
      <c r="B1955"/>
      <c r="C1955"/>
      <c r="D1955"/>
      <c r="E1955"/>
      <c r="F1955"/>
      <c r="G1955"/>
    </row>
    <row r="1956" spans="1:7">
      <c r="A1956"/>
      <c r="B1956"/>
      <c r="C1956"/>
      <c r="D1956"/>
      <c r="E1956"/>
      <c r="F1956"/>
      <c r="G1956"/>
    </row>
    <row r="1957" spans="1:7">
      <c r="A1957"/>
      <c r="B1957"/>
      <c r="C1957"/>
      <c r="D1957"/>
      <c r="E1957"/>
      <c r="F1957"/>
      <c r="G1957"/>
    </row>
    <row r="1958" spans="1:7">
      <c r="A1958"/>
      <c r="B1958"/>
      <c r="C1958"/>
      <c r="D1958"/>
      <c r="E1958"/>
      <c r="F1958"/>
      <c r="G1958"/>
    </row>
    <row r="1959" spans="1:7">
      <c r="A1959"/>
      <c r="B1959"/>
      <c r="C1959"/>
      <c r="D1959"/>
      <c r="E1959"/>
      <c r="F1959"/>
      <c r="G1959"/>
    </row>
    <row r="1960" spans="1:7">
      <c r="A1960"/>
      <c r="B1960"/>
      <c r="C1960"/>
      <c r="D1960"/>
      <c r="E1960"/>
      <c r="F1960"/>
      <c r="G1960"/>
    </row>
    <row r="1961" spans="1:7">
      <c r="A1961"/>
      <c r="B1961"/>
      <c r="C1961"/>
      <c r="D1961"/>
      <c r="E1961"/>
      <c r="F1961"/>
      <c r="G1961"/>
    </row>
    <row r="1962" spans="1:7">
      <c r="A1962"/>
      <c r="B1962"/>
      <c r="C1962"/>
      <c r="D1962"/>
      <c r="E1962"/>
      <c r="F1962"/>
      <c r="G1962"/>
    </row>
    <row r="1963" spans="1:7">
      <c r="A1963"/>
      <c r="B1963"/>
      <c r="C1963"/>
      <c r="D1963"/>
      <c r="E1963"/>
      <c r="F1963"/>
      <c r="G1963"/>
    </row>
    <row r="1964" spans="1:7">
      <c r="A1964"/>
      <c r="B1964"/>
      <c r="C1964"/>
      <c r="D1964"/>
      <c r="E1964"/>
      <c r="F1964"/>
      <c r="G1964"/>
    </row>
    <row r="1965" spans="1:7">
      <c r="A1965"/>
      <c r="B1965"/>
      <c r="C1965"/>
      <c r="D1965"/>
      <c r="E1965"/>
      <c r="F1965"/>
      <c r="G1965"/>
    </row>
    <row r="1966" spans="1:7">
      <c r="A1966"/>
      <c r="B1966"/>
      <c r="C1966"/>
      <c r="D1966"/>
      <c r="E1966"/>
      <c r="F1966"/>
      <c r="G1966"/>
    </row>
    <row r="1967" spans="1:7">
      <c r="A1967"/>
      <c r="B1967"/>
      <c r="C1967"/>
      <c r="D1967"/>
      <c r="E1967"/>
      <c r="F1967"/>
      <c r="G1967"/>
    </row>
    <row r="1968" spans="1:7">
      <c r="A1968"/>
      <c r="B1968"/>
      <c r="C1968"/>
      <c r="D1968"/>
      <c r="E1968"/>
      <c r="F1968"/>
      <c r="G1968"/>
    </row>
    <row r="1969" spans="1:7">
      <c r="A1969"/>
      <c r="B1969"/>
      <c r="C1969"/>
      <c r="D1969"/>
      <c r="E1969"/>
      <c r="F1969"/>
      <c r="G1969"/>
    </row>
    <row r="1970" spans="1:7">
      <c r="A1970"/>
      <c r="B1970"/>
      <c r="C1970"/>
      <c r="D1970"/>
      <c r="E1970"/>
      <c r="F1970"/>
      <c r="G1970"/>
    </row>
    <row r="1971" spans="1:7">
      <c r="A1971"/>
      <c r="B1971"/>
      <c r="C1971"/>
      <c r="D1971"/>
      <c r="E1971"/>
      <c r="F1971"/>
      <c r="G1971"/>
    </row>
    <row r="1972" spans="1:7">
      <c r="A1972"/>
      <c r="B1972"/>
      <c r="C1972"/>
      <c r="D1972"/>
      <c r="E1972"/>
      <c r="F1972"/>
      <c r="G1972"/>
    </row>
    <row r="1973" spans="1:7">
      <c r="A1973"/>
      <c r="B1973"/>
      <c r="C1973"/>
      <c r="D1973"/>
      <c r="E1973"/>
      <c r="F1973"/>
      <c r="G1973"/>
    </row>
    <row r="1974" spans="1:7">
      <c r="A1974"/>
      <c r="B1974"/>
      <c r="C1974"/>
      <c r="D1974"/>
      <c r="E1974"/>
      <c r="F1974"/>
      <c r="G1974"/>
    </row>
    <row r="1975" spans="1:7">
      <c r="A1975"/>
      <c r="B1975"/>
      <c r="C1975"/>
      <c r="D1975"/>
      <c r="E1975"/>
      <c r="F1975"/>
      <c r="G1975"/>
    </row>
    <row r="1976" spans="1:7">
      <c r="A1976"/>
      <c r="B1976"/>
      <c r="C1976"/>
      <c r="D1976"/>
      <c r="E1976"/>
      <c r="F1976"/>
      <c r="G1976"/>
    </row>
    <row r="1977" spans="1:7">
      <c r="A1977"/>
      <c r="B1977"/>
      <c r="C1977"/>
      <c r="D1977"/>
      <c r="E1977"/>
      <c r="F1977"/>
      <c r="G1977"/>
    </row>
    <row r="1978" spans="1:7">
      <c r="A1978"/>
      <c r="B1978"/>
      <c r="C1978"/>
      <c r="D1978"/>
      <c r="E1978"/>
      <c r="F1978"/>
      <c r="G1978"/>
    </row>
    <row r="1979" spans="1:7">
      <c r="A1979"/>
      <c r="B1979"/>
      <c r="C1979"/>
      <c r="D1979"/>
      <c r="E1979"/>
      <c r="F1979"/>
      <c r="G1979"/>
    </row>
    <row r="1980" spans="1:7">
      <c r="A1980"/>
      <c r="B1980"/>
      <c r="C1980"/>
      <c r="D1980"/>
      <c r="E1980"/>
      <c r="F1980"/>
      <c r="G1980"/>
    </row>
    <row r="1981" spans="1:7">
      <c r="A1981"/>
      <c r="B1981"/>
      <c r="C1981"/>
      <c r="D1981"/>
      <c r="E1981"/>
      <c r="F1981"/>
      <c r="G1981"/>
    </row>
    <row r="1982" spans="1:7">
      <c r="A1982"/>
      <c r="B1982"/>
      <c r="C1982"/>
      <c r="D1982"/>
      <c r="E1982"/>
      <c r="F1982"/>
      <c r="G1982"/>
    </row>
    <row r="1983" spans="1:7">
      <c r="A1983"/>
      <c r="B1983"/>
      <c r="C1983"/>
      <c r="D1983"/>
      <c r="E1983"/>
      <c r="F1983"/>
      <c r="G1983"/>
    </row>
    <row r="1984" spans="1:7">
      <c r="A1984"/>
      <c r="B1984"/>
      <c r="C1984"/>
      <c r="D1984"/>
      <c r="E1984"/>
      <c r="F1984"/>
      <c r="G1984"/>
    </row>
    <row r="1985" spans="1:7">
      <c r="A1985"/>
      <c r="B1985"/>
      <c r="C1985"/>
      <c r="D1985"/>
      <c r="E1985"/>
      <c r="F1985"/>
      <c r="G1985"/>
    </row>
    <row r="1986" spans="1:7">
      <c r="A1986"/>
      <c r="B1986"/>
      <c r="C1986"/>
      <c r="D1986"/>
      <c r="E1986"/>
      <c r="F1986"/>
      <c r="G1986"/>
    </row>
    <row r="1987" spans="1:7">
      <c r="A1987"/>
      <c r="B1987"/>
      <c r="C1987"/>
      <c r="D1987"/>
      <c r="E1987"/>
      <c r="F1987"/>
      <c r="G1987"/>
    </row>
    <row r="1988" spans="1:7">
      <c r="A1988"/>
      <c r="B1988"/>
      <c r="C1988"/>
      <c r="D1988"/>
      <c r="E1988"/>
      <c r="F1988"/>
      <c r="G1988"/>
    </row>
    <row r="1989" spans="1:7">
      <c r="A1989"/>
      <c r="B1989"/>
      <c r="C1989"/>
      <c r="D1989"/>
      <c r="E1989"/>
      <c r="F1989"/>
      <c r="G1989"/>
    </row>
    <row r="1990" spans="1:7">
      <c r="A1990"/>
      <c r="B1990"/>
      <c r="C1990"/>
      <c r="D1990"/>
      <c r="E1990"/>
      <c r="F1990"/>
      <c r="G1990"/>
    </row>
    <row r="1991" spans="1:7">
      <c r="A1991"/>
      <c r="B1991"/>
      <c r="C1991"/>
      <c r="D1991"/>
      <c r="E1991"/>
      <c r="F1991"/>
      <c r="G1991"/>
    </row>
    <row r="1992" spans="1:7">
      <c r="A1992"/>
      <c r="B1992"/>
      <c r="C1992"/>
      <c r="D1992"/>
      <c r="E1992"/>
      <c r="F1992"/>
      <c r="G1992"/>
    </row>
    <row r="1993" spans="1:7">
      <c r="A1993"/>
      <c r="B1993"/>
      <c r="C1993"/>
      <c r="D1993"/>
      <c r="E1993"/>
      <c r="F1993"/>
      <c r="G1993"/>
    </row>
    <row r="1994" spans="1:7">
      <c r="A1994"/>
      <c r="B1994"/>
      <c r="C1994"/>
      <c r="D1994"/>
      <c r="E1994"/>
      <c r="F1994"/>
      <c r="G1994"/>
    </row>
    <row r="1995" spans="1:7">
      <c r="A1995"/>
      <c r="B1995"/>
      <c r="C1995"/>
      <c r="D1995"/>
      <c r="E1995"/>
      <c r="F1995"/>
      <c r="G1995"/>
    </row>
    <row r="1996" spans="1:7">
      <c r="A1996"/>
      <c r="B1996"/>
      <c r="C1996"/>
      <c r="D1996"/>
      <c r="E1996"/>
      <c r="F1996"/>
      <c r="G1996"/>
    </row>
    <row r="1997" spans="1:7">
      <c r="A1997"/>
      <c r="B1997"/>
      <c r="C1997"/>
      <c r="D1997"/>
      <c r="E1997"/>
      <c r="F1997"/>
      <c r="G1997"/>
    </row>
    <row r="1998" spans="1:7">
      <c r="A1998"/>
      <c r="B1998"/>
      <c r="C1998"/>
      <c r="D1998"/>
      <c r="E1998"/>
      <c r="F1998"/>
      <c r="G1998"/>
    </row>
    <row r="1999" spans="1:7">
      <c r="A1999"/>
      <c r="B1999"/>
      <c r="C1999"/>
      <c r="D1999"/>
      <c r="E1999"/>
      <c r="F1999"/>
      <c r="G1999"/>
    </row>
    <row r="2000" spans="1:7">
      <c r="A2000"/>
      <c r="B2000"/>
      <c r="C2000"/>
      <c r="D2000"/>
      <c r="E2000"/>
      <c r="F2000"/>
      <c r="G2000"/>
    </row>
    <row r="2001" spans="1:7">
      <c r="A2001"/>
      <c r="B2001"/>
      <c r="C2001"/>
      <c r="D2001"/>
      <c r="E2001"/>
      <c r="F2001"/>
      <c r="G2001"/>
    </row>
    <row r="2002" spans="1:7">
      <c r="A2002"/>
      <c r="B2002"/>
      <c r="C2002"/>
      <c r="D2002"/>
      <c r="E2002"/>
      <c r="F2002"/>
      <c r="G2002"/>
    </row>
    <row r="2003" spans="1:7">
      <c r="A2003"/>
      <c r="B2003"/>
      <c r="C2003"/>
      <c r="D2003"/>
      <c r="E2003"/>
      <c r="F2003"/>
      <c r="G2003"/>
    </row>
    <row r="2004" spans="1:7">
      <c r="A2004"/>
      <c r="B2004"/>
      <c r="C2004"/>
      <c r="D2004"/>
      <c r="E2004"/>
      <c r="F2004"/>
      <c r="G2004"/>
    </row>
    <row r="2005" spans="1:7">
      <c r="A2005"/>
      <c r="B2005"/>
      <c r="C2005"/>
      <c r="D2005"/>
      <c r="E2005"/>
      <c r="F2005"/>
      <c r="G2005"/>
    </row>
    <row r="2006" spans="1:7">
      <c r="A2006"/>
      <c r="B2006"/>
      <c r="C2006"/>
      <c r="D2006"/>
      <c r="E2006"/>
      <c r="F2006"/>
      <c r="G2006"/>
    </row>
    <row r="2007" spans="1:7">
      <c r="A2007"/>
      <c r="B2007"/>
      <c r="C2007"/>
      <c r="D2007"/>
      <c r="E2007"/>
      <c r="F2007"/>
      <c r="G2007"/>
    </row>
    <row r="2008" spans="1:7">
      <c r="A2008"/>
      <c r="B2008"/>
      <c r="C2008"/>
      <c r="D2008"/>
      <c r="E2008"/>
      <c r="F2008"/>
      <c r="G2008"/>
    </row>
    <row r="2009" spans="1:7">
      <c r="A2009"/>
      <c r="B2009"/>
      <c r="C2009"/>
      <c r="D2009"/>
      <c r="E2009"/>
      <c r="F2009"/>
      <c r="G2009"/>
    </row>
    <row r="2010" spans="1:7">
      <c r="A2010"/>
      <c r="B2010"/>
      <c r="C2010"/>
      <c r="D2010"/>
      <c r="E2010"/>
      <c r="F2010"/>
      <c r="G2010"/>
    </row>
    <row r="2011" spans="1:7">
      <c r="A2011"/>
      <c r="B2011"/>
      <c r="C2011"/>
      <c r="D2011"/>
      <c r="E2011"/>
      <c r="F2011"/>
      <c r="G2011"/>
    </row>
    <row r="2012" spans="1:7">
      <c r="A2012"/>
      <c r="B2012"/>
      <c r="C2012"/>
      <c r="D2012"/>
      <c r="E2012"/>
      <c r="F2012"/>
      <c r="G2012"/>
    </row>
    <row r="2013" spans="1:7">
      <c r="A2013"/>
      <c r="B2013"/>
      <c r="C2013"/>
      <c r="D2013"/>
      <c r="E2013"/>
      <c r="F2013"/>
      <c r="G2013"/>
    </row>
    <row r="2014" spans="1:7">
      <c r="A2014"/>
      <c r="B2014"/>
      <c r="C2014"/>
      <c r="D2014"/>
      <c r="E2014"/>
      <c r="F2014"/>
      <c r="G2014"/>
    </row>
    <row r="2015" spans="1:7">
      <c r="A2015"/>
      <c r="B2015"/>
      <c r="C2015"/>
      <c r="D2015"/>
      <c r="E2015"/>
      <c r="F2015"/>
      <c r="G2015"/>
    </row>
    <row r="2016" spans="1:7">
      <c r="A2016"/>
      <c r="B2016"/>
      <c r="C2016"/>
      <c r="D2016"/>
      <c r="E2016"/>
      <c r="F2016"/>
      <c r="G2016"/>
    </row>
    <row r="2017" spans="1:7">
      <c r="A2017"/>
      <c r="B2017"/>
      <c r="C2017"/>
      <c r="D2017"/>
      <c r="E2017"/>
      <c r="F2017"/>
      <c r="G2017"/>
    </row>
    <row r="2018" spans="1:7">
      <c r="A2018"/>
      <c r="B2018"/>
      <c r="C2018"/>
      <c r="D2018"/>
      <c r="E2018"/>
      <c r="F2018"/>
      <c r="G2018"/>
    </row>
    <row r="2019" spans="1:7">
      <c r="A2019"/>
      <c r="B2019"/>
      <c r="C2019"/>
      <c r="D2019"/>
      <c r="E2019"/>
      <c r="F2019"/>
      <c r="G2019"/>
    </row>
    <row r="2020" spans="1:7">
      <c r="A2020"/>
      <c r="B2020"/>
      <c r="C2020"/>
      <c r="D2020"/>
      <c r="E2020"/>
      <c r="F2020"/>
      <c r="G2020"/>
    </row>
    <row r="2021" spans="1:7">
      <c r="A2021"/>
      <c r="B2021"/>
      <c r="C2021"/>
      <c r="D2021"/>
      <c r="E2021"/>
      <c r="F2021"/>
      <c r="G2021"/>
    </row>
    <row r="2022" spans="1:7">
      <c r="A2022"/>
      <c r="B2022"/>
      <c r="C2022"/>
      <c r="D2022"/>
      <c r="E2022"/>
      <c r="F2022"/>
      <c r="G2022"/>
    </row>
    <row r="2023" spans="1:7">
      <c r="A2023"/>
      <c r="B2023"/>
      <c r="C2023"/>
      <c r="D2023"/>
      <c r="E2023"/>
      <c r="F2023"/>
      <c r="G2023"/>
    </row>
    <row r="2024" spans="1:7">
      <c r="A2024"/>
      <c r="B2024"/>
      <c r="C2024"/>
      <c r="D2024"/>
      <c r="E2024"/>
      <c r="F2024"/>
      <c r="G2024"/>
    </row>
    <row r="2025" spans="1:7">
      <c r="A2025"/>
      <c r="B2025"/>
      <c r="C2025"/>
      <c r="D2025"/>
      <c r="E2025"/>
      <c r="F2025"/>
      <c r="G2025"/>
    </row>
    <row r="2026" spans="1:7">
      <c r="A2026"/>
      <c r="B2026"/>
      <c r="C2026"/>
      <c r="D2026"/>
      <c r="E2026"/>
      <c r="F2026"/>
      <c r="G2026"/>
    </row>
    <row r="2027" spans="1:7">
      <c r="A2027"/>
      <c r="B2027"/>
      <c r="C2027"/>
      <c r="D2027"/>
      <c r="E2027"/>
      <c r="F2027"/>
      <c r="G2027"/>
    </row>
    <row r="2028" spans="1:7">
      <c r="A2028"/>
      <c r="B2028"/>
      <c r="C2028"/>
      <c r="D2028"/>
      <c r="E2028"/>
      <c r="F2028"/>
      <c r="G2028"/>
    </row>
    <row r="2029" spans="1:7">
      <c r="A2029"/>
      <c r="B2029"/>
      <c r="C2029"/>
      <c r="D2029"/>
      <c r="E2029"/>
      <c r="F2029"/>
      <c r="G2029"/>
    </row>
    <row r="2030" spans="1:7">
      <c r="A2030"/>
      <c r="B2030"/>
      <c r="C2030"/>
      <c r="D2030"/>
      <c r="E2030"/>
      <c r="F2030"/>
      <c r="G2030"/>
    </row>
    <row r="2031" spans="1:7">
      <c r="A2031"/>
      <c r="B2031"/>
      <c r="C2031"/>
      <c r="D2031"/>
      <c r="E2031"/>
      <c r="F2031"/>
      <c r="G2031"/>
    </row>
    <row r="2032" spans="1:7">
      <c r="A2032"/>
      <c r="B2032"/>
      <c r="C2032"/>
      <c r="D2032"/>
      <c r="E2032"/>
      <c r="F2032"/>
      <c r="G2032"/>
    </row>
    <row r="2033" spans="1:7">
      <c r="A2033"/>
      <c r="B2033"/>
      <c r="C2033"/>
      <c r="D2033"/>
      <c r="E2033"/>
      <c r="F2033"/>
      <c r="G2033"/>
    </row>
    <row r="2034" spans="1:7">
      <c r="A2034"/>
      <c r="B2034"/>
      <c r="C2034"/>
      <c r="D2034"/>
      <c r="E2034"/>
      <c r="F2034"/>
      <c r="G2034"/>
    </row>
    <row r="2035" spans="1:7">
      <c r="A2035"/>
      <c r="B2035"/>
      <c r="C2035"/>
      <c r="D2035"/>
      <c r="E2035"/>
      <c r="F2035"/>
      <c r="G2035"/>
    </row>
    <row r="2036" spans="1:7">
      <c r="A2036"/>
      <c r="B2036"/>
      <c r="C2036"/>
      <c r="D2036"/>
      <c r="E2036"/>
      <c r="F2036"/>
      <c r="G2036"/>
    </row>
    <row r="2037" spans="1:7">
      <c r="A2037"/>
      <c r="B2037"/>
      <c r="C2037"/>
      <c r="D2037"/>
      <c r="E2037"/>
      <c r="F2037"/>
      <c r="G2037"/>
    </row>
    <row r="2038" spans="1:7">
      <c r="A2038"/>
      <c r="B2038"/>
      <c r="C2038"/>
      <c r="D2038"/>
      <c r="E2038"/>
      <c r="F2038"/>
      <c r="G2038"/>
    </row>
    <row r="2039" spans="1:7">
      <c r="A2039"/>
      <c r="B2039"/>
      <c r="C2039"/>
      <c r="D2039"/>
      <c r="E2039"/>
      <c r="F2039"/>
      <c r="G2039"/>
    </row>
    <row r="2040" spans="1:7">
      <c r="A2040"/>
      <c r="B2040"/>
      <c r="C2040"/>
      <c r="D2040"/>
      <c r="E2040"/>
      <c r="F2040"/>
      <c r="G2040"/>
    </row>
    <row r="2041" spans="1:7">
      <c r="A2041"/>
      <c r="B2041"/>
      <c r="C2041"/>
      <c r="D2041"/>
      <c r="E2041"/>
      <c r="F2041"/>
      <c r="G2041"/>
    </row>
    <row r="2042" spans="1:7">
      <c r="A2042"/>
      <c r="B2042"/>
      <c r="C2042"/>
      <c r="D2042"/>
      <c r="E2042"/>
      <c r="F2042"/>
      <c r="G2042"/>
    </row>
    <row r="2043" spans="1:7">
      <c r="A2043"/>
      <c r="B2043"/>
      <c r="C2043"/>
      <c r="D2043"/>
      <c r="E2043"/>
      <c r="F2043"/>
      <c r="G2043"/>
    </row>
    <row r="2044" spans="1:7">
      <c r="A2044"/>
      <c r="B2044"/>
      <c r="C2044"/>
      <c r="D2044"/>
      <c r="E2044"/>
      <c r="F2044"/>
      <c r="G2044"/>
    </row>
    <row r="2045" spans="1:7">
      <c r="A2045"/>
      <c r="B2045"/>
      <c r="C2045"/>
      <c r="D2045"/>
      <c r="E2045"/>
      <c r="F2045"/>
      <c r="G2045"/>
    </row>
    <row r="2046" spans="1:7">
      <c r="A2046"/>
      <c r="B2046"/>
      <c r="C2046"/>
      <c r="D2046"/>
      <c r="E2046"/>
      <c r="F2046"/>
      <c r="G2046"/>
    </row>
    <row r="2047" spans="1:7">
      <c r="A2047"/>
      <c r="B2047"/>
      <c r="C2047"/>
      <c r="D2047"/>
      <c r="E2047"/>
      <c r="F2047"/>
      <c r="G2047"/>
    </row>
    <row r="2048" spans="1:7">
      <c r="A2048"/>
      <c r="B2048"/>
      <c r="C2048"/>
      <c r="D2048"/>
      <c r="E2048"/>
      <c r="F2048"/>
      <c r="G2048"/>
    </row>
    <row r="2049" spans="1:7">
      <c r="A2049"/>
      <c r="B2049"/>
      <c r="C2049"/>
      <c r="D2049"/>
      <c r="E2049"/>
      <c r="F2049"/>
      <c r="G2049"/>
    </row>
    <row r="2050" spans="1:7">
      <c r="A2050"/>
      <c r="B2050"/>
      <c r="C2050"/>
      <c r="D2050"/>
      <c r="E2050"/>
      <c r="F2050"/>
      <c r="G2050"/>
    </row>
    <row r="2051" spans="1:7">
      <c r="A2051"/>
      <c r="B2051"/>
      <c r="C2051"/>
      <c r="D2051"/>
      <c r="E2051"/>
      <c r="F2051"/>
      <c r="G2051"/>
    </row>
    <row r="2052" spans="1:7">
      <c r="A2052"/>
      <c r="B2052"/>
      <c r="C2052"/>
      <c r="D2052"/>
      <c r="E2052"/>
      <c r="F2052"/>
      <c r="G2052"/>
    </row>
    <row r="2053" spans="1:7">
      <c r="A2053"/>
      <c r="B2053"/>
      <c r="C2053"/>
      <c r="D2053"/>
      <c r="E2053"/>
      <c r="F2053"/>
      <c r="G2053"/>
    </row>
    <row r="2054" spans="1:7">
      <c r="A2054"/>
      <c r="B2054"/>
      <c r="C2054"/>
      <c r="D2054"/>
      <c r="E2054"/>
      <c r="F2054"/>
      <c r="G2054"/>
    </row>
    <row r="2055" spans="1:7">
      <c r="A2055"/>
      <c r="B2055"/>
      <c r="C2055"/>
      <c r="D2055"/>
      <c r="E2055"/>
      <c r="F2055"/>
      <c r="G2055"/>
    </row>
    <row r="2056" spans="1:7">
      <c r="A2056"/>
      <c r="B2056"/>
      <c r="C2056"/>
      <c r="D2056"/>
      <c r="E2056"/>
      <c r="F2056"/>
      <c r="G2056"/>
    </row>
    <row r="2057" spans="1:7">
      <c r="A2057"/>
      <c r="B2057"/>
      <c r="C2057"/>
      <c r="D2057"/>
      <c r="E2057"/>
      <c r="F2057"/>
      <c r="G2057"/>
    </row>
    <row r="2058" spans="1:7">
      <c r="A2058"/>
      <c r="B2058"/>
      <c r="C2058"/>
      <c r="D2058"/>
      <c r="E2058"/>
      <c r="F2058"/>
      <c r="G2058"/>
    </row>
    <row r="2059" spans="1:7">
      <c r="A2059"/>
      <c r="B2059"/>
      <c r="C2059"/>
      <c r="D2059"/>
      <c r="E2059"/>
      <c r="F2059"/>
      <c r="G2059"/>
    </row>
    <row r="2060" spans="1:7">
      <c r="A2060"/>
      <c r="B2060"/>
      <c r="C2060"/>
      <c r="D2060"/>
      <c r="E2060"/>
      <c r="F2060"/>
      <c r="G2060"/>
    </row>
    <row r="2061" spans="1:7">
      <c r="A2061"/>
      <c r="B2061"/>
      <c r="C2061"/>
      <c r="D2061"/>
      <c r="E2061"/>
      <c r="F2061"/>
      <c r="G2061"/>
    </row>
    <row r="2062" spans="1:7">
      <c r="A2062"/>
      <c r="B2062"/>
      <c r="C2062"/>
      <c r="D2062"/>
      <c r="E2062"/>
      <c r="F2062"/>
      <c r="G2062"/>
    </row>
    <row r="2063" spans="1:7">
      <c r="A2063"/>
      <c r="B2063"/>
      <c r="C2063"/>
      <c r="D2063"/>
      <c r="E2063"/>
      <c r="F2063"/>
      <c r="G2063"/>
    </row>
    <row r="2064" spans="1:7">
      <c r="A2064"/>
      <c r="B2064"/>
      <c r="C2064"/>
      <c r="D2064"/>
      <c r="E2064"/>
      <c r="F2064"/>
      <c r="G2064"/>
    </row>
    <row r="2065" spans="1:7">
      <c r="A2065"/>
      <c r="B2065"/>
      <c r="C2065"/>
      <c r="D2065"/>
      <c r="E2065"/>
      <c r="F2065"/>
      <c r="G2065"/>
    </row>
    <row r="2066" spans="1:7">
      <c r="A2066"/>
      <c r="B2066"/>
      <c r="C2066"/>
      <c r="D2066"/>
      <c r="E2066"/>
      <c r="F2066"/>
      <c r="G2066"/>
    </row>
    <row r="2067" spans="1:7">
      <c r="A2067"/>
      <c r="B2067"/>
      <c r="C2067"/>
      <c r="D2067"/>
      <c r="E2067"/>
      <c r="F2067"/>
      <c r="G2067"/>
    </row>
    <row r="2068" spans="1:7">
      <c r="A2068"/>
      <c r="B2068"/>
      <c r="C2068"/>
      <c r="D2068"/>
      <c r="E2068"/>
      <c r="F2068"/>
      <c r="G2068"/>
    </row>
    <row r="2069" spans="1:7">
      <c r="A2069"/>
      <c r="B2069"/>
      <c r="C2069"/>
      <c r="D2069"/>
      <c r="E2069"/>
      <c r="F2069"/>
      <c r="G2069"/>
    </row>
    <row r="2070" spans="1:7">
      <c r="A2070"/>
      <c r="B2070"/>
      <c r="C2070"/>
      <c r="D2070"/>
      <c r="E2070"/>
      <c r="F2070"/>
      <c r="G2070"/>
    </row>
    <row r="2071" spans="1:7">
      <c r="A2071"/>
      <c r="B2071"/>
      <c r="C2071"/>
      <c r="D2071"/>
      <c r="E2071"/>
      <c r="F2071"/>
      <c r="G2071"/>
    </row>
    <row r="2072" spans="1:7">
      <c r="A2072"/>
      <c r="B2072"/>
      <c r="C2072"/>
      <c r="D2072"/>
      <c r="E2072"/>
      <c r="F2072"/>
      <c r="G2072"/>
    </row>
    <row r="2073" spans="1:7">
      <c r="A2073"/>
      <c r="B2073"/>
      <c r="C2073"/>
      <c r="D2073"/>
      <c r="E2073"/>
      <c r="F2073"/>
      <c r="G2073"/>
    </row>
    <row r="2074" spans="1:7">
      <c r="A2074"/>
      <c r="B2074"/>
      <c r="C2074"/>
      <c r="D2074"/>
      <c r="E2074"/>
      <c r="F2074"/>
      <c r="G2074"/>
    </row>
    <row r="2075" spans="1:7">
      <c r="A2075"/>
      <c r="B2075"/>
      <c r="C2075"/>
      <c r="D2075"/>
      <c r="E2075"/>
      <c r="F2075"/>
      <c r="G2075"/>
    </row>
    <row r="2076" spans="1:7">
      <c r="A2076"/>
      <c r="B2076"/>
      <c r="C2076"/>
      <c r="D2076"/>
      <c r="E2076"/>
      <c r="F2076"/>
      <c r="G2076"/>
    </row>
    <row r="2077" spans="1:7">
      <c r="A2077"/>
      <c r="B2077"/>
      <c r="C2077"/>
      <c r="D2077"/>
      <c r="E2077"/>
      <c r="F2077"/>
      <c r="G2077"/>
    </row>
    <row r="2078" spans="1:7">
      <c r="A2078"/>
      <c r="B2078"/>
      <c r="C2078"/>
      <c r="D2078"/>
      <c r="E2078"/>
      <c r="F2078"/>
      <c r="G2078"/>
    </row>
    <row r="2079" spans="1:7">
      <c r="A2079"/>
      <c r="B2079"/>
      <c r="C2079"/>
      <c r="D2079"/>
      <c r="E2079"/>
      <c r="F2079"/>
      <c r="G2079"/>
    </row>
    <row r="2080" spans="1:7">
      <c r="A2080"/>
      <c r="B2080"/>
      <c r="C2080"/>
      <c r="D2080"/>
      <c r="E2080"/>
      <c r="F2080"/>
      <c r="G2080"/>
    </row>
    <row r="2081" spans="1:7">
      <c r="A2081"/>
      <c r="B2081"/>
      <c r="C2081"/>
      <c r="D2081"/>
      <c r="E2081"/>
      <c r="F2081"/>
      <c r="G2081"/>
    </row>
    <row r="2082" spans="1:7">
      <c r="A2082"/>
      <c r="B2082"/>
      <c r="C2082"/>
      <c r="D2082"/>
      <c r="E2082"/>
      <c r="F2082"/>
      <c r="G2082"/>
    </row>
    <row r="2083" spans="1:7">
      <c r="A2083"/>
      <c r="B2083"/>
      <c r="C2083"/>
      <c r="D2083"/>
      <c r="E2083"/>
      <c r="F2083"/>
      <c r="G2083"/>
    </row>
    <row r="2084" spans="1:7">
      <c r="A2084"/>
      <c r="B2084"/>
      <c r="C2084"/>
      <c r="D2084"/>
      <c r="E2084"/>
      <c r="F2084"/>
      <c r="G2084"/>
    </row>
    <row r="2085" spans="1:7">
      <c r="A2085"/>
      <c r="B2085"/>
      <c r="C2085"/>
      <c r="D2085"/>
      <c r="E2085"/>
      <c r="F2085"/>
      <c r="G2085"/>
    </row>
    <row r="2086" spans="1:7">
      <c r="A2086"/>
      <c r="B2086"/>
      <c r="C2086"/>
      <c r="D2086"/>
      <c r="E2086"/>
      <c r="F2086"/>
      <c r="G2086"/>
    </row>
    <row r="2087" spans="1:7">
      <c r="A2087"/>
      <c r="B2087"/>
      <c r="C2087"/>
      <c r="D2087"/>
      <c r="E2087"/>
      <c r="F2087"/>
      <c r="G2087"/>
    </row>
    <row r="2088" spans="1:7">
      <c r="A2088"/>
      <c r="B2088"/>
      <c r="C2088"/>
      <c r="D2088"/>
      <c r="E2088"/>
      <c r="F2088"/>
      <c r="G2088"/>
    </row>
    <row r="2089" spans="1:7">
      <c r="A2089"/>
      <c r="B2089"/>
      <c r="C2089"/>
      <c r="D2089"/>
      <c r="E2089"/>
      <c r="F2089"/>
      <c r="G2089"/>
    </row>
    <row r="2090" spans="1:7">
      <c r="A2090"/>
      <c r="B2090"/>
      <c r="C2090"/>
      <c r="D2090"/>
      <c r="E2090"/>
      <c r="F2090"/>
      <c r="G2090"/>
    </row>
    <row r="2091" spans="1:7">
      <c r="A2091"/>
      <c r="B2091"/>
      <c r="C2091"/>
      <c r="D2091"/>
      <c r="E2091"/>
      <c r="F2091"/>
      <c r="G2091"/>
    </row>
    <row r="2092" spans="1:7">
      <c r="A2092"/>
      <c r="B2092"/>
      <c r="C2092"/>
      <c r="D2092"/>
      <c r="E2092"/>
      <c r="F2092"/>
      <c r="G2092"/>
    </row>
    <row r="2093" spans="1:7">
      <c r="A2093"/>
      <c r="B2093"/>
      <c r="C2093"/>
      <c r="D2093"/>
      <c r="E2093"/>
      <c r="F2093"/>
      <c r="G2093"/>
    </row>
    <row r="2094" spans="1:7">
      <c r="A2094"/>
      <c r="B2094"/>
      <c r="C2094"/>
      <c r="D2094"/>
      <c r="E2094"/>
      <c r="F2094"/>
      <c r="G2094"/>
    </row>
    <row r="2095" spans="1:7">
      <c r="A2095"/>
      <c r="B2095"/>
      <c r="C2095"/>
      <c r="D2095"/>
      <c r="E2095"/>
      <c r="F2095"/>
      <c r="G2095"/>
    </row>
    <row r="2096" spans="1:7">
      <c r="A2096"/>
      <c r="B2096"/>
      <c r="C2096"/>
      <c r="D2096"/>
      <c r="E2096"/>
      <c r="F2096"/>
      <c r="G2096"/>
    </row>
    <row r="2097" spans="1:7">
      <c r="A2097"/>
      <c r="B2097"/>
      <c r="C2097"/>
      <c r="D2097"/>
      <c r="E2097"/>
      <c r="F2097"/>
      <c r="G2097"/>
    </row>
    <row r="2098" spans="1:7">
      <c r="A2098"/>
      <c r="B2098"/>
      <c r="C2098"/>
      <c r="D2098"/>
      <c r="E2098"/>
      <c r="F2098"/>
      <c r="G2098"/>
    </row>
    <row r="2099" spans="1:7">
      <c r="A2099"/>
      <c r="B2099"/>
      <c r="C2099"/>
      <c r="D2099"/>
      <c r="E2099"/>
      <c r="F2099"/>
      <c r="G2099"/>
    </row>
    <row r="2100" spans="1:7">
      <c r="A2100"/>
      <c r="B2100"/>
      <c r="C2100"/>
      <c r="D2100"/>
      <c r="E2100"/>
      <c r="F2100"/>
      <c r="G2100"/>
    </row>
    <row r="2101" spans="1:7">
      <c r="A2101"/>
      <c r="B2101"/>
      <c r="C2101"/>
      <c r="D2101"/>
      <c r="E2101"/>
      <c r="F2101"/>
      <c r="G2101"/>
    </row>
    <row r="2102" spans="1:7">
      <c r="A2102"/>
      <c r="B2102"/>
      <c r="C2102"/>
      <c r="D2102"/>
      <c r="E2102"/>
      <c r="F2102"/>
      <c r="G2102"/>
    </row>
    <row r="2103" spans="1:7">
      <c r="A2103"/>
      <c r="B2103"/>
      <c r="C2103"/>
      <c r="D2103"/>
      <c r="E2103"/>
      <c r="F2103"/>
      <c r="G2103"/>
    </row>
    <row r="2104" spans="1:7">
      <c r="A2104"/>
      <c r="B2104"/>
      <c r="C2104"/>
      <c r="D2104"/>
      <c r="E2104"/>
      <c r="F2104"/>
      <c r="G2104"/>
    </row>
    <row r="2105" spans="1:7">
      <c r="A2105"/>
      <c r="B2105"/>
      <c r="C2105"/>
      <c r="D2105"/>
      <c r="E2105"/>
      <c r="F2105"/>
      <c r="G2105"/>
    </row>
    <row r="2106" spans="1:7">
      <c r="A2106"/>
      <c r="B2106"/>
      <c r="C2106"/>
      <c r="D2106"/>
      <c r="E2106"/>
      <c r="F2106"/>
      <c r="G2106"/>
    </row>
    <row r="2107" spans="1:7">
      <c r="A2107"/>
      <c r="B2107"/>
      <c r="C2107"/>
      <c r="D2107"/>
      <c r="E2107"/>
      <c r="F2107"/>
      <c r="G2107"/>
    </row>
    <row r="2108" spans="1:7">
      <c r="A2108"/>
      <c r="B2108"/>
      <c r="C2108"/>
      <c r="D2108"/>
      <c r="E2108"/>
      <c r="F2108"/>
      <c r="G2108"/>
    </row>
    <row r="2109" spans="1:7">
      <c r="A2109"/>
      <c r="B2109"/>
      <c r="C2109"/>
      <c r="D2109"/>
      <c r="E2109"/>
      <c r="F2109"/>
      <c r="G2109"/>
    </row>
    <row r="2110" spans="1:7">
      <c r="A2110"/>
      <c r="B2110"/>
      <c r="C2110"/>
      <c r="D2110"/>
      <c r="E2110"/>
      <c r="F2110"/>
      <c r="G2110"/>
    </row>
    <row r="2111" spans="1:7">
      <c r="A2111"/>
      <c r="B2111"/>
      <c r="C2111"/>
      <c r="D2111"/>
      <c r="E2111"/>
      <c r="F2111"/>
      <c r="G2111"/>
    </row>
    <row r="2112" spans="1:7">
      <c r="A2112"/>
      <c r="B2112"/>
      <c r="C2112"/>
      <c r="D2112"/>
      <c r="E2112"/>
      <c r="F2112"/>
      <c r="G2112"/>
    </row>
    <row r="2113" spans="1:7">
      <c r="A2113"/>
      <c r="B2113"/>
      <c r="C2113"/>
      <c r="D2113"/>
      <c r="E2113"/>
      <c r="F2113"/>
      <c r="G2113"/>
    </row>
    <row r="2114" spans="1:7">
      <c r="A2114"/>
      <c r="B2114"/>
      <c r="C2114"/>
      <c r="D2114"/>
      <c r="E2114"/>
      <c r="F2114"/>
      <c r="G2114"/>
    </row>
    <row r="2115" spans="1:7">
      <c r="A2115"/>
      <c r="B2115"/>
      <c r="C2115"/>
      <c r="D2115"/>
      <c r="E2115"/>
      <c r="F2115"/>
      <c r="G2115"/>
    </row>
    <row r="2116" spans="1:7">
      <c r="A2116"/>
      <c r="B2116"/>
      <c r="C2116"/>
      <c r="D2116"/>
      <c r="E2116"/>
      <c r="F2116"/>
      <c r="G2116"/>
    </row>
    <row r="2117" spans="1:7">
      <c r="A2117"/>
      <c r="B2117"/>
      <c r="C2117"/>
      <c r="D2117"/>
      <c r="E2117"/>
      <c r="F2117"/>
      <c r="G2117"/>
    </row>
    <row r="2118" spans="1:7">
      <c r="A2118"/>
      <c r="B2118"/>
      <c r="C2118"/>
      <c r="D2118"/>
      <c r="E2118"/>
      <c r="F2118"/>
      <c r="G2118"/>
    </row>
    <row r="2119" spans="1:7">
      <c r="A2119"/>
      <c r="B2119"/>
      <c r="C2119"/>
      <c r="D2119"/>
      <c r="E2119"/>
      <c r="F2119"/>
      <c r="G2119"/>
    </row>
    <row r="2120" spans="1:7">
      <c r="A2120"/>
      <c r="B2120"/>
      <c r="C2120"/>
      <c r="D2120"/>
      <c r="E2120"/>
      <c r="F2120"/>
      <c r="G2120"/>
    </row>
    <row r="2121" spans="1:7">
      <c r="A2121"/>
      <c r="B2121"/>
      <c r="C2121"/>
      <c r="D2121"/>
      <c r="E2121"/>
      <c r="F2121"/>
      <c r="G2121"/>
    </row>
    <row r="2122" spans="1:7">
      <c r="A2122"/>
      <c r="B2122"/>
      <c r="C2122"/>
      <c r="D2122"/>
      <c r="E2122"/>
      <c r="F2122"/>
      <c r="G2122"/>
    </row>
    <row r="2123" spans="1:7">
      <c r="A2123"/>
      <c r="B2123"/>
      <c r="C2123"/>
      <c r="D2123"/>
      <c r="E2123"/>
      <c r="F2123"/>
      <c r="G2123"/>
    </row>
    <row r="2124" spans="1:7">
      <c r="A2124"/>
      <c r="B2124"/>
      <c r="C2124"/>
      <c r="D2124"/>
      <c r="E2124"/>
      <c r="F2124"/>
      <c r="G2124"/>
    </row>
    <row r="2125" spans="1:7">
      <c r="A2125"/>
      <c r="B2125"/>
      <c r="C2125"/>
      <c r="D2125"/>
      <c r="E2125"/>
      <c r="F2125"/>
      <c r="G2125"/>
    </row>
    <row r="2126" spans="1:7">
      <c r="A2126"/>
      <c r="B2126"/>
      <c r="C2126"/>
      <c r="D2126"/>
      <c r="E2126"/>
      <c r="F2126"/>
      <c r="G2126"/>
    </row>
    <row r="2127" spans="1:7">
      <c r="A2127"/>
      <c r="B2127"/>
      <c r="C2127"/>
      <c r="D2127"/>
      <c r="E2127"/>
      <c r="F2127"/>
      <c r="G2127"/>
    </row>
    <row r="2128" spans="1:7">
      <c r="A2128"/>
      <c r="B2128"/>
      <c r="C2128"/>
      <c r="D2128"/>
      <c r="E2128"/>
      <c r="F2128"/>
      <c r="G2128"/>
    </row>
    <row r="2129" spans="1:7">
      <c r="A2129"/>
      <c r="B2129"/>
      <c r="C2129"/>
      <c r="D2129"/>
      <c r="E2129"/>
      <c r="F2129"/>
      <c r="G2129"/>
    </row>
    <row r="2130" spans="1:7">
      <c r="A2130"/>
      <c r="B2130"/>
      <c r="C2130"/>
      <c r="D2130"/>
      <c r="E2130"/>
      <c r="F2130"/>
      <c r="G2130"/>
    </row>
    <row r="2131" spans="1:7">
      <c r="A2131"/>
      <c r="B2131"/>
      <c r="C2131"/>
      <c r="D2131"/>
      <c r="E2131"/>
      <c r="F2131"/>
      <c r="G2131"/>
    </row>
    <row r="2132" spans="1:7">
      <c r="A2132"/>
      <c r="B2132"/>
      <c r="C2132"/>
      <c r="D2132"/>
      <c r="E2132"/>
      <c r="F2132"/>
      <c r="G2132"/>
    </row>
    <row r="2133" spans="1:7">
      <c r="A2133"/>
      <c r="B2133"/>
      <c r="C2133"/>
      <c r="D2133"/>
      <c r="E2133"/>
      <c r="F2133"/>
      <c r="G2133"/>
    </row>
    <row r="2134" spans="1:7">
      <c r="A2134"/>
      <c r="B2134"/>
      <c r="C2134"/>
      <c r="D2134"/>
      <c r="E2134"/>
      <c r="F2134"/>
      <c r="G2134"/>
    </row>
    <row r="2135" spans="1:7">
      <c r="A2135"/>
      <c r="B2135"/>
      <c r="C2135"/>
      <c r="D2135"/>
      <c r="E2135"/>
      <c r="F2135"/>
      <c r="G2135"/>
    </row>
    <row r="2136" spans="1:7">
      <c r="A2136"/>
      <c r="B2136"/>
      <c r="C2136"/>
      <c r="D2136"/>
      <c r="E2136"/>
      <c r="F2136"/>
      <c r="G2136"/>
    </row>
    <row r="2137" spans="1:7">
      <c r="A2137"/>
      <c r="B2137"/>
      <c r="C2137"/>
      <c r="D2137"/>
      <c r="E2137"/>
      <c r="F2137"/>
      <c r="G2137"/>
    </row>
    <row r="2138" spans="1:7">
      <c r="A2138"/>
      <c r="B2138"/>
      <c r="C2138"/>
      <c r="D2138"/>
      <c r="E2138"/>
      <c r="F2138"/>
      <c r="G2138"/>
    </row>
    <row r="2139" spans="1:7">
      <c r="A2139"/>
      <c r="B2139"/>
      <c r="C2139"/>
      <c r="D2139"/>
      <c r="E2139"/>
      <c r="F2139"/>
      <c r="G2139"/>
    </row>
    <row r="2140" spans="1:7">
      <c r="A2140"/>
      <c r="B2140"/>
      <c r="C2140"/>
      <c r="D2140"/>
      <c r="E2140"/>
      <c r="F2140"/>
      <c r="G2140"/>
    </row>
    <row r="2141" spans="1:7">
      <c r="A2141"/>
      <c r="B2141"/>
      <c r="C2141"/>
      <c r="D2141"/>
      <c r="E2141"/>
      <c r="F2141"/>
      <c r="G2141"/>
    </row>
    <row r="2142" spans="1:7">
      <c r="A2142"/>
      <c r="B2142"/>
      <c r="C2142"/>
      <c r="D2142"/>
      <c r="E2142"/>
      <c r="F2142"/>
      <c r="G2142"/>
    </row>
    <row r="2143" spans="1:7">
      <c r="A2143"/>
      <c r="B2143"/>
      <c r="C2143"/>
      <c r="D2143"/>
      <c r="E2143"/>
      <c r="F2143"/>
      <c r="G2143"/>
    </row>
    <row r="2144" spans="1:7">
      <c r="A2144"/>
      <c r="B2144"/>
      <c r="C2144"/>
      <c r="D2144"/>
      <c r="E2144"/>
      <c r="F2144"/>
      <c r="G2144"/>
    </row>
    <row r="2145" spans="1:7">
      <c r="A2145"/>
      <c r="B2145"/>
      <c r="C2145"/>
      <c r="D2145"/>
      <c r="E2145"/>
      <c r="F2145"/>
      <c r="G2145"/>
    </row>
    <row r="2146" spans="1:7">
      <c r="A2146"/>
      <c r="B2146"/>
      <c r="C2146"/>
      <c r="D2146"/>
      <c r="E2146"/>
      <c r="F2146"/>
      <c r="G2146"/>
    </row>
    <row r="2147" spans="1:7">
      <c r="A2147"/>
      <c r="B2147"/>
      <c r="C2147"/>
      <c r="D2147"/>
      <c r="E2147"/>
      <c r="F2147"/>
      <c r="G2147"/>
    </row>
    <row r="2148" spans="1:7">
      <c r="A2148"/>
      <c r="B2148"/>
      <c r="C2148"/>
      <c r="D2148"/>
      <c r="E2148"/>
      <c r="F2148"/>
      <c r="G2148"/>
    </row>
    <row r="2149" spans="1:7">
      <c r="A2149"/>
      <c r="B2149"/>
      <c r="C2149"/>
      <c r="D2149"/>
      <c r="E2149"/>
      <c r="F2149"/>
      <c r="G2149"/>
    </row>
    <row r="2150" spans="1:7">
      <c r="A2150"/>
      <c r="B2150"/>
      <c r="C2150"/>
      <c r="D2150"/>
      <c r="E2150"/>
      <c r="F2150"/>
      <c r="G2150"/>
    </row>
    <row r="2151" spans="1:7">
      <c r="A2151"/>
      <c r="B2151"/>
      <c r="C2151"/>
      <c r="D2151"/>
      <c r="E2151"/>
      <c r="F2151"/>
      <c r="G2151"/>
    </row>
    <row r="2152" spans="1:7">
      <c r="A2152"/>
      <c r="B2152"/>
      <c r="C2152"/>
      <c r="D2152"/>
      <c r="E2152"/>
      <c r="F2152"/>
      <c r="G2152"/>
    </row>
    <row r="2153" spans="1:7">
      <c r="A2153"/>
      <c r="B2153"/>
      <c r="C2153"/>
      <c r="D2153"/>
      <c r="E2153"/>
      <c r="F2153"/>
      <c r="G2153"/>
    </row>
    <row r="2154" spans="1:7">
      <c r="A2154"/>
      <c r="B2154"/>
      <c r="C2154"/>
      <c r="D2154"/>
      <c r="E2154"/>
      <c r="F2154"/>
      <c r="G2154"/>
    </row>
    <row r="2155" spans="1:7">
      <c r="A2155"/>
      <c r="B2155"/>
      <c r="C2155"/>
      <c r="D2155"/>
      <c r="E2155"/>
      <c r="F2155"/>
      <c r="G2155"/>
    </row>
    <row r="2156" spans="1:7">
      <c r="A2156"/>
      <c r="B2156"/>
      <c r="C2156"/>
      <c r="D2156"/>
      <c r="E2156"/>
      <c r="F2156"/>
      <c r="G2156"/>
    </row>
    <row r="2157" spans="1:7">
      <c r="A2157"/>
      <c r="B2157"/>
      <c r="C2157"/>
      <c r="D2157"/>
      <c r="E2157"/>
      <c r="F2157"/>
      <c r="G2157"/>
    </row>
    <row r="2158" spans="1:7">
      <c r="A2158"/>
      <c r="B2158"/>
      <c r="C2158"/>
      <c r="D2158"/>
      <c r="E2158"/>
      <c r="F2158"/>
      <c r="G2158"/>
    </row>
    <row r="2159" spans="1:7">
      <c r="A2159"/>
      <c r="B2159"/>
      <c r="C2159"/>
      <c r="D2159"/>
      <c r="E2159"/>
      <c r="F2159"/>
      <c r="G2159"/>
    </row>
    <row r="2160" spans="1:7">
      <c r="A2160"/>
      <c r="B2160"/>
      <c r="C2160"/>
      <c r="D2160"/>
      <c r="E2160"/>
      <c r="F2160"/>
      <c r="G2160"/>
    </row>
    <row r="2161" spans="1:7">
      <c r="A2161"/>
      <c r="B2161"/>
      <c r="C2161"/>
      <c r="D2161"/>
      <c r="E2161"/>
      <c r="F2161"/>
      <c r="G2161"/>
    </row>
    <row r="2162" spans="1:7">
      <c r="A2162"/>
      <c r="B2162"/>
      <c r="C2162"/>
      <c r="D2162"/>
      <c r="E2162"/>
      <c r="F2162"/>
      <c r="G2162"/>
    </row>
    <row r="2163" spans="1:7">
      <c r="A2163"/>
      <c r="B2163"/>
      <c r="C2163"/>
      <c r="D2163"/>
      <c r="E2163"/>
      <c r="F2163"/>
      <c r="G2163"/>
    </row>
    <row r="2164" spans="1:7">
      <c r="A2164"/>
      <c r="B2164"/>
      <c r="C2164"/>
      <c r="D2164"/>
      <c r="E2164"/>
      <c r="F2164"/>
      <c r="G2164"/>
    </row>
    <row r="2165" spans="1:7">
      <c r="A2165"/>
      <c r="B2165"/>
      <c r="C2165"/>
      <c r="D2165"/>
      <c r="E2165"/>
      <c r="F2165"/>
      <c r="G2165"/>
    </row>
    <row r="2166" spans="1:7">
      <c r="A2166"/>
      <c r="B2166"/>
      <c r="C2166"/>
      <c r="D2166"/>
      <c r="E2166"/>
      <c r="F2166"/>
      <c r="G2166"/>
    </row>
    <row r="2167" spans="1:7">
      <c r="A2167"/>
      <c r="B2167"/>
      <c r="C2167"/>
      <c r="D2167"/>
      <c r="E2167"/>
      <c r="F2167"/>
      <c r="G2167"/>
    </row>
    <row r="2168" spans="1:7">
      <c r="A2168"/>
      <c r="B2168"/>
      <c r="C2168"/>
      <c r="D2168"/>
      <c r="E2168"/>
      <c r="F2168"/>
      <c r="G2168"/>
    </row>
    <row r="2169" spans="1:7">
      <c r="A2169"/>
      <c r="B2169"/>
      <c r="C2169"/>
      <c r="D2169"/>
      <c r="E2169"/>
      <c r="F2169"/>
      <c r="G2169"/>
    </row>
    <row r="2170" spans="1:7">
      <c r="A2170"/>
      <c r="B2170"/>
      <c r="C2170"/>
      <c r="D2170"/>
      <c r="E2170"/>
      <c r="F2170"/>
      <c r="G2170"/>
    </row>
    <row r="2171" spans="1:7">
      <c r="A2171"/>
      <c r="B2171"/>
      <c r="C2171"/>
      <c r="D2171"/>
      <c r="E2171"/>
      <c r="F2171"/>
      <c r="G2171"/>
    </row>
    <row r="2172" spans="1:7">
      <c r="A2172"/>
      <c r="B2172"/>
      <c r="C2172"/>
      <c r="D2172"/>
      <c r="E2172"/>
      <c r="F2172"/>
      <c r="G2172"/>
    </row>
    <row r="2173" spans="1:7">
      <c r="A2173"/>
      <c r="B2173"/>
      <c r="C2173"/>
      <c r="D2173"/>
      <c r="E2173"/>
      <c r="F2173"/>
      <c r="G2173"/>
    </row>
    <row r="2174" spans="1:7">
      <c r="A2174"/>
      <c r="B2174"/>
      <c r="C2174"/>
      <c r="D2174"/>
      <c r="E2174"/>
      <c r="F2174"/>
      <c r="G2174"/>
    </row>
    <row r="2175" spans="1:7">
      <c r="A2175"/>
      <c r="B2175"/>
      <c r="C2175"/>
      <c r="D2175"/>
      <c r="E2175"/>
      <c r="F2175"/>
      <c r="G2175"/>
    </row>
    <row r="2176" spans="1:7">
      <c r="A2176"/>
      <c r="B2176"/>
      <c r="C2176"/>
      <c r="D2176"/>
      <c r="E2176"/>
      <c r="F2176"/>
      <c r="G2176"/>
    </row>
    <row r="2177" spans="1:7">
      <c r="A2177"/>
      <c r="B2177"/>
      <c r="C2177"/>
      <c r="D2177"/>
      <c r="E2177"/>
      <c r="F2177"/>
      <c r="G2177"/>
    </row>
    <row r="2178" spans="1:7">
      <c r="A2178"/>
      <c r="B2178"/>
      <c r="C2178"/>
      <c r="D2178"/>
      <c r="E2178"/>
      <c r="F2178"/>
      <c r="G2178"/>
    </row>
    <row r="2179" spans="1:7">
      <c r="A2179"/>
      <c r="B2179"/>
      <c r="C2179"/>
      <c r="D2179"/>
      <c r="E2179"/>
      <c r="F2179"/>
      <c r="G2179"/>
    </row>
    <row r="2180" spans="1:7">
      <c r="A2180"/>
      <c r="B2180"/>
      <c r="C2180"/>
      <c r="D2180"/>
      <c r="E2180"/>
      <c r="F2180"/>
      <c r="G2180"/>
    </row>
    <row r="2181" spans="1:7">
      <c r="A2181"/>
      <c r="B2181"/>
      <c r="C2181"/>
      <c r="D2181"/>
      <c r="E2181"/>
      <c r="F2181"/>
      <c r="G2181"/>
    </row>
    <row r="2182" spans="1:7">
      <c r="A2182"/>
      <c r="B2182"/>
      <c r="C2182"/>
      <c r="D2182"/>
      <c r="E2182"/>
      <c r="F2182"/>
      <c r="G2182"/>
    </row>
    <row r="2183" spans="1:7">
      <c r="A2183"/>
      <c r="B2183"/>
      <c r="C2183"/>
      <c r="D2183"/>
      <c r="E2183"/>
      <c r="F2183"/>
      <c r="G2183"/>
    </row>
    <row r="2184" spans="1:7">
      <c r="A2184"/>
      <c r="B2184"/>
      <c r="C2184"/>
      <c r="D2184"/>
      <c r="E2184"/>
      <c r="F2184"/>
      <c r="G2184"/>
    </row>
    <row r="2185" spans="1:7">
      <c r="A2185"/>
      <c r="B2185"/>
      <c r="C2185"/>
      <c r="D2185"/>
      <c r="E2185"/>
      <c r="F2185"/>
      <c r="G2185"/>
    </row>
  </sheetData>
  <phoneticPr fontId="8" type="noConversion"/>
  <pageMargins left="0.75" right="0.75" top="1" bottom="1" header="0.5" footer="0.5"/>
  <pageSetup orientation="portrait" verticalDpi="0" r:id="rId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92104E3E7138024FBF244EFED6361BBE" ma:contentTypeVersion="10" ma:contentTypeDescription="Crear nuevo documento." ma:contentTypeScope="" ma:versionID="2a7419eab934d2648fcd7df123a1228a">
  <xsd:schema xmlns:xsd="http://www.w3.org/2001/XMLSchema" xmlns:xs="http://www.w3.org/2001/XMLSchema" xmlns:p="http://schemas.microsoft.com/office/2006/metadata/properties" xmlns:ns2="b06d8e57-2d0a-42d4-8735-1dfabcf6e3d4" targetNamespace="http://schemas.microsoft.com/office/2006/metadata/properties" ma:root="true" ma:fieldsID="14063e83bb2ca9f43d9d10d720dcc15a" ns2:_="">
    <xsd:import namespace="b06d8e57-2d0a-42d4-8735-1dfabcf6e3d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6d8e57-2d0a-42d4-8735-1dfabcf6e3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82BA182-627C-48B3-97A5-DF98ACA59B04}">
  <ds:schemaRefs>
    <ds:schemaRef ds:uri="http://schemas.microsoft.com/sharepoint/v3/contenttype/forms"/>
  </ds:schemaRefs>
</ds:datastoreItem>
</file>

<file path=customXml/itemProps2.xml><?xml version="1.0" encoding="utf-8"?>
<ds:datastoreItem xmlns:ds="http://schemas.openxmlformats.org/officeDocument/2006/customXml" ds:itemID="{9805C40B-124D-436F-855B-88FE27D94E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6d8e57-2d0a-42d4-8735-1dfabcf6e3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9A4062-F5D3-4CC9-B4EA-696E032CB03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15</vt:i4>
      </vt:variant>
    </vt:vector>
  </HeadingPairs>
  <TitlesOfParts>
    <vt:vector size="34" baseType="lpstr">
      <vt:lpstr>Historial_Revisiones</vt:lpstr>
      <vt:lpstr>Instructivo</vt:lpstr>
      <vt:lpstr>Historial de Revisiones</vt:lpstr>
      <vt:lpstr>Parámetros</vt:lpstr>
      <vt:lpstr>CHK Técnico-AS400</vt:lpstr>
      <vt:lpstr>CHK Técnico-SQL</vt:lpstr>
      <vt:lpstr>CHK Técnico-VB</vt:lpstr>
      <vt:lpstr>CHK Técnico-JAVA</vt:lpstr>
      <vt:lpstr>CHK Técnico-RPA</vt:lpstr>
      <vt:lpstr>CHK Técnico-.NET</vt:lpstr>
      <vt:lpstr>CHK Técnico-Macros</vt:lpstr>
      <vt:lpstr>CHK Técnico-DB2</vt:lpstr>
      <vt:lpstr>CHK Técnico-ORACLE</vt:lpstr>
      <vt:lpstr>CHK Técnico-ANGULAR</vt:lpstr>
      <vt:lpstr>CHK Técnico-ETL</vt:lpstr>
      <vt:lpstr>CHK Técnico-IBUS</vt:lpstr>
      <vt:lpstr>Seguimiento de Incidencias</vt:lpstr>
      <vt:lpstr>Informe Final-Realiza</vt:lpstr>
      <vt:lpstr>Consolidado</vt:lpstr>
      <vt:lpstr>Aplicativo</vt:lpstr>
      <vt:lpstr>Autor_Registro</vt:lpstr>
      <vt:lpstr>Ciclo</vt:lpstr>
      <vt:lpstr>Defecto</vt:lpstr>
      <vt:lpstr>Defectos</vt:lpstr>
      <vt:lpstr>Duracion</vt:lpstr>
      <vt:lpstr>Estado</vt:lpstr>
      <vt:lpstr>Linea</vt:lpstr>
      <vt:lpstr>Opcion</vt:lpstr>
      <vt:lpstr>Responsable</vt:lpstr>
      <vt:lpstr>Resultados</vt:lpstr>
      <vt:lpstr>Revisor</vt:lpstr>
      <vt:lpstr>Revisores</vt:lpstr>
      <vt:lpstr>s</vt:lpstr>
      <vt:lpstr>Severidad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Carillo Marcos</dc:creator>
  <cp:lastModifiedBy>Erick Ramos Aparicio</cp:lastModifiedBy>
  <cp:lastPrinted>2010-03-18T23:36:06Z</cp:lastPrinted>
  <dcterms:created xsi:type="dcterms:W3CDTF">2004-05-19T22:41:47Z</dcterms:created>
  <dcterms:modified xsi:type="dcterms:W3CDTF">2023-02-03T16:57:13Z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3de7535b-a0d9-4f5a-ae3c-a44efdb873ad</vt:lpwstr>
  </property>
  <property fmtid="{D5CDD505-2E9C-101B-9397-08002B2CF9AE}" pid="3" name="ContentTypeId">
    <vt:lpwstr>0x01010092104E3E7138024FBF244EFED6361BBE</vt:lpwstr>
  </property>
</Properties>
</file>