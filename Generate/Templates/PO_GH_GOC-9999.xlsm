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1.xml" ContentType="application/vnd.ms-excel.controlproperties+xml"/>
  <Override PartName="/xl/drawings/drawing5.xml" ContentType="application/vnd.openxmlformats-officedocument.drawing+xml"/>
  <Override PartName="/xl/drawings/drawing6.xml" ContentType="application/vnd.openxmlformats-officedocument.drawing+xml"/>
  <Override PartName="/xl/comments1.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showInkAnnotation="0" codeName="ThisWorkbook" defaultThemeVersion="124226"/>
  <mc:AlternateContent xmlns:mc="http://schemas.openxmlformats.org/markup-compatibility/2006">
    <mc:Choice Requires="x15">
      <x15ac:absPath xmlns:x15ac="http://schemas.microsoft.com/office/spreadsheetml/2010/11/ac" url="\\192.168.0.120\share\generate\Generate\"/>
    </mc:Choice>
  </mc:AlternateContent>
  <bookViews>
    <workbookView xWindow="0" yWindow="0" windowWidth="20490" windowHeight="7650" tabRatio="990" firstSheet="1" activeTab="8"/>
  </bookViews>
  <sheets>
    <sheet name="Historial_Revisiones" sheetId="16" state="hidden" r:id="rId1"/>
    <sheet name="Instructivo" sheetId="12" r:id="rId2"/>
    <sheet name="Historial de Revisiones" sheetId="14" r:id="rId3"/>
    <sheet name="General" sheetId="1" r:id="rId4"/>
    <sheet name="Verificación Fuentes" sheetId="17" r:id="rId5"/>
    <sheet name="Entregables" sheetId="13" r:id="rId6"/>
    <sheet name="Fuera de alcance" sheetId="10" r:id="rId7"/>
    <sheet name="Dependencias" sheetId="3" r:id="rId8"/>
    <sheet name="Condiciones" sheetId="4" r:id="rId9"/>
    <sheet name="Tablas" sheetId="6" state="hidden" r:id="rId10"/>
    <sheet name="Sheet1" sheetId="18" state="hidden" r:id="rId11"/>
  </sheets>
  <definedNames>
    <definedName name="_xlnm._FilterDatabase" localSheetId="9" hidden="1">Tablas!$B$60:$B$62</definedName>
    <definedName name="Analista">Tablas!$F$9:$F$20</definedName>
    <definedName name="Analista_de_Calidad">Tablas!$N$9:$N$20</definedName>
    <definedName name="_xlnm.Print_Area" localSheetId="3">General!$A$4:$BX$212</definedName>
    <definedName name="Autor">Tablas!$J$9:$J$20</definedName>
    <definedName name="Autor_Registro">Tablas!$J$9:$J$16</definedName>
    <definedName name="Consultor">Tablas!$D$9:$D$20</definedName>
    <definedName name="Dedicacion">Tablas!$B$77:$B$176</definedName>
    <definedName name="GEN_OT">General!$C$8</definedName>
    <definedName name="horas">General!$C$22</definedName>
    <definedName name="Jefe_de_Fábrica">Tablas!$O$20</definedName>
    <definedName name="Opcion">Tablas!$B$60:$B$62</definedName>
    <definedName name="Recursos">Tablas!$B$65:$B$74</definedName>
    <definedName name="Revisor">Tablas!$H$9:$H$15</definedName>
    <definedName name="Rol">Tablas!$L$10:$L$20</definedName>
    <definedName name="TAB_LINEA">Tablas!$B$15:$B$21</definedName>
    <definedName name="TAB_MIN_ESFUERZO">Tablas!$C$5</definedName>
    <definedName name="TAB_MIN_PLAZO">Tablas!$C$4</definedName>
    <definedName name="TAB_PRIORIDAD">Tablas!$B$9:$B$10</definedName>
    <definedName name="TAB_SOLICITUD">Tablas!$B$27:$B$28</definedName>
    <definedName name="TAB_TIPO_OT">Tablas!$B$31:$B$37</definedName>
    <definedName name="TipoOt">General!$C$7</definedName>
  </definedNames>
  <calcPr calcId="162913"/>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D22" i="1" l="1"/>
  <c r="F53" i="1" l="1"/>
  <c r="C22" i="1"/>
  <c r="E22" i="1" l="1"/>
  <c r="E4" i="4" l="1"/>
  <c r="E3" i="4"/>
  <c r="G4" i="3"/>
  <c r="G3" i="3"/>
  <c r="D3" i="3"/>
  <c r="E4" i="10"/>
  <c r="E3" i="10"/>
  <c r="D3" i="10"/>
  <c r="J4" i="13"/>
  <c r="J3" i="13"/>
  <c r="H4" i="17"/>
  <c r="H3" i="17"/>
  <c r="C3" i="17"/>
  <c r="C2" i="1"/>
  <c r="F4" i="14"/>
  <c r="F3" i="14"/>
  <c r="D3" i="14"/>
  <c r="C3" i="4" s="1"/>
  <c r="C3" i="13" l="1"/>
  <c r="F18" i="14"/>
  <c r="F19" i="14"/>
  <c r="F20" i="14"/>
  <c r="F21" i="14"/>
  <c r="B8" i="3" l="1"/>
  <c r="B9" i="4"/>
  <c r="B11" i="10"/>
  <c r="B12" i="10" s="1"/>
  <c r="B13" i="10" s="1"/>
  <c r="B14" i="10" s="1"/>
  <c r="B15" i="10" s="1"/>
  <c r="B16" i="10" s="1"/>
  <c r="B17" i="10" s="1"/>
  <c r="B18" i="10" s="1"/>
  <c r="B19" i="10" s="1"/>
  <c r="F6" i="1" l="1"/>
  <c r="G6" i="1" s="1"/>
  <c r="C34" i="1"/>
</calcChain>
</file>

<file path=xl/comments1.xml><?xml version="1.0" encoding="utf-8"?>
<comments xmlns="http://schemas.openxmlformats.org/spreadsheetml/2006/main">
  <authors>
    <author>np375103</author>
    <author>Luis Pérez Godoy</author>
  </authors>
  <commentList>
    <comment ref="D9" authorId="0" shapeId="0">
      <text>
        <r>
          <rPr>
            <b/>
            <sz val="8"/>
            <color indexed="81"/>
            <rFont val="Tahoma"/>
            <family val="2"/>
          </rPr>
          <t>Duración:
(Urgente &lt; 8 H/H = 1 D/H)
(Normal &lt; 40 H/H = 5 D/H)</t>
        </r>
      </text>
    </comment>
    <comment ref="E9" authorId="0" shapeId="0">
      <text>
        <r>
          <rPr>
            <b/>
            <sz val="8"/>
            <color indexed="81"/>
            <rFont val="Tahoma"/>
            <family val="2"/>
          </rPr>
          <t>Aquí se deberá seleccionar la opción respectiva.
La referencia es la medida óptima a tomar.</t>
        </r>
      </text>
    </comment>
    <comment ref="I9" authorId="0" shapeId="0">
      <text>
        <r>
          <rPr>
            <b/>
            <sz val="8"/>
            <color indexed="81"/>
            <rFont val="Tahoma"/>
            <family val="2"/>
          </rPr>
          <t>Aquí se referencia el rol de la persona que es la responsable de generar los Artefactos.
En caso variada se tiene que explicar el porque en la casilla de observaciones</t>
        </r>
      </text>
    </comment>
    <comment ref="E10" authorId="1" shapeId="0">
      <text>
        <r>
          <rPr>
            <b/>
            <sz val="10"/>
            <color indexed="81"/>
            <rFont val="Tahoma"/>
            <family val="2"/>
          </rPr>
          <t xml:space="preserve">Duración de:
  &lt;=   4 D/H  ó
  &lt;= 32 H/H   </t>
        </r>
      </text>
    </comment>
    <comment ref="F10" authorId="1" shapeId="0">
      <text>
        <r>
          <rPr>
            <b/>
            <sz val="10"/>
            <color indexed="81"/>
            <rFont val="Tahoma"/>
            <family val="2"/>
          </rPr>
          <t>Duración de
5 a 22 D/H   ó
33 a 176 H/H</t>
        </r>
      </text>
    </comment>
    <comment ref="G10" authorId="1" shapeId="0">
      <text>
        <r>
          <rPr>
            <b/>
            <sz val="10"/>
            <color indexed="81"/>
            <rFont val="Tahoma"/>
            <family val="2"/>
          </rPr>
          <t>duración de:
23 a 44 D/H    ó
177 a 352 H/H</t>
        </r>
      </text>
    </comment>
  </commentList>
</comments>
</file>

<file path=xl/sharedStrings.xml><?xml version="1.0" encoding="utf-8"?>
<sst xmlns="http://schemas.openxmlformats.org/spreadsheetml/2006/main" count="533" uniqueCount="266">
  <si>
    <t>Entregable acordado</t>
  </si>
  <si>
    <t>Se indica en esta columna comentario respecto al artefacto</t>
  </si>
  <si>
    <t>Refiere a la fase de desarrollo en la que se tiene que generar.</t>
  </si>
  <si>
    <t>Indica el nombre del responsable de la creación del artefacto.
Se deja registrado el rol responsable del desarrollo, el mismo que puede ser modificad según la necesidad.</t>
  </si>
  <si>
    <t>Nombre del Jefe de la Fábrica, quien es la persona que recibió y asigna la OT. En su ausencia delegará a algún responsable</t>
  </si>
  <si>
    <t>Id</t>
  </si>
  <si>
    <t>Descripción</t>
  </si>
  <si>
    <t>Inicio</t>
  </si>
  <si>
    <t>Fin</t>
  </si>
  <si>
    <t>Prioridad</t>
  </si>
  <si>
    <t>Color</t>
  </si>
  <si>
    <t>Las celdas con este color de fondo, son celdas en las que se debe ingresar información</t>
  </si>
  <si>
    <t>Las celdas con este color de fondo o con fondo color blanco, son celdas de contenido fijo</t>
  </si>
  <si>
    <t>Columna</t>
  </si>
  <si>
    <t>OT</t>
  </si>
  <si>
    <t>Hojas</t>
  </si>
  <si>
    <t>Instructivo</t>
  </si>
  <si>
    <t>Dependencias</t>
  </si>
  <si>
    <t>Condiciones</t>
  </si>
  <si>
    <t>Dependencias con otros planes / proyectos</t>
  </si>
  <si>
    <t>Prioridades de una O/T</t>
  </si>
  <si>
    <t>Normal</t>
  </si>
  <si>
    <t>Urgente</t>
  </si>
  <si>
    <t>Dependencia</t>
  </si>
  <si>
    <t>Empresa</t>
  </si>
  <si>
    <t>Frecuencia</t>
  </si>
  <si>
    <t>Fechas</t>
  </si>
  <si>
    <t>Línea</t>
  </si>
  <si>
    <t>Diseño</t>
  </si>
  <si>
    <t>Fuera de alcance</t>
  </si>
  <si>
    <t>Línea 1</t>
  </si>
  <si>
    <t>Línea 2</t>
  </si>
  <si>
    <t>Línea 3</t>
  </si>
  <si>
    <t>Línea 4</t>
  </si>
  <si>
    <t>Línea 5</t>
  </si>
  <si>
    <t>Línea 6</t>
  </si>
  <si>
    <t>General</t>
  </si>
  <si>
    <t>Total</t>
  </si>
  <si>
    <t>Consultor</t>
  </si>
  <si>
    <t>Analista</t>
  </si>
  <si>
    <t>Solicitado</t>
  </si>
  <si>
    <t>No Solicitado</t>
  </si>
  <si>
    <t>Solicitud</t>
  </si>
  <si>
    <t>Solicitud de Validación</t>
  </si>
  <si>
    <t>Análisis</t>
  </si>
  <si>
    <t>OT/Proyecto/Otros</t>
  </si>
  <si>
    <t>Construcción</t>
  </si>
  <si>
    <t>Tipo OT</t>
  </si>
  <si>
    <t>Evaluación</t>
  </si>
  <si>
    <t>Analista Calidad</t>
  </si>
  <si>
    <t>Requerimientos del Consultor no considerados dentro del alcance (no están en la LMR)</t>
  </si>
  <si>
    <t>Condiciones necesarias para la ejecución de esta OT</t>
  </si>
  <si>
    <t>Evolutiva</t>
  </si>
  <si>
    <t>Número de OT</t>
  </si>
  <si>
    <t>Solicitud de validación</t>
  </si>
  <si>
    <t>Participantes</t>
  </si>
  <si>
    <t>Nombre del consultor que solicito la OT</t>
  </si>
  <si>
    <t>Nombre del Analista que evaluó la OT. Evaluar se entiende como desagregar los requerimientos, estimarlos, armar el cronograma y el plan de OT</t>
  </si>
  <si>
    <t>Nombre del Analista que realizo la revisión de calidad de la evaluación de la OT.</t>
  </si>
  <si>
    <t>Análisis / Diseño</t>
  </si>
  <si>
    <t>Líneas</t>
  </si>
  <si>
    <t>Pruebas Internas</t>
  </si>
  <si>
    <t>Fuera de Alcance</t>
  </si>
  <si>
    <t>Versión</t>
  </si>
  <si>
    <t>Títulos de los campos.</t>
  </si>
  <si>
    <t>Tablas</t>
  </si>
  <si>
    <t>Objetivo</t>
  </si>
  <si>
    <t xml:space="preserve">Documentar:
</t>
  </si>
  <si>
    <t>Las celdas con este color de fondo, son celdas que se obtienen mediante fórmula.</t>
  </si>
  <si>
    <t>Registro de Cambios</t>
  </si>
  <si>
    <t>Hoja "General"</t>
  </si>
  <si>
    <t>Artefacto</t>
  </si>
  <si>
    <t>Entregables</t>
  </si>
  <si>
    <t>Lista de entregables comprometidos para esta OT. Se mantienen los compromisos por tipo y tamaño de OT, salvo se acuerde el cambio con el Consultor.</t>
  </si>
  <si>
    <t>ENTREGABLES</t>
  </si>
  <si>
    <t xml:space="preserve">FUERA DE ALCANCE </t>
  </si>
  <si>
    <t>DEPENDENCIAS</t>
  </si>
  <si>
    <t>CONDICIONES</t>
  </si>
  <si>
    <t>TABLAS</t>
  </si>
  <si>
    <t>Hoja "Entregables"</t>
  </si>
  <si>
    <t>Hoja "Fuera del alcance"</t>
  </si>
  <si>
    <t>Hoja "Dependencias"</t>
  </si>
  <si>
    <t>Hoja "Condiciones"</t>
  </si>
  <si>
    <t>Plazo mínimo atención</t>
  </si>
  <si>
    <t>Esfuerzo mínimo atención</t>
  </si>
  <si>
    <t>Esta hoja detalla las instrucciones del contenido de este artefacto.</t>
  </si>
  <si>
    <t>Indica si se va a requerir la ejecución del alcance</t>
  </si>
  <si>
    <t>Descripción del alcance</t>
  </si>
  <si>
    <t>Indica el correlativo de los registros</t>
  </si>
  <si>
    <t>Registra el código o nombre de OT, Proyecto u otros</t>
  </si>
  <si>
    <t>Define de quien depende</t>
  </si>
  <si>
    <t>Registra el nombre de la empresa</t>
  </si>
  <si>
    <t>Indica la fecha de inicio</t>
  </si>
  <si>
    <t>Indica la fecha de fin</t>
  </si>
  <si>
    <t>Referencia la frecuencia en la que se realizará</t>
  </si>
  <si>
    <t>Registra las condicionantes que se presentan</t>
  </si>
  <si>
    <t xml:space="preserve">Estado </t>
  </si>
  <si>
    <t xml:space="preserve">Consultor del Proyecto </t>
  </si>
  <si>
    <t xml:space="preserve">Evaluación </t>
  </si>
  <si>
    <t xml:space="preserve">Analisis </t>
  </si>
  <si>
    <t xml:space="preserve">Diseño </t>
  </si>
  <si>
    <t xml:space="preserve">Construcción </t>
  </si>
  <si>
    <t xml:space="preserve">Analista Programador </t>
  </si>
  <si>
    <t>Responsable de Generar Artefacto</t>
  </si>
  <si>
    <t>Rol Responsable de Generar Artefacto</t>
  </si>
  <si>
    <t>-</t>
  </si>
  <si>
    <t>Equipo/Jefe QA Integra</t>
  </si>
  <si>
    <t xml:space="preserve">Analista/QA Fábrica </t>
  </si>
  <si>
    <t>QA Fábrica</t>
  </si>
  <si>
    <t>Equipo QA Integra</t>
  </si>
  <si>
    <t>Jefe QA Integra</t>
  </si>
  <si>
    <t>Necesario</t>
  </si>
  <si>
    <t>Opcional</t>
  </si>
  <si>
    <t>Jefe de Fábrica</t>
  </si>
  <si>
    <t>7.7.5.1.01.R05 Reporte de Error.doc</t>
  </si>
  <si>
    <r>
      <t xml:space="preserve">Correctiva
</t>
    </r>
    <r>
      <rPr>
        <sz val="10"/>
        <rFont val="Arial"/>
        <family val="2"/>
      </rPr>
      <t>(Urgente &lt; 8 H/H)
(Normal &lt; 40 H/H)</t>
    </r>
  </si>
  <si>
    <t>Evolutiva Pequeña</t>
  </si>
  <si>
    <t>Evolutiva Mediana</t>
  </si>
  <si>
    <t>Evolutiva Grande</t>
  </si>
  <si>
    <t>Estado</t>
  </si>
  <si>
    <t>Pequeña
(&lt;=32 H/H)</t>
  </si>
  <si>
    <t>Mediana
(33 a 176 H/H)</t>
  </si>
  <si>
    <t>Grande
(177 a 352 H/H)</t>
  </si>
  <si>
    <t>Información sobre la Orden de Trabajo (OT) y el resultado de la evaluación</t>
  </si>
  <si>
    <t>Entregables acordados</t>
  </si>
  <si>
    <t>Requiere actualizarlo cuando ya exista</t>
  </si>
  <si>
    <t>Se convertira en Necesario a partir de Junio 2008. Requiere actualizarlo cuando ya exista</t>
  </si>
  <si>
    <t>Observaciones</t>
  </si>
  <si>
    <t>Requiere actualizarlo cuando ya exista.
Para OT´s grandes, en caso de no existir debe crearse si corresponde.</t>
  </si>
  <si>
    <t>Extracción de Datos</t>
  </si>
  <si>
    <t>Recursos</t>
  </si>
  <si>
    <t>% Dedicación</t>
  </si>
  <si>
    <t>De</t>
  </si>
  <si>
    <t>A</t>
  </si>
  <si>
    <t>Fechas de compromiso requeridas (por el Consultor) para</t>
  </si>
  <si>
    <t>Revisión y Aprobación de Análisis</t>
  </si>
  <si>
    <t>Revisión y Aprobación de Diseño</t>
  </si>
  <si>
    <t>Duración de Atención de OT (en días x parte de la fabrica)</t>
  </si>
  <si>
    <t>Línea de producción que evaluó la OT</t>
  </si>
  <si>
    <t>Tipo de OT (Evolutiva, Correctiva, Extracción de Datos, Proyecto, Evaluación)</t>
  </si>
  <si>
    <t>Breve descripción de la OT</t>
  </si>
  <si>
    <t>Prioridad de la OT (según lo registrado por el Consultor), pueden ser: normal, urgente o despriorizada</t>
  </si>
  <si>
    <t>Esfuerzo estimado para el análisis y diseño en Horas/Hombre.
Asimismo se deberá indicar la fecha de inicio y fin para esta actividad.</t>
  </si>
  <si>
    <t>Estimación H/H</t>
  </si>
  <si>
    <t>Actividades (a ser aprobado por el Consultor)</t>
  </si>
  <si>
    <t>Campo en el que se ingresa el número de H/H requeridos para la realización de las actividades programadas.</t>
  </si>
  <si>
    <t>De        A</t>
  </si>
  <si>
    <t>Este campo refiere a la fecha de inicio y fin en la que se realizarán las actividades para la atención de al OT</t>
  </si>
  <si>
    <t>CRONOGRAMA DE ACTIVIDADES:</t>
  </si>
  <si>
    <t>GENERAL:</t>
  </si>
  <si>
    <t>Cronograma de Actividades</t>
  </si>
  <si>
    <t>En este campo (espacio) se coloca un print screen del cronograma correspondiente a la OT indicada.</t>
  </si>
  <si>
    <t>Sssss</t>
  </si>
  <si>
    <t>Este artefacto lo debe realizar otro analista programador, diferente al que desarrolló el requerimiento.</t>
  </si>
  <si>
    <t>Ramiro Cometivos</t>
  </si>
  <si>
    <t>Eddy Hernani</t>
  </si>
  <si>
    <t>Marlene Morales</t>
  </si>
  <si>
    <t>Carmen Santa Cruz</t>
  </si>
  <si>
    <t>César Villar</t>
  </si>
  <si>
    <t>Analista de Calidad</t>
  </si>
  <si>
    <t>Revisión por AFP</t>
  </si>
  <si>
    <t>Alicia Pineda</t>
  </si>
  <si>
    <t>Cynthia Aniya</t>
  </si>
  <si>
    <t>Esfuerzo estimado para la realización de las pruebas internas en Horas/Hombre.
En este campo estará incluido el tiempo requeridos para la realización de las siguientes pruebas:
1. Pruebas de calidad.
2. Pruebas Internas (Pruebas Funcionales)
3. QA Técnico (uso de los Checklist de QA)
4. QA de Proceso
5. Testing
Asimismo se deberá indicar la fecha de inicio y fin para esta actividad.
Esta actividad es realizada por recursos  diferentes a los que realizan la construcción.</t>
  </si>
  <si>
    <t>Esfuerzo estimado para la construcción en Horas/Hombre.  Debe coincidir con las horas indicadas en la LR.
Asimismo se deberá indicar la fecha de inicio y fin para esta actividad.</t>
  </si>
  <si>
    <t>Elaboración y entrega de Escenarios de Pruebas</t>
  </si>
  <si>
    <t>Se define la fecha máxima de entrega de los Escenarios de Pruebas por parte del consultor a la fábrica</t>
  </si>
  <si>
    <t>Se deberá indicar el Consultor "Solicita" o "no Solicita" la aprobación de la fase de evaluación, se obtiene de Harvest</t>
  </si>
  <si>
    <t>Se deberá indicar el Consultor "Solicita" o "no Solicita" la aprobación de la fase de análisis, se obtiene de Harvest</t>
  </si>
  <si>
    <t>Se deberá indicar el Consultor "Solicita" o "no Solicita" la aprobación de la fase de diseño, se obtiene de Harvest</t>
  </si>
  <si>
    <t>Estimación total en Horas/Hombre de la atención de la OT (sumatoria de los esfuerzos de análisis / diseño, construcción y pruebas internas).
Como referencia se puede usar la "Calculadora de Estimaciones" colocando el total de horas de construcción. Se mostrará automáticamente el total estimado para el análisis y la realización de pruebas internas y testing.
Asimismo se mostrará la fecha de inicio y fin de la atención de la OT. 
Se debe considerar el esfuerzo total, como si se trabajara con un solo recurso</t>
  </si>
  <si>
    <t>Se define la fecha tentativa del inicio y fin para la revisión y aprobación del análisis por parte del consultor</t>
  </si>
  <si>
    <t>Se define la fecha tentativa del inicio y fin de la revisión y aprobación del diseño por parte del consultor</t>
  </si>
  <si>
    <t>Se define la duración total en número de días del tiempo que demorará la atención de la OT, desde el Análisis hasta la Entrega de la misma, la cual dependerá de la cantidad de recursos involucrados en la OT.  Esta información debe coincidir con la duración indicada en el cronograma</t>
  </si>
  <si>
    <t>En esta columna se realiza el acuerdo de los entregables:
Si: En caso se requiera el entregable
No: En caso no se considere necesario</t>
  </si>
  <si>
    <t xml:space="preserve">Este tipo de OT´s se consideran como "Pequeñas" cuando su atención requiere  &lt;= 4 días/hombre ó &lt;= 32 horas/hombre.
Se activará en la hoja "Entregables" una columna de color naranja, cada que le corresponda.
Se considera como "necesario" la generación de los siguientes artefactos:
7.3.1.01.R07 Plantilla Plan de OT
7.7.5.1.01.R01 Plantilla de lista maestra de requerimientos para mantenimiento.xls
7.7.1.2.1.R05 Modelo de diseño
7.7.1.2.1.R10 Pase a Pruebas.doc
7.7.1.2.1.R08 Casos de prueba.xls
8.6.2.R03 Realiza Peer Review.xls
Y opcional a los siguientes artefactos:
7.7.1.2.1.R01 Caso de Uso.doc
</t>
  </si>
  <si>
    <t>Este tipo de OT´s se consideran como "Mediana" cuando su atención requiere entre 5 a 22 días/hombre ó 33 a 176 horas/hombre.
Se activará en la hoja "Entregables" una columna de color naranja, cada que le corresponda.
Se considera como "necesario" la generación de los siguientes artefactos:
7.3.1.01.R07 Plantilla Plan de OT
7.7.5.1.01.R01 Plantilla de lista maestra de requerimientos para mantenimiento.xls
7.7.1.2.1.R05 Modelo de diseño
7.7.1.2.1.R08 Casos de prueba.xls
7.7.1.2.1.R10 Pase a Pruebas.doc
8.6.2.R03 Realiza Peer Review.xls
Y opcional a los siguientes artefactos:
7.7.1.2.1.R01 Caso de Uso.doc
7.7.1.2.1.R07 Modelo de datos.doc</t>
  </si>
  <si>
    <t>Este tipo de OT´s se consideran como "Grande" cuando su atención requiere entre 23 a 44 días/hombre ó 177 a 352 horas/hombre.
Se activará en la hoja "Entregables" una columna de color naranja, cada que le corresponda.
Se considera como "necesario" la generación de los siguientes artefactos:
7.3.1.01.R07 Plantilla Plan de OT
7.7.5.1.01.R01 Plantilla de lista maestra de requerimientos para mantenimiento.xls
7.7.1.2.1.R05 Modelo de diseño.doc
7.7.1.2.1.R08 Casos de prueba.xls
7.7.1.2.1.R10 Pase a Pruebas.doc
8.6.2.R03 Realiza Peer Review.xls
Y opcional a los siguientes artefactos:
7.7.1.2.1.R01 Caso de Uso.doc
7.7.1.2.1.R03/04 Modelo de análisis.doc
7.7.1.2.1.R07 Modelo de datos.doc
7.7.1.2.1.R11 Manual de Usuario.doc
7.7.1.2.1.R12 Manual de Operación.doc</t>
  </si>
  <si>
    <t>Esta hoja detalla los cambios realizados en el documento</t>
  </si>
  <si>
    <t>Si</t>
  </si>
  <si>
    <t>Item</t>
  </si>
  <si>
    <t>No</t>
  </si>
  <si>
    <t>Columna que muestra el listado de artefactos (interfaces) que se usarán o no en la atención de la OT</t>
  </si>
  <si>
    <t>Opción</t>
  </si>
  <si>
    <t>OC</t>
  </si>
  <si>
    <t>Gissela Mancilla</t>
  </si>
  <si>
    <t>Plantilla Plan de OT</t>
  </si>
  <si>
    <t>Autor_Registro</t>
  </si>
  <si>
    <t>Equipo Desarrollo</t>
  </si>
  <si>
    <t>Diego Mori</t>
  </si>
  <si>
    <t>Jim Maguhn</t>
  </si>
  <si>
    <t>Número de la Orden de Cambio</t>
  </si>
  <si>
    <t>Contiene Prioridades de una O/T, Líneas, Solicitud, Tipo OT,y Autor de registro.</t>
  </si>
  <si>
    <t>HISTORIAL DE LAS REVISIONES</t>
  </si>
  <si>
    <t>Fecha</t>
  </si>
  <si>
    <t>Autor</t>
  </si>
  <si>
    <t>Responsable de Revisión y/o Aprobación</t>
  </si>
  <si>
    <t>En revisión</t>
  </si>
  <si>
    <t>Aprobado</t>
  </si>
  <si>
    <t>Se agregó último logo de GMD, campo OC y datos de los líderes o Equipo Desarrollo.</t>
  </si>
  <si>
    <t>Se agrega el Historial_Revisiones (versionamiento de la plantilla).</t>
  </si>
  <si>
    <t>Creación de la plantilla.</t>
  </si>
  <si>
    <t>Equipo Implementador SWF</t>
  </si>
  <si>
    <t>Revisores</t>
  </si>
  <si>
    <t>Versión Aprobada</t>
  </si>
  <si>
    <t>Nombre</t>
  </si>
  <si>
    <t>Cargo / Rol</t>
  </si>
  <si>
    <t>Referencia del Cambio</t>
  </si>
  <si>
    <t>Equipo Calidad</t>
  </si>
  <si>
    <t>Se agrega la hoja con el Registro de Cambio y Revisores</t>
  </si>
  <si>
    <t>Versión: 4.0</t>
  </si>
  <si>
    <t>Fecha: 03/04/2014</t>
  </si>
  <si>
    <t>Mónica Marallano</t>
  </si>
  <si>
    <t>María Torres</t>
  </si>
  <si>
    <t>William Ccucho</t>
  </si>
  <si>
    <t>Homologación de Fuentes</t>
  </si>
  <si>
    <t>Requiere homologación</t>
  </si>
  <si>
    <t>EVIDENCIAS:</t>
  </si>
  <si>
    <t>Se deberá indicar si la OT requiere la homologación de fuentes.</t>
  </si>
  <si>
    <t>Hoja "Verificación Fuentes"</t>
  </si>
  <si>
    <t>Evidencias</t>
  </si>
  <si>
    <t>En esta hoja se colocarán la(s) pantalla(s) de la validación de fuentes con producción.</t>
  </si>
  <si>
    <t>Edgar Lopez</t>
  </si>
  <si>
    <t>Juan Castro</t>
  </si>
  <si>
    <t>Carla Avendaño</t>
  </si>
  <si>
    <t>Carlos Cardenas</t>
  </si>
  <si>
    <t>Luis Marcilla</t>
  </si>
  <si>
    <t>Fabiola Diaz</t>
  </si>
  <si>
    <t>Ana Silvonio</t>
  </si>
  <si>
    <t>Luis Polo</t>
  </si>
  <si>
    <t>Nicanor Vega</t>
  </si>
  <si>
    <t>Recomendable para orientado a objetos. Requiere actualizarlo cuando ya exista</t>
  </si>
  <si>
    <t>No aplica</t>
  </si>
  <si>
    <t>DS.F.187  ICO-Modelo de Diseño_INTEGRA</t>
  </si>
  <si>
    <t>DS.F.188  ICO-Plan de OT_INTEGRA</t>
  </si>
  <si>
    <t>DS.F.178  ICO-Lista Maestra de Requerimientos_INTEGRA</t>
  </si>
  <si>
    <t>DS.F.185  ICO-Modelo de Análisis_INTEGRA</t>
  </si>
  <si>
    <t>DS.F.186  ICO-Modelo de Datos_INTEGRA</t>
  </si>
  <si>
    <t>DS.F.176  ICO-Casos de Prueba_INTEGRA</t>
  </si>
  <si>
    <t>Pase a Pruebas</t>
  </si>
  <si>
    <t>DS.F.184  ICO-Manual de Usuario_INTEGRA</t>
  </si>
  <si>
    <t>DS.F.183  ICO-Manual de Operación_INTEGRA</t>
  </si>
  <si>
    <t>DS.F.190  REV-Realiza Peer Review_INTEGRA</t>
  </si>
  <si>
    <t>DS.F.202 ICO-Caso de Uso_INTEGRA</t>
  </si>
  <si>
    <t>PROCESO DE INGENIERÍA</t>
  </si>
  <si>
    <t>CONFIDENCIAL</t>
  </si>
  <si>
    <t>Versión: 2.0</t>
  </si>
  <si>
    <t>Fecha:  07/05/2019</t>
  </si>
  <si>
    <t>DS.F.182  ICO-Manual de Instalacion_INTEGRA.doc</t>
  </si>
  <si>
    <t>DS.F.192  ICO-Solicitud de Pase AS400_INTEGRA</t>
  </si>
  <si>
    <t>Creación de Documento</t>
  </si>
  <si>
    <t>No requiere homologación por que todos los componentes son nuevos.</t>
  </si>
  <si>
    <t>Manuel Zapata</t>
  </si>
  <si>
    <t>Comienzo</t>
  </si>
  <si>
    <t xml:space="preserve">   Total</t>
  </si>
  <si>
    <t>Análisis y Diseño</t>
  </si>
  <si>
    <t>N° OT</t>
  </si>
  <si>
    <t>Duración (Días)</t>
  </si>
  <si>
    <t>QA</t>
  </si>
  <si>
    <t>Documentación</t>
  </si>
  <si>
    <t xml:space="preserve">Análisis y Diseño </t>
  </si>
  <si>
    <t>|</t>
  </si>
  <si>
    <t>GOG-5577</t>
  </si>
  <si>
    <t>CREACION DE PEDIDOS</t>
  </si>
  <si>
    <t>GOG-7089</t>
  </si>
  <si>
    <t>GOC-7092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</si>
</sst>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ddd\ dd/mm/yy"/>
    <numFmt numFmtId="165" formatCode="dd"/>
    <numFmt numFmtId="166" formatCode="0.0"/>
    <numFmt numFmtId="167" formatCode="_([$€]\ * #,##0.00_);_([$€]\ * \(#,##0.00\);_([$€]\ * &quot;-&quot;??_);_(@_)"/>
  </numFmts>
  <fonts count="33">
    <font>
      <sz val="10"/>
      <name val="Arial"/>
    </font>
    <font>
      <sz val="11"/>
      <color theme="1"/>
      <name val="Calibri"/>
      <family val="2"/>
      <scheme val="minor"/>
    </font>
    <font>
      <sz val="11"/>
      <color theme="1"/>
      <name val="Calibri"/>
      <family val="2"/>
      <scheme val="minor"/>
    </font>
    <font>
      <sz val="10"/>
      <name val="Arial"/>
      <family val="2"/>
    </font>
    <font>
      <sz val="9"/>
      <color indexed="10"/>
      <name val="Geneva"/>
      <family val="2"/>
    </font>
    <font>
      <sz val="8"/>
      <name val="Arial"/>
      <family val="2"/>
    </font>
    <font>
      <b/>
      <sz val="10"/>
      <name val="Arial"/>
      <family val="2"/>
    </font>
    <font>
      <sz val="9"/>
      <name val="Geneva"/>
      <family val="2"/>
    </font>
    <font>
      <sz val="10"/>
      <name val="Arial"/>
      <family val="2"/>
    </font>
    <font>
      <sz val="9"/>
      <color indexed="10"/>
      <name val="Arial"/>
      <family val="2"/>
    </font>
    <font>
      <sz val="10"/>
      <name val="Arial"/>
      <family val="2"/>
    </font>
    <font>
      <b/>
      <sz val="10"/>
      <name val="Arial"/>
      <family val="2"/>
    </font>
    <font>
      <sz val="10"/>
      <name val="Arial"/>
      <family val="2"/>
    </font>
    <font>
      <sz val="9"/>
      <name val="Arial"/>
      <family val="2"/>
    </font>
    <font>
      <b/>
      <sz val="8"/>
      <color indexed="81"/>
      <name val="Tahoma"/>
      <family val="2"/>
    </font>
    <font>
      <sz val="10"/>
      <color indexed="10"/>
      <name val="Arial"/>
      <family val="2"/>
    </font>
    <font>
      <sz val="20"/>
      <color indexed="10"/>
      <name val="Geneva"/>
      <family val="2"/>
    </font>
    <font>
      <sz val="8"/>
      <color indexed="10"/>
      <name val="Arial"/>
      <family val="2"/>
    </font>
    <font>
      <b/>
      <sz val="10"/>
      <color indexed="81"/>
      <name val="Tahoma"/>
      <family val="2"/>
    </font>
    <font>
      <b/>
      <sz val="12"/>
      <name val="Arial"/>
      <family val="2"/>
    </font>
    <font>
      <sz val="10"/>
      <color indexed="10"/>
      <name val="Arial Narrow"/>
      <family val="2"/>
    </font>
    <font>
      <b/>
      <sz val="10"/>
      <color indexed="12"/>
      <name val="Arial"/>
      <family val="2"/>
    </font>
    <font>
      <sz val="10"/>
      <color rgb="FF000000"/>
      <name val="Arial"/>
      <family val="2"/>
    </font>
    <font>
      <b/>
      <sz val="9"/>
      <name val="Arial"/>
      <family val="2"/>
    </font>
    <font>
      <sz val="9"/>
      <color indexed="12"/>
      <name val="Arial"/>
      <family val="2"/>
    </font>
    <font>
      <b/>
      <sz val="9"/>
      <color indexed="12"/>
      <name val="Arial"/>
      <family val="2"/>
    </font>
    <font>
      <b/>
      <u/>
      <sz val="9"/>
      <name val="Arial"/>
      <family val="2"/>
    </font>
    <font>
      <sz val="9"/>
      <color indexed="10"/>
      <name val="Geneva"/>
      <family val="2"/>
    </font>
    <font>
      <sz val="9"/>
      <color indexed="10"/>
      <name val="Geneva"/>
    </font>
    <font>
      <sz val="10"/>
      <color rgb="FF3333CC"/>
      <name val="Arial"/>
      <family val="2"/>
    </font>
    <font>
      <b/>
      <sz val="10"/>
      <color theme="0"/>
      <name val="Arial"/>
      <family val="2"/>
    </font>
    <font>
      <b/>
      <sz val="10"/>
      <color rgb="FF363636"/>
      <name val="Segoe UI"/>
      <family val="2"/>
    </font>
    <font>
      <b/>
      <sz val="11"/>
      <color rgb="FF000000"/>
      <name val="Calibri"/>
      <family val="2"/>
      <scheme val="minor"/>
    </font>
  </fonts>
  <fills count="11">
    <fill>
      <patternFill patternType="none"/>
    </fill>
    <fill>
      <patternFill patternType="gray125"/>
    </fill>
    <fill>
      <patternFill patternType="solid">
        <fgColor indexed="22"/>
        <bgColor indexed="64"/>
      </patternFill>
    </fill>
    <fill>
      <patternFill patternType="solid">
        <fgColor indexed="55"/>
        <bgColor indexed="64"/>
      </patternFill>
    </fill>
    <fill>
      <patternFill patternType="solid">
        <fgColor indexed="9"/>
        <bgColor indexed="64"/>
      </patternFill>
    </fill>
    <fill>
      <patternFill patternType="solid">
        <fgColor indexed="9"/>
        <bgColor indexed="19"/>
      </patternFill>
    </fill>
    <fill>
      <patternFill patternType="solid">
        <fgColor theme="0" tint="-0.14999847407452621"/>
        <bgColor indexed="64"/>
      </patternFill>
    </fill>
    <fill>
      <patternFill patternType="solid">
        <fgColor indexed="22"/>
        <bgColor indexed="22"/>
      </patternFill>
    </fill>
    <fill>
      <patternFill patternType="solid">
        <fgColor rgb="FF000000"/>
        <bgColor indexed="64"/>
      </patternFill>
    </fill>
    <fill>
      <patternFill patternType="solid">
        <fgColor rgb="FFDFE3E8"/>
        <bgColor indexed="64"/>
      </patternFill>
    </fill>
    <fill>
      <patternFill patternType="solid">
        <fgColor theme="3" tint="0.79998168889431442"/>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top style="thin">
        <color indexed="64"/>
      </top>
      <bottom style="thin">
        <color indexed="64"/>
      </bottom>
      <diagonal/>
    </border>
    <border>
      <left style="thin">
        <color indexed="64"/>
      </left>
      <right style="thin">
        <color indexed="64"/>
      </right>
      <top/>
      <bottom/>
      <diagonal/>
    </border>
    <border>
      <left style="thin">
        <color indexed="64"/>
      </left>
      <right style="thin">
        <color indexed="62"/>
      </right>
      <top style="thin">
        <color indexed="64"/>
      </top>
      <bottom style="thin">
        <color indexed="64"/>
      </bottom>
      <diagonal/>
    </border>
    <border>
      <left style="thin">
        <color indexed="62"/>
      </left>
      <right style="thin">
        <color indexed="62"/>
      </right>
      <top style="thin">
        <color indexed="64"/>
      </top>
      <bottom style="thin">
        <color indexed="64"/>
      </bottom>
      <diagonal/>
    </border>
    <border>
      <left style="thin">
        <color indexed="62"/>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s>
  <cellStyleXfs count="38">
    <xf numFmtId="0" fontId="0" fillId="0" borderId="0"/>
    <xf numFmtId="0" fontId="10" fillId="0" borderId="0"/>
    <xf numFmtId="0" fontId="3" fillId="0" borderId="0"/>
    <xf numFmtId="0" fontId="4" fillId="0" borderId="0"/>
    <xf numFmtId="0" fontId="4" fillId="0" borderId="0"/>
    <xf numFmtId="0" fontId="3" fillId="0" borderId="0"/>
    <xf numFmtId="0" fontId="4" fillId="0" borderId="0"/>
    <xf numFmtId="0" fontId="3" fillId="0" borderId="0"/>
    <xf numFmtId="0" fontId="3" fillId="0" borderId="0"/>
    <xf numFmtId="0" fontId="3" fillId="0" borderId="0"/>
    <xf numFmtId="0" fontId="27" fillId="0" borderId="0"/>
    <xf numFmtId="0" fontId="3" fillId="0" borderId="0"/>
    <xf numFmtId="0" fontId="3" fillId="0" borderId="0"/>
    <xf numFmtId="0" fontId="4" fillId="0" borderId="0"/>
    <xf numFmtId="0" fontId="3" fillId="0" borderId="0"/>
    <xf numFmtId="0" fontId="3" fillId="0" borderId="0"/>
    <xf numFmtId="0" fontId="3" fillId="0" borderId="0"/>
    <xf numFmtId="0" fontId="3" fillId="0" borderId="0"/>
    <xf numFmtId="0" fontId="4" fillId="0" borderId="0"/>
    <xf numFmtId="0" fontId="3" fillId="0" borderId="0"/>
    <xf numFmtId="167" fontId="4" fillId="0" borderId="0" applyFont="0" applyFill="0" applyBorder="0" applyAlignment="0" applyProtection="0"/>
    <xf numFmtId="0" fontId="3" fillId="0" borderId="0"/>
    <xf numFmtId="0" fontId="2" fillId="0" borderId="0"/>
    <xf numFmtId="0" fontId="2" fillId="0" borderId="0"/>
    <xf numFmtId="0" fontId="2" fillId="0" borderId="0"/>
    <xf numFmtId="0" fontId="2" fillId="0" borderId="0"/>
    <xf numFmtId="9" fontId="3" fillId="0" borderId="0" applyFont="0" applyFill="0" applyBorder="0" applyAlignment="0" applyProtection="0"/>
    <xf numFmtId="9" fontId="3" fillId="0" borderId="0" applyFont="0" applyFill="0" applyBorder="0" applyAlignment="0" applyProtection="0"/>
    <xf numFmtId="0" fontId="4" fillId="0" borderId="0"/>
    <xf numFmtId="0" fontId="3" fillId="0" borderId="0"/>
    <xf numFmtId="0" fontId="4" fillId="0" borderId="0"/>
    <xf numFmtId="0" fontId="4" fillId="0" borderId="0"/>
    <xf numFmtId="0" fontId="3" fillId="0" borderId="0"/>
    <xf numFmtId="0" fontId="28" fillId="0" borderId="0"/>
    <xf numFmtId="0" fontId="1" fillId="0" borderId="0"/>
    <xf numFmtId="0" fontId="1" fillId="0" borderId="0"/>
    <xf numFmtId="0" fontId="1" fillId="0" borderId="0"/>
    <xf numFmtId="0" fontId="1" fillId="0" borderId="0"/>
  </cellStyleXfs>
  <cellXfs count="325">
    <xf numFmtId="0" fontId="0" fillId="0" borderId="0" xfId="0"/>
    <xf numFmtId="0" fontId="6" fillId="2" borderId="1" xfId="4" applyFont="1" applyFill="1" applyBorder="1" applyAlignment="1">
      <alignment horizontal="center" vertical="center"/>
    </xf>
    <xf numFmtId="0" fontId="7" fillId="0" borderId="1" xfId="4" applyFont="1" applyBorder="1"/>
    <xf numFmtId="0" fontId="8" fillId="0" borderId="1" xfId="1" applyFont="1" applyFill="1" applyBorder="1" applyAlignment="1">
      <alignment vertical="center" wrapText="1"/>
    </xf>
    <xf numFmtId="0" fontId="6" fillId="0" borderId="0" xfId="1" applyFont="1"/>
    <xf numFmtId="0" fontId="8" fillId="0" borderId="0" xfId="1" applyFont="1"/>
    <xf numFmtId="0" fontId="13" fillId="0" borderId="1" xfId="4" applyFont="1" applyBorder="1"/>
    <xf numFmtId="0" fontId="6" fillId="0" borderId="0" xfId="1" applyFont="1" applyAlignment="1">
      <alignment vertical="center"/>
    </xf>
    <xf numFmtId="0" fontId="8" fillId="0" borderId="1" xfId="1" applyFont="1" applyFill="1" applyBorder="1" applyAlignment="1">
      <alignment horizontal="center" vertical="center" wrapText="1"/>
    </xf>
    <xf numFmtId="9" fontId="8" fillId="0" borderId="1" xfId="1" applyNumberFormat="1" applyFont="1" applyFill="1" applyBorder="1" applyAlignment="1">
      <alignment horizontal="center" vertical="center" wrapText="1"/>
    </xf>
    <xf numFmtId="0" fontId="10" fillId="0" borderId="0" xfId="1" applyFont="1" applyAlignment="1">
      <alignment vertical="center"/>
    </xf>
    <xf numFmtId="3" fontId="10" fillId="0" borderId="0" xfId="1" applyNumberFormat="1" applyFont="1" applyAlignment="1">
      <alignment vertical="center"/>
    </xf>
    <xf numFmtId="0" fontId="10" fillId="0" borderId="0" xfId="1" applyFont="1" applyAlignment="1">
      <alignment horizontal="center" vertical="center"/>
    </xf>
    <xf numFmtId="0" fontId="3" fillId="0" borderId="0" xfId="1" applyFont="1" applyAlignment="1">
      <alignment vertical="center"/>
    </xf>
    <xf numFmtId="0" fontId="12" fillId="0" borderId="0" xfId="1" applyFont="1" applyAlignment="1">
      <alignment vertical="center"/>
    </xf>
    <xf numFmtId="3" fontId="12" fillId="0" borderId="0" xfId="1" applyNumberFormat="1" applyFont="1" applyAlignment="1">
      <alignment vertical="center"/>
    </xf>
    <xf numFmtId="0" fontId="8" fillId="0" borderId="0" xfId="1" applyFont="1" applyAlignment="1">
      <alignment vertical="center"/>
    </xf>
    <xf numFmtId="0" fontId="19" fillId="0" borderId="0" xfId="1" applyFont="1" applyAlignment="1">
      <alignment vertical="center"/>
    </xf>
    <xf numFmtId="16" fontId="8" fillId="0" borderId="0" xfId="1" applyNumberFormat="1" applyFont="1" applyAlignment="1">
      <alignment vertical="center"/>
    </xf>
    <xf numFmtId="14" fontId="10" fillId="0" borderId="0" xfId="1" applyNumberFormat="1" applyFont="1" applyAlignment="1">
      <alignment vertical="center"/>
    </xf>
    <xf numFmtId="165" fontId="10" fillId="0" borderId="0" xfId="1" applyNumberFormat="1" applyFont="1" applyAlignment="1">
      <alignment vertical="center"/>
    </xf>
    <xf numFmtId="0" fontId="20" fillId="0" borderId="0" xfId="0" applyFont="1"/>
    <xf numFmtId="0" fontId="10" fillId="0" borderId="1" xfId="1" applyNumberFormat="1" applyFont="1" applyFill="1" applyBorder="1" applyAlignment="1">
      <alignment horizontal="center" vertical="center"/>
    </xf>
    <xf numFmtId="0" fontId="10" fillId="0" borderId="1" xfId="1" applyFont="1" applyFill="1" applyBorder="1" applyAlignment="1">
      <alignment horizontal="center" vertical="center"/>
    </xf>
    <xf numFmtId="4" fontId="0" fillId="0" borderId="1" xfId="1" applyNumberFormat="1" applyFont="1" applyFill="1" applyBorder="1" applyAlignment="1">
      <alignment horizontal="center" vertical="center"/>
    </xf>
    <xf numFmtId="164" fontId="8" fillId="0" borderId="1" xfId="1" applyNumberFormat="1" applyFont="1" applyFill="1" applyBorder="1" applyAlignment="1">
      <alignment horizontal="center" vertical="center"/>
    </xf>
    <xf numFmtId="0" fontId="6" fillId="3" borderId="1" xfId="4" applyFont="1" applyFill="1" applyBorder="1" applyAlignment="1">
      <alignment vertical="center" wrapText="1"/>
    </xf>
    <xf numFmtId="0" fontId="6" fillId="3" borderId="1" xfId="4" applyFont="1" applyFill="1" applyBorder="1" applyAlignment="1">
      <alignment horizontal="center" vertical="center" wrapText="1"/>
    </xf>
    <xf numFmtId="4" fontId="21" fillId="0" borderId="1" xfId="1" applyNumberFormat="1" applyFont="1" applyFill="1" applyBorder="1" applyAlignment="1">
      <alignment horizontal="center" vertical="center"/>
    </xf>
    <xf numFmtId="164" fontId="21" fillId="0" borderId="1" xfId="1" applyNumberFormat="1" applyFont="1" applyFill="1" applyBorder="1" applyAlignment="1">
      <alignment horizontal="center" vertical="center"/>
    </xf>
    <xf numFmtId="0" fontId="11" fillId="3" borderId="2" xfId="4" applyFont="1" applyFill="1" applyBorder="1" applyAlignment="1">
      <alignment horizontal="center" vertical="center"/>
    </xf>
    <xf numFmtId="0" fontId="11" fillId="3" borderId="3" xfId="4" applyFont="1" applyFill="1" applyBorder="1" applyAlignment="1">
      <alignment horizontal="center" vertical="center"/>
    </xf>
    <xf numFmtId="0" fontId="21" fillId="0" borderId="1" xfId="4" applyFont="1" applyFill="1" applyBorder="1" applyAlignment="1">
      <alignment horizontal="center" vertical="center"/>
    </xf>
    <xf numFmtId="0" fontId="0" fillId="0" borderId="1" xfId="1" applyFont="1" applyFill="1" applyBorder="1"/>
    <xf numFmtId="3" fontId="21" fillId="0" borderId="1" xfId="1" applyNumberFormat="1" applyFont="1" applyFill="1" applyBorder="1"/>
    <xf numFmtId="164" fontId="0" fillId="0" borderId="1" xfId="1" applyNumberFormat="1" applyFont="1" applyFill="1" applyBorder="1"/>
    <xf numFmtId="0" fontId="6" fillId="2" borderId="1" xfId="1" applyFont="1" applyFill="1" applyBorder="1" applyAlignment="1">
      <alignment horizontal="center" vertical="center"/>
    </xf>
    <xf numFmtId="3" fontId="6" fillId="2" borderId="1" xfId="4" applyNumberFormat="1" applyFont="1" applyFill="1" applyBorder="1" applyAlignment="1">
      <alignment horizontal="center" vertical="center"/>
    </xf>
    <xf numFmtId="3" fontId="6" fillId="2" borderId="1" xfId="4" applyNumberFormat="1" applyFont="1" applyFill="1" applyBorder="1" applyAlignment="1">
      <alignment horizontal="left" vertical="center" wrapText="1"/>
    </xf>
    <xf numFmtId="0" fontId="6" fillId="2" borderId="1" xfId="4" applyFont="1" applyFill="1" applyBorder="1" applyAlignment="1">
      <alignment horizontal="center" vertical="center" wrapText="1"/>
    </xf>
    <xf numFmtId="0" fontId="8" fillId="2" borderId="1" xfId="1" applyFont="1" applyFill="1" applyBorder="1"/>
    <xf numFmtId="0" fontId="0" fillId="2" borderId="1" xfId="1" applyFont="1" applyFill="1" applyBorder="1"/>
    <xf numFmtId="0" fontId="8" fillId="0" borderId="1" xfId="1" applyFont="1" applyFill="1" applyBorder="1" applyAlignment="1" applyProtection="1">
      <alignment horizontal="center" vertical="center" wrapText="1"/>
      <protection locked="0"/>
    </xf>
    <xf numFmtId="0" fontId="6" fillId="0" borderId="0" xfId="1" applyFont="1" applyAlignment="1" applyProtection="1">
      <alignment vertical="center"/>
    </xf>
    <xf numFmtId="0" fontId="6" fillId="0" borderId="0" xfId="1" applyFont="1" applyAlignment="1" applyProtection="1">
      <alignment horizontal="center" vertical="center"/>
    </xf>
    <xf numFmtId="0" fontId="15" fillId="0" borderId="0" xfId="1" applyFont="1" applyAlignment="1" applyProtection="1">
      <alignment horizontal="center" vertical="center"/>
    </xf>
    <xf numFmtId="0" fontId="15" fillId="0" borderId="0" xfId="1" applyFont="1" applyAlignment="1" applyProtection="1">
      <alignment vertical="center"/>
    </xf>
    <xf numFmtId="0" fontId="4" fillId="0" borderId="0" xfId="1" applyFont="1" applyAlignment="1" applyProtection="1">
      <alignment vertical="center"/>
    </xf>
    <xf numFmtId="0" fontId="6" fillId="3" borderId="5" xfId="1" applyFont="1" applyFill="1" applyBorder="1" applyAlignment="1" applyProtection="1">
      <alignment horizontal="center" vertical="center" wrapText="1"/>
    </xf>
    <xf numFmtId="0" fontId="9" fillId="0" borderId="0" xfId="1" applyFont="1" applyAlignment="1" applyProtection="1">
      <alignment vertical="center"/>
    </xf>
    <xf numFmtId="0" fontId="17" fillId="0" borderId="0" xfId="1" applyFont="1" applyAlignment="1" applyProtection="1">
      <alignment vertical="center"/>
    </xf>
    <xf numFmtId="0" fontId="8" fillId="2" borderId="1" xfId="1" applyFont="1" applyFill="1" applyBorder="1" applyAlignment="1" applyProtection="1">
      <alignment vertical="center" wrapText="1"/>
    </xf>
    <xf numFmtId="0" fontId="8" fillId="0" borderId="1" xfId="1" applyFont="1" applyFill="1" applyBorder="1" applyAlignment="1" applyProtection="1">
      <alignment horizontal="center" vertical="center" wrapText="1"/>
    </xf>
    <xf numFmtId="0" fontId="8" fillId="2" borderId="1" xfId="2" applyFont="1" applyFill="1" applyBorder="1" applyAlignment="1" applyProtection="1">
      <alignment horizontal="center" vertical="center"/>
    </xf>
    <xf numFmtId="0" fontId="8" fillId="2" borderId="1" xfId="1" applyFont="1" applyFill="1" applyBorder="1" applyAlignment="1" applyProtection="1">
      <alignment horizontal="center" vertical="center" wrapText="1"/>
    </xf>
    <xf numFmtId="0" fontId="8" fillId="0" borderId="1" xfId="1" applyFont="1" applyFill="1" applyBorder="1" applyAlignment="1" applyProtection="1">
      <alignment vertical="center" wrapText="1"/>
    </xf>
    <xf numFmtId="0" fontId="4" fillId="0" borderId="0" xfId="1" applyFont="1" applyAlignment="1" applyProtection="1">
      <alignment vertical="center" wrapText="1"/>
    </xf>
    <xf numFmtId="0" fontId="4" fillId="0" borderId="0" xfId="1" applyFont="1" applyAlignment="1" applyProtection="1">
      <alignment horizontal="center" vertical="center"/>
    </xf>
    <xf numFmtId="0" fontId="16" fillId="0" borderId="0" xfId="1" applyFont="1" applyAlignment="1" applyProtection="1">
      <alignment horizontal="center" vertical="center"/>
    </xf>
    <xf numFmtId="0" fontId="7" fillId="0" borderId="1" xfId="0" applyFont="1" applyBorder="1"/>
    <xf numFmtId="0" fontId="3" fillId="0" borderId="0" xfId="1" applyFont="1" applyAlignment="1">
      <alignment horizontal="right" vertical="center"/>
    </xf>
    <xf numFmtId="0" fontId="3" fillId="2" borderId="1" xfId="1" applyFont="1" applyFill="1" applyBorder="1" applyAlignment="1" applyProtection="1">
      <alignment vertical="center" wrapText="1"/>
    </xf>
    <xf numFmtId="0" fontId="7" fillId="0" borderId="0" xfId="4" applyFont="1" applyBorder="1"/>
    <xf numFmtId="0" fontId="0" fillId="0" borderId="1" xfId="1" applyNumberFormat="1" applyFont="1" applyFill="1" applyBorder="1" applyAlignment="1" applyProtection="1">
      <alignment horizontal="center" vertical="center"/>
    </xf>
    <xf numFmtId="0" fontId="9" fillId="0" borderId="0" xfId="1" applyFont="1"/>
    <xf numFmtId="0" fontId="13" fillId="0" borderId="1" xfId="1" applyFont="1" applyBorder="1" applyAlignment="1">
      <alignment horizontal="left" vertical="center" wrapText="1" indent="1"/>
    </xf>
    <xf numFmtId="0" fontId="13" fillId="0" borderId="0" xfId="1" applyFont="1" applyBorder="1" applyAlignment="1">
      <alignment horizontal="left" vertical="center" wrapText="1" indent="1"/>
    </xf>
    <xf numFmtId="0" fontId="13" fillId="0" borderId="0" xfId="1" applyFont="1" applyBorder="1" applyAlignment="1">
      <alignment horizontal="left" wrapText="1" indent="1"/>
    </xf>
    <xf numFmtId="0" fontId="9" fillId="0" borderId="0" xfId="4" applyFont="1"/>
    <xf numFmtId="0" fontId="13" fillId="0" borderId="0" xfId="2" applyFont="1"/>
    <xf numFmtId="0" fontId="23" fillId="0" borderId="0" xfId="2" applyFont="1"/>
    <xf numFmtId="0" fontId="13" fillId="0" borderId="1" xfId="2" applyFont="1" applyBorder="1" applyAlignment="1">
      <alignment vertical="top" wrapText="1"/>
    </xf>
    <xf numFmtId="0" fontId="13" fillId="0" borderId="0" xfId="2" applyFont="1" applyAlignment="1">
      <alignment vertical="top" wrapText="1"/>
    </xf>
    <xf numFmtId="0" fontId="13" fillId="0" borderId="0" xfId="2" applyFont="1" applyBorder="1" applyAlignment="1">
      <alignment horizontal="left" vertical="center" wrapText="1"/>
    </xf>
    <xf numFmtId="0" fontId="23" fillId="2" borderId="1" xfId="4" applyFont="1" applyFill="1" applyBorder="1" applyAlignment="1">
      <alignment horizontal="center" vertical="center"/>
    </xf>
    <xf numFmtId="0" fontId="13" fillId="0" borderId="0" xfId="2" applyFont="1" applyAlignment="1">
      <alignment vertical="center" wrapText="1"/>
    </xf>
    <xf numFmtId="0" fontId="13" fillId="0" borderId="0" xfId="2" applyFont="1" applyAlignment="1">
      <alignment horizontal="center"/>
    </xf>
    <xf numFmtId="0" fontId="13" fillId="4" borderId="1" xfId="2" applyFont="1" applyFill="1" applyBorder="1" applyAlignment="1">
      <alignment horizontal="center"/>
    </xf>
    <xf numFmtId="0" fontId="24" fillId="0" borderId="0" xfId="2" applyFont="1" applyAlignment="1">
      <alignment horizontal="center"/>
    </xf>
    <xf numFmtId="0" fontId="13" fillId="2" borderId="1" xfId="2" applyFont="1" applyFill="1" applyBorder="1" applyAlignment="1">
      <alignment horizontal="center"/>
    </xf>
    <xf numFmtId="0" fontId="23" fillId="0" borderId="0" xfId="2" applyFont="1" applyAlignment="1">
      <alignment horizontal="center"/>
    </xf>
    <xf numFmtId="0" fontId="25" fillId="5" borderId="1" xfId="2" applyFont="1" applyFill="1" applyBorder="1" applyAlignment="1">
      <alignment horizontal="center"/>
    </xf>
    <xf numFmtId="0" fontId="23" fillId="4" borderId="1" xfId="3" applyFont="1" applyFill="1" applyBorder="1" applyAlignment="1">
      <alignment horizontal="center" vertical="center" wrapText="1"/>
    </xf>
    <xf numFmtId="0" fontId="23" fillId="0" borderId="0" xfId="2" applyFont="1" applyFill="1" applyAlignment="1">
      <alignment horizontal="center"/>
    </xf>
    <xf numFmtId="0" fontId="23" fillId="0" borderId="0" xfId="3" applyFont="1" applyFill="1" applyBorder="1" applyAlignment="1">
      <alignment horizontal="left" vertical="center" wrapText="1"/>
    </xf>
    <xf numFmtId="0" fontId="13" fillId="0" borderId="0" xfId="2" applyFont="1" applyFill="1"/>
    <xf numFmtId="0" fontId="13" fillId="0" borderId="0" xfId="2" applyFont="1" applyFill="1" applyAlignment="1">
      <alignment horizontal="left" wrapText="1"/>
    </xf>
    <xf numFmtId="0" fontId="23" fillId="2" borderId="1" xfId="1" applyFont="1" applyFill="1" applyBorder="1" applyAlignment="1">
      <alignment horizontal="center" vertical="center" wrapText="1"/>
    </xf>
    <xf numFmtId="0" fontId="13" fillId="0" borderId="0" xfId="0" applyFont="1"/>
    <xf numFmtId="0" fontId="13" fillId="0" borderId="1" xfId="2" applyFont="1" applyBorder="1" applyAlignment="1">
      <alignment horizontal="left" vertical="top"/>
    </xf>
    <xf numFmtId="0" fontId="13" fillId="0" borderId="1" xfId="2" applyFont="1" applyBorder="1" applyAlignment="1">
      <alignment horizontal="left" vertical="center" wrapText="1"/>
    </xf>
    <xf numFmtId="0" fontId="13" fillId="0" borderId="1" xfId="2" applyFont="1" applyBorder="1" applyAlignment="1">
      <alignment horizontal="left" vertical="top" wrapText="1"/>
    </xf>
    <xf numFmtId="0" fontId="13" fillId="0" borderId="0" xfId="5" applyFont="1"/>
    <xf numFmtId="0" fontId="23" fillId="0" borderId="0" xfId="2" applyFont="1" applyFill="1" applyBorder="1" applyAlignment="1">
      <alignment horizontal="left" vertical="center" wrapText="1" indent="2"/>
    </xf>
    <xf numFmtId="0" fontId="13" fillId="0" borderId="0" xfId="2" applyFont="1" applyFill="1" applyAlignment="1">
      <alignment vertical="top"/>
    </xf>
    <xf numFmtId="0" fontId="13" fillId="0" borderId="0" xfId="2" applyFont="1" applyFill="1" applyAlignment="1">
      <alignment vertical="center"/>
    </xf>
    <xf numFmtId="0" fontId="13" fillId="0" borderId="0" xfId="2" applyFont="1" applyFill="1" applyAlignment="1">
      <alignment horizontal="left"/>
    </xf>
    <xf numFmtId="0" fontId="23" fillId="0" borderId="0" xfId="2" applyFont="1" applyFill="1" applyAlignment="1">
      <alignment horizontal="left" indent="6"/>
    </xf>
    <xf numFmtId="0" fontId="23" fillId="0" borderId="0" xfId="2" applyFont="1" applyFill="1" applyBorder="1" applyAlignment="1">
      <alignment vertical="center" wrapText="1"/>
    </xf>
    <xf numFmtId="0" fontId="13" fillId="0" borderId="0" xfId="5" applyFont="1" applyFill="1"/>
    <xf numFmtId="0" fontId="23" fillId="0" borderId="0" xfId="2" applyFont="1" applyFill="1" applyBorder="1" applyAlignment="1">
      <alignment horizontal="left" vertical="top" wrapText="1"/>
    </xf>
    <xf numFmtId="0" fontId="13" fillId="0" borderId="0" xfId="2" applyFont="1" applyAlignment="1">
      <alignment horizontal="left" vertical="top" indent="3"/>
    </xf>
    <xf numFmtId="0" fontId="13" fillId="0" borderId="0" xfId="2" applyFont="1" applyAlignment="1">
      <alignment vertical="center"/>
    </xf>
    <xf numFmtId="0" fontId="13" fillId="0" borderId="0" xfId="2" applyFont="1" applyFill="1" applyAlignment="1">
      <alignment horizontal="left" vertical="center" indent="1"/>
    </xf>
    <xf numFmtId="0" fontId="23" fillId="0" borderId="0" xfId="5" applyFont="1" applyFill="1" applyAlignment="1">
      <alignment horizontal="left" indent="2"/>
    </xf>
    <xf numFmtId="0" fontId="13" fillId="0" borderId="0" xfId="5" applyFont="1" applyFill="1" applyAlignment="1"/>
    <xf numFmtId="0" fontId="23" fillId="0" borderId="0" xfId="2" applyFont="1" applyFill="1" applyAlignment="1">
      <alignment horizontal="left" vertical="center" indent="3"/>
    </xf>
    <xf numFmtId="0" fontId="13" fillId="0" borderId="0" xfId="2" applyFont="1" applyFill="1" applyAlignment="1"/>
    <xf numFmtId="0" fontId="23" fillId="0" borderId="0" xfId="5" applyFont="1" applyFill="1" applyAlignment="1">
      <alignment horizontal="left" vertical="center" indent="1"/>
    </xf>
    <xf numFmtId="0" fontId="23" fillId="0" borderId="0" xfId="2" applyFont="1" applyFill="1" applyAlignment="1">
      <alignment horizontal="left" vertical="top" indent="2"/>
    </xf>
    <xf numFmtId="0" fontId="13" fillId="0" borderId="0" xfId="2" applyFont="1" applyFill="1" applyAlignment="1">
      <alignment horizontal="left" indent="2"/>
    </xf>
    <xf numFmtId="0" fontId="13" fillId="0" borderId="0" xfId="2" applyFont="1" applyFill="1" applyAlignment="1">
      <alignment horizontal="left" vertical="center" wrapText="1" indent="5"/>
    </xf>
    <xf numFmtId="0" fontId="23" fillId="0" borderId="0" xfId="2" applyFont="1" applyFill="1" applyAlignment="1">
      <alignment horizontal="right" vertical="top" indent="3"/>
    </xf>
    <xf numFmtId="0" fontId="13" fillId="0" borderId="0" xfId="2" applyFont="1" applyFill="1" applyAlignment="1">
      <alignment horizontal="right" vertical="top" indent="3"/>
    </xf>
    <xf numFmtId="0" fontId="23" fillId="0" borderId="0" xfId="2" applyFont="1" applyFill="1" applyAlignment="1">
      <alignment horizontal="right" vertical="top"/>
    </xf>
    <xf numFmtId="0" fontId="13" fillId="0" borderId="0" xfId="2" applyFont="1" applyFill="1" applyAlignment="1">
      <alignment horizontal="right"/>
    </xf>
    <xf numFmtId="0" fontId="13" fillId="0" borderId="0" xfId="2" applyFont="1" applyFill="1" applyAlignment="1">
      <alignment horizontal="right" vertical="top"/>
    </xf>
    <xf numFmtId="0" fontId="13" fillId="0" borderId="0" xfId="2" applyFont="1" applyFill="1" applyAlignment="1">
      <alignment horizontal="left" vertical="center" wrapText="1" indent="2"/>
    </xf>
    <xf numFmtId="0" fontId="13" fillId="0" borderId="0" xfId="2" applyFont="1" applyFill="1" applyAlignment="1">
      <alignment horizontal="left" vertical="center" wrapText="1"/>
    </xf>
    <xf numFmtId="0" fontId="13" fillId="0" borderId="0" xfId="2" applyFont="1" applyFill="1" applyAlignment="1">
      <alignment vertical="center" wrapText="1"/>
    </xf>
    <xf numFmtId="0" fontId="23" fillId="0" borderId="0" xfId="2" applyFont="1" applyAlignment="1">
      <alignment horizontal="left"/>
    </xf>
    <xf numFmtId="0" fontId="23" fillId="0" borderId="0" xfId="2" applyFont="1" applyAlignment="1">
      <alignment horizontal="left" vertical="top"/>
    </xf>
    <xf numFmtId="0" fontId="23" fillId="0" borderId="0" xfId="2" applyFont="1" applyAlignment="1">
      <alignment vertical="top"/>
    </xf>
    <xf numFmtId="0" fontId="26" fillId="0" borderId="0" xfId="2" applyFont="1" applyFill="1" applyAlignment="1">
      <alignment horizontal="left" vertical="top" indent="1"/>
    </xf>
    <xf numFmtId="0" fontId="23" fillId="0" borderId="0" xfId="2" applyFont="1" applyFill="1" applyAlignment="1">
      <alignment horizontal="left" vertical="top" indent="1"/>
    </xf>
    <xf numFmtId="0" fontId="23" fillId="0" borderId="0" xfId="2" applyFont="1" applyFill="1" applyAlignment="1">
      <alignment vertical="top"/>
    </xf>
    <xf numFmtId="0" fontId="8" fillId="0" borderId="1" xfId="1" applyFont="1" applyFill="1" applyBorder="1" applyAlignment="1" applyProtection="1">
      <alignment horizontal="center" vertical="center" wrapText="1"/>
      <protection hidden="1"/>
    </xf>
    <xf numFmtId="4" fontId="0" fillId="0" borderId="1" xfId="1" applyNumberFormat="1" applyFont="1" applyFill="1" applyBorder="1" applyAlignment="1" applyProtection="1">
      <alignment horizontal="center" vertical="center"/>
    </xf>
    <xf numFmtId="0" fontId="13" fillId="2" borderId="1" xfId="6" applyFont="1" applyFill="1" applyBorder="1" applyAlignment="1">
      <alignment horizontal="center" vertical="center" wrapText="1"/>
    </xf>
    <xf numFmtId="0" fontId="13" fillId="0" borderId="1" xfId="6" applyFont="1" applyBorder="1" applyAlignment="1" applyProtection="1">
      <alignment horizontal="center" vertical="center" wrapText="1"/>
      <protection locked="0"/>
    </xf>
    <xf numFmtId="14" fontId="3" fillId="0" borderId="1" xfId="7" applyNumberFormat="1" applyFont="1" applyBorder="1" applyAlignment="1" applyProtection="1">
      <alignment horizontal="center" vertical="center" wrapText="1"/>
      <protection locked="0"/>
    </xf>
    <xf numFmtId="0" fontId="6" fillId="2" borderId="1" xfId="1" applyFont="1" applyFill="1" applyBorder="1"/>
    <xf numFmtId="0" fontId="23" fillId="2" borderId="1" xfId="6" applyFont="1" applyFill="1" applyBorder="1" applyAlignment="1">
      <alignment horizontal="center" vertical="center" wrapText="1"/>
    </xf>
    <xf numFmtId="0" fontId="13" fillId="0" borderId="1" xfId="2" applyFont="1" applyBorder="1" applyAlignment="1">
      <alignment horizontal="left" vertical="top"/>
    </xf>
    <xf numFmtId="0" fontId="23" fillId="0" borderId="0" xfId="2" applyFont="1" applyBorder="1" applyAlignment="1">
      <alignment vertical="center" wrapText="1"/>
    </xf>
    <xf numFmtId="0" fontId="7" fillId="0" borderId="1" xfId="12" applyFont="1" applyBorder="1"/>
    <xf numFmtId="0" fontId="7" fillId="0" borderId="1" xfId="12" applyFont="1" applyFill="1" applyBorder="1"/>
    <xf numFmtId="0" fontId="3" fillId="6" borderId="1" xfId="8" applyFont="1" applyFill="1" applyBorder="1"/>
    <xf numFmtId="0" fontId="13" fillId="0" borderId="0" xfId="4" applyFont="1" applyBorder="1"/>
    <xf numFmtId="0" fontId="3" fillId="0" borderId="1" xfId="1" applyFont="1" applyFill="1" applyBorder="1" applyAlignment="1" applyProtection="1">
      <alignment horizontal="center" vertical="center" wrapText="1"/>
    </xf>
    <xf numFmtId="3" fontId="21" fillId="0" borderId="0" xfId="1" applyNumberFormat="1" applyFont="1" applyFill="1" applyBorder="1"/>
    <xf numFmtId="0" fontId="13" fillId="0" borderId="0" xfId="2" applyFont="1"/>
    <xf numFmtId="0" fontId="23" fillId="0" borderId="0" xfId="2" applyFont="1"/>
    <xf numFmtId="0" fontId="23" fillId="0" borderId="1" xfId="2" applyFont="1" applyBorder="1" applyAlignment="1">
      <alignment vertical="center" wrapText="1"/>
    </xf>
    <xf numFmtId="0" fontId="23" fillId="0" borderId="0" xfId="2" applyFont="1" applyFill="1" applyAlignment="1">
      <alignment horizontal="center"/>
    </xf>
    <xf numFmtId="0" fontId="13" fillId="0" borderId="0" xfId="2" applyFont="1" applyFill="1"/>
    <xf numFmtId="0" fontId="13" fillId="0" borderId="0" xfId="2" applyFont="1" applyFill="1" applyAlignment="1">
      <alignment horizontal="left" wrapText="1"/>
    </xf>
    <xf numFmtId="0" fontId="13" fillId="0" borderId="0" xfId="5" applyFont="1"/>
    <xf numFmtId="0" fontId="13" fillId="0" borderId="0" xfId="5" applyFont="1" applyFill="1"/>
    <xf numFmtId="0" fontId="23" fillId="0" borderId="0" xfId="5" applyFont="1" applyFill="1" applyAlignment="1">
      <alignment horizontal="left" indent="2"/>
    </xf>
    <xf numFmtId="0" fontId="13" fillId="0" borderId="0" xfId="2" applyFont="1" applyFill="1" applyAlignment="1">
      <alignment horizontal="left" vertical="center" wrapText="1" indent="5"/>
    </xf>
    <xf numFmtId="0" fontId="23" fillId="0" borderId="0" xfId="2" applyFont="1" applyFill="1" applyAlignment="1">
      <alignment horizontal="right" vertical="top" indent="3"/>
    </xf>
    <xf numFmtId="0" fontId="13" fillId="0" borderId="0" xfId="2" applyFont="1" applyFill="1" applyAlignment="1">
      <alignment horizontal="right" vertical="top" indent="3"/>
    </xf>
    <xf numFmtId="0" fontId="23" fillId="0" borderId="0" xfId="2" applyFont="1" applyFill="1" applyAlignment="1">
      <alignment horizontal="right" vertical="top"/>
    </xf>
    <xf numFmtId="0" fontId="13" fillId="0" borderId="0" xfId="2" applyFont="1" applyFill="1" applyAlignment="1">
      <alignment horizontal="right"/>
    </xf>
    <xf numFmtId="0" fontId="13" fillId="0" borderId="0" xfId="2" applyFont="1" applyFill="1" applyAlignment="1">
      <alignment horizontal="right" vertical="top"/>
    </xf>
    <xf numFmtId="0" fontId="13" fillId="0" borderId="0" xfId="2" applyFont="1" applyFill="1" applyAlignment="1">
      <alignment horizontal="left" vertical="center" wrapText="1" indent="2"/>
    </xf>
    <xf numFmtId="0" fontId="23" fillId="0" borderId="0" xfId="2" applyFont="1" applyFill="1" applyAlignment="1">
      <alignment horizontal="left" vertical="top" indent="1"/>
    </xf>
    <xf numFmtId="0" fontId="13" fillId="0" borderId="0" xfId="2" applyFont="1" applyFill="1" applyAlignment="1">
      <alignment horizontal="left" vertical="center" wrapText="1"/>
    </xf>
    <xf numFmtId="1" fontId="13" fillId="0" borderId="1" xfId="19" applyNumberFormat="1" applyFont="1" applyBorder="1" applyAlignment="1">
      <alignment horizontal="center" vertical="center" wrapText="1"/>
    </xf>
    <xf numFmtId="0" fontId="13" fillId="0" borderId="1" xfId="2" applyFont="1" applyBorder="1" applyAlignment="1">
      <alignment vertical="center" wrapText="1"/>
    </xf>
    <xf numFmtId="0" fontId="23" fillId="0" borderId="0" xfId="2" applyFont="1" applyFill="1" applyAlignment="1">
      <alignment horizontal="center"/>
    </xf>
    <xf numFmtId="0" fontId="13" fillId="0" borderId="0" xfId="2" applyFont="1" applyFill="1"/>
    <xf numFmtId="0" fontId="13" fillId="0" borderId="0" xfId="5" applyFont="1" applyFill="1"/>
    <xf numFmtId="0" fontId="23" fillId="0" borderId="0" xfId="5" applyFont="1" applyFill="1" applyAlignment="1">
      <alignment horizontal="left" indent="2"/>
    </xf>
    <xf numFmtId="0" fontId="13" fillId="0" borderId="0" xfId="2" applyFont="1" applyFill="1" applyAlignment="1"/>
    <xf numFmtId="0" fontId="23" fillId="0" borderId="0" xfId="2" applyFont="1" applyFill="1" applyAlignment="1">
      <alignment horizontal="left" vertical="top" indent="1"/>
    </xf>
    <xf numFmtId="0" fontId="13" fillId="0" borderId="0" xfId="2" applyFont="1"/>
    <xf numFmtId="0" fontId="23" fillId="0" borderId="0" xfId="2" applyFont="1"/>
    <xf numFmtId="0" fontId="23" fillId="0" borderId="0" xfId="2" applyFont="1" applyFill="1" applyAlignment="1">
      <alignment horizontal="center"/>
    </xf>
    <xf numFmtId="0" fontId="13" fillId="0" borderId="0" xfId="5" applyFont="1"/>
    <xf numFmtId="0" fontId="23" fillId="7" borderId="1" xfId="19" applyFont="1" applyFill="1" applyBorder="1" applyAlignment="1">
      <alignment horizontal="center" vertical="center" wrapText="1"/>
    </xf>
    <xf numFmtId="0" fontId="13" fillId="0" borderId="1" xfId="19" applyFont="1" applyBorder="1" applyAlignment="1">
      <alignment horizontal="center" vertical="center" wrapText="1"/>
    </xf>
    <xf numFmtId="166" fontId="13" fillId="0" borderId="1" xfId="19" applyNumberFormat="1" applyFont="1" applyBorder="1" applyAlignment="1">
      <alignment horizontal="center" vertical="center" wrapText="1"/>
    </xf>
    <xf numFmtId="14" fontId="13" fillId="0" borderId="1" xfId="19" applyNumberFormat="1" applyFont="1" applyBorder="1" applyAlignment="1">
      <alignment horizontal="center" vertical="center" wrapText="1"/>
    </xf>
    <xf numFmtId="0" fontId="13" fillId="0" borderId="1" xfId="19" applyFont="1" applyBorder="1" applyAlignment="1">
      <alignment vertical="center" wrapText="1"/>
    </xf>
    <xf numFmtId="0" fontId="13" fillId="0" borderId="1" xfId="19" applyFont="1" applyBorder="1" applyAlignment="1">
      <alignment horizontal="left" vertical="center" wrapText="1"/>
    </xf>
    <xf numFmtId="0" fontId="6" fillId="0" borderId="0" xfId="2" applyFont="1" applyAlignment="1" applyProtection="1">
      <alignment vertical="center"/>
    </xf>
    <xf numFmtId="0" fontId="13" fillId="0" borderId="1" xfId="6" applyFont="1" applyBorder="1" applyAlignment="1" applyProtection="1">
      <alignment vertical="center" wrapText="1"/>
      <protection locked="0"/>
    </xf>
    <xf numFmtId="0" fontId="3" fillId="2" borderId="1" xfId="33" applyFont="1" applyFill="1" applyBorder="1" applyAlignment="1" applyProtection="1">
      <alignment horizontal="center" vertical="center" wrapText="1"/>
      <protection locked="0"/>
    </xf>
    <xf numFmtId="166" fontId="3" fillId="4" borderId="1" xfId="33" applyNumberFormat="1" applyFont="1" applyFill="1" applyBorder="1" applyAlignment="1">
      <alignment horizontal="center" vertical="center" wrapText="1"/>
    </xf>
    <xf numFmtId="14" fontId="3" fillId="4" borderId="1" xfId="33" applyNumberFormat="1" applyFont="1" applyFill="1" applyBorder="1" applyAlignment="1">
      <alignment horizontal="center" vertical="center" wrapText="1"/>
    </xf>
    <xf numFmtId="0" fontId="3" fillId="0" borderId="1" xfId="13" applyFont="1" applyBorder="1" applyAlignment="1" applyProtection="1">
      <alignment horizontal="center" vertical="center" wrapText="1"/>
      <protection locked="0"/>
    </xf>
    <xf numFmtId="0" fontId="3" fillId="0" borderId="1" xfId="13" applyFont="1" applyBorder="1" applyAlignment="1" applyProtection="1">
      <alignment vertical="center" wrapText="1"/>
      <protection locked="0"/>
    </xf>
    <xf numFmtId="1" fontId="3" fillId="0" borderId="1" xfId="13" applyNumberFormat="1" applyFont="1" applyBorder="1" applyAlignment="1" applyProtection="1">
      <alignment horizontal="center" vertical="center" wrapText="1"/>
      <protection locked="0"/>
    </xf>
    <xf numFmtId="1" fontId="3" fillId="4" borderId="1" xfId="33" applyNumberFormat="1" applyFont="1" applyFill="1" applyBorder="1" applyAlignment="1">
      <alignment horizontal="center" vertical="center" wrapText="1"/>
    </xf>
    <xf numFmtId="0" fontId="3" fillId="0" borderId="0" xfId="0" applyFont="1"/>
    <xf numFmtId="0" fontId="6" fillId="2" borderId="1" xfId="6" applyFont="1" applyFill="1" applyBorder="1" applyAlignment="1">
      <alignment horizontal="center" vertical="center" wrapText="1"/>
    </xf>
    <xf numFmtId="0" fontId="3" fillId="2" borderId="1" xfId="6" applyFont="1" applyFill="1" applyBorder="1" applyAlignment="1">
      <alignment horizontal="center" vertical="center" wrapText="1"/>
    </xf>
    <xf numFmtId="0" fontId="7" fillId="0" borderId="0" xfId="12" applyFont="1" applyBorder="1"/>
    <xf numFmtId="0" fontId="7" fillId="0" borderId="0" xfId="12" applyFont="1" applyFill="1" applyBorder="1"/>
    <xf numFmtId="0" fontId="7" fillId="0" borderId="0" xfId="0" applyFont="1" applyBorder="1"/>
    <xf numFmtId="0" fontId="13" fillId="0" borderId="1" xfId="2" applyFont="1" applyBorder="1" applyAlignment="1">
      <alignment horizontal="left" vertical="top"/>
    </xf>
    <xf numFmtId="0" fontId="23" fillId="2" borderId="1" xfId="1" applyFont="1" applyFill="1" applyBorder="1" applyAlignment="1">
      <alignment horizontal="center" vertical="center" wrapText="1"/>
    </xf>
    <xf numFmtId="0" fontId="10" fillId="0" borderId="0" xfId="1" applyFont="1" applyFill="1" applyBorder="1" applyAlignment="1">
      <alignment horizontal="center" vertical="center"/>
    </xf>
    <xf numFmtId="0" fontId="10" fillId="0" borderId="0" xfId="1" applyFont="1" applyFill="1" applyAlignment="1">
      <alignment vertical="center"/>
    </xf>
    <xf numFmtId="0" fontId="6" fillId="0" borderId="0" xfId="4" applyFont="1" applyFill="1" applyBorder="1" applyAlignment="1">
      <alignment horizontal="center" vertical="center"/>
    </xf>
    <xf numFmtId="3" fontId="10" fillId="0" borderId="0" xfId="1" applyNumberFormat="1" applyFont="1" applyFill="1" applyAlignment="1">
      <alignment vertical="center"/>
    </xf>
    <xf numFmtId="0" fontId="29" fillId="0" borderId="0" xfId="0" applyFont="1"/>
    <xf numFmtId="0" fontId="9" fillId="0" borderId="0" xfId="1" applyFont="1" applyBorder="1" applyAlignment="1">
      <alignment vertical="center" wrapText="1"/>
    </xf>
    <xf numFmtId="0" fontId="3" fillId="0" borderId="1" xfId="1" applyFont="1" applyFill="1" applyBorder="1" applyAlignment="1">
      <alignment vertical="center"/>
    </xf>
    <xf numFmtId="0" fontId="3" fillId="0" borderId="1" xfId="0" applyFont="1" applyBorder="1"/>
    <xf numFmtId="0" fontId="3" fillId="0" borderId="1" xfId="9" applyFont="1" applyFill="1" applyBorder="1" applyAlignment="1" applyProtection="1">
      <alignment horizontal="center" vertical="center" wrapText="1"/>
      <protection locked="0"/>
    </xf>
    <xf numFmtId="0" fontId="3" fillId="2" borderId="1" xfId="9" applyFont="1" applyFill="1" applyBorder="1" applyAlignment="1" applyProtection="1">
      <alignment vertical="center" wrapText="1"/>
    </xf>
    <xf numFmtId="0" fontId="3" fillId="2" borderId="1" xfId="2" applyFont="1" applyFill="1" applyBorder="1" applyAlignment="1" applyProtection="1">
      <alignment horizontal="center" vertical="center"/>
    </xf>
    <xf numFmtId="0" fontId="3" fillId="2" borderId="1" xfId="9" applyFont="1" applyFill="1" applyBorder="1" applyAlignment="1" applyProtection="1">
      <alignment horizontal="center" vertical="center" wrapText="1"/>
    </xf>
    <xf numFmtId="0" fontId="3" fillId="0" borderId="1" xfId="9" applyFont="1" applyFill="1" applyBorder="1" applyAlignment="1" applyProtection="1">
      <alignment vertical="center" wrapText="1"/>
    </xf>
    <xf numFmtId="0" fontId="23" fillId="0" borderId="0" xfId="2" applyFont="1" applyBorder="1" applyAlignment="1">
      <alignment horizontal="center" vertical="center" wrapText="1"/>
    </xf>
    <xf numFmtId="0" fontId="23" fillId="0" borderId="0" xfId="2" applyFont="1" applyBorder="1"/>
    <xf numFmtId="0" fontId="13" fillId="0" borderId="0" xfId="2" applyFont="1" applyBorder="1" applyAlignment="1">
      <alignment vertical="top" wrapText="1"/>
    </xf>
    <xf numFmtId="0" fontId="13" fillId="0" borderId="0" xfId="2" applyFont="1" applyBorder="1"/>
    <xf numFmtId="0" fontId="0" fillId="0" borderId="0" xfId="0" applyBorder="1"/>
    <xf numFmtId="0" fontId="0" fillId="0" borderId="0" xfId="0" applyBorder="1" applyAlignment="1">
      <alignment horizontal="center"/>
    </xf>
    <xf numFmtId="0" fontId="30" fillId="8" borderId="0" xfId="0" applyFont="1" applyFill="1" applyBorder="1" applyAlignment="1">
      <alignment vertical="center" wrapText="1"/>
    </xf>
    <xf numFmtId="166" fontId="13" fillId="0" borderId="1" xfId="19" applyNumberFormat="1" applyFont="1" applyBorder="1" applyAlignment="1">
      <alignment vertical="center"/>
    </xf>
    <xf numFmtId="0" fontId="3" fillId="0" borderId="0" xfId="33" applyFont="1" applyAlignment="1" applyProtection="1">
      <alignment vertical="center"/>
      <protection locked="0"/>
    </xf>
    <xf numFmtId="166" fontId="13" fillId="0" borderId="3" xfId="19" applyNumberFormat="1" applyFont="1" applyBorder="1" applyAlignment="1">
      <alignment vertical="center"/>
    </xf>
    <xf numFmtId="14" fontId="13" fillId="0" borderId="3" xfId="19" applyNumberFormat="1" applyFont="1" applyBorder="1" applyAlignment="1">
      <alignment vertical="center"/>
    </xf>
    <xf numFmtId="0" fontId="23" fillId="0" borderId="1" xfId="9" applyFont="1" applyBorder="1" applyAlignment="1">
      <alignment horizontal="center" vertical="center" wrapText="1"/>
    </xf>
    <xf numFmtId="0" fontId="23" fillId="0" borderId="0" xfId="9" applyFont="1" applyBorder="1" applyAlignment="1">
      <alignment vertical="center" wrapText="1"/>
    </xf>
    <xf numFmtId="0" fontId="30" fillId="8" borderId="1" xfId="0" applyFont="1" applyFill="1" applyBorder="1" applyAlignment="1">
      <alignment vertical="center" wrapText="1"/>
    </xf>
    <xf numFmtId="0" fontId="30" fillId="8" borderId="1" xfId="0" applyFont="1" applyFill="1" applyBorder="1" applyAlignment="1">
      <alignment horizontal="center" vertical="center" wrapText="1"/>
    </xf>
    <xf numFmtId="0" fontId="13" fillId="0" borderId="0" xfId="9" applyFont="1" applyBorder="1" applyAlignment="1">
      <alignment horizontal="center" vertical="center" wrapText="1"/>
    </xf>
    <xf numFmtId="0" fontId="23" fillId="0" borderId="0" xfId="9" applyFont="1" applyBorder="1" applyAlignment="1">
      <alignment horizontal="center" vertical="center" wrapText="1"/>
    </xf>
    <xf numFmtId="166" fontId="13" fillId="0" borderId="0" xfId="19" applyNumberFormat="1" applyFont="1" applyBorder="1" applyAlignment="1">
      <alignment vertical="center"/>
    </xf>
    <xf numFmtId="0" fontId="3" fillId="0" borderId="1" xfId="1" applyNumberFormat="1" applyFont="1" applyFill="1" applyBorder="1" applyAlignment="1">
      <alignment horizontal="center" vertical="center"/>
    </xf>
    <xf numFmtId="164" fontId="3" fillId="0" borderId="1" xfId="1" applyNumberFormat="1" applyFont="1" applyFill="1" applyBorder="1" applyAlignment="1">
      <alignment horizontal="center" vertical="center"/>
    </xf>
    <xf numFmtId="3" fontId="21" fillId="0" borderId="1" xfId="1" applyNumberFormat="1" applyFont="1" applyFill="1" applyBorder="1" applyAlignment="1">
      <alignment horizontal="center" vertical="center"/>
    </xf>
    <xf numFmtId="0" fontId="7" fillId="0" borderId="7" xfId="12" applyFont="1" applyFill="1" applyBorder="1"/>
    <xf numFmtId="0" fontId="31" fillId="9" borderId="1" xfId="0" applyFont="1" applyFill="1" applyBorder="1" applyAlignment="1">
      <alignment horizontal="center" vertical="center" wrapText="1"/>
    </xf>
    <xf numFmtId="0" fontId="3" fillId="0" borderId="1" xfId="1" applyFont="1" applyBorder="1" applyAlignment="1">
      <alignment vertical="center"/>
    </xf>
    <xf numFmtId="4" fontId="32" fillId="10" borderId="4" xfId="0" applyNumberFormat="1" applyFont="1" applyFill="1" applyBorder="1" applyAlignment="1">
      <alignment horizontal="center" vertical="center" wrapText="1"/>
    </xf>
    <xf numFmtId="0" fontId="3" fillId="0" borderId="4" xfId="1" applyFont="1" applyFill="1" applyBorder="1" applyAlignment="1">
      <alignment vertical="center"/>
    </xf>
    <xf numFmtId="0" fontId="13" fillId="0" borderId="0" xfId="2" applyFont="1" applyFill="1" applyAlignment="1">
      <alignment horizontal="left" vertical="center" wrapText="1" indent="5"/>
    </xf>
    <xf numFmtId="0" fontId="13" fillId="0" borderId="0" xfId="2" applyFont="1" applyFill="1" applyAlignment="1">
      <alignment horizontal="left" vertical="top" wrapText="1"/>
    </xf>
    <xf numFmtId="0" fontId="23" fillId="0" borderId="0" xfId="2" applyFont="1" applyFill="1" applyAlignment="1">
      <alignment horizontal="left" vertical="top" wrapText="1"/>
    </xf>
    <xf numFmtId="0" fontId="13" fillId="0" borderId="1" xfId="2" applyFont="1" applyBorder="1" applyAlignment="1">
      <alignment horizontal="center" vertical="top" wrapText="1"/>
    </xf>
    <xf numFmtId="0" fontId="23" fillId="0" borderId="2" xfId="2" applyFont="1" applyBorder="1" applyAlignment="1">
      <alignment horizontal="center" vertical="center" wrapText="1"/>
    </xf>
    <xf numFmtId="0" fontId="23" fillId="0" borderId="6" xfId="2" applyFont="1" applyBorder="1" applyAlignment="1">
      <alignment horizontal="center" vertical="center" wrapText="1"/>
    </xf>
    <xf numFmtId="0" fontId="23" fillId="0" borderId="3" xfId="2" applyFont="1" applyBorder="1" applyAlignment="1">
      <alignment horizontal="center" vertical="center" wrapText="1"/>
    </xf>
    <xf numFmtId="0" fontId="13" fillId="0" borderId="2" xfId="2" applyFont="1" applyBorder="1" applyAlignment="1">
      <alignment horizontal="center" vertical="top" wrapText="1"/>
    </xf>
    <xf numFmtId="0" fontId="13" fillId="0" borderId="3" xfId="2" applyFont="1" applyBorder="1" applyAlignment="1">
      <alignment horizontal="center" vertical="top" wrapText="1"/>
    </xf>
    <xf numFmtId="0" fontId="13" fillId="0" borderId="2" xfId="2" applyFont="1" applyBorder="1" applyAlignment="1">
      <alignment horizontal="center" vertical="center" wrapText="1"/>
    </xf>
    <xf numFmtId="0" fontId="13" fillId="0" borderId="6" xfId="2" applyFont="1" applyBorder="1" applyAlignment="1">
      <alignment horizontal="center" vertical="center" wrapText="1"/>
    </xf>
    <xf numFmtId="0" fontId="13" fillId="0" borderId="3" xfId="2" applyFont="1" applyBorder="1" applyAlignment="1">
      <alignment horizontal="center" vertical="center" wrapText="1"/>
    </xf>
    <xf numFmtId="0" fontId="13" fillId="0" borderId="0" xfId="2" applyFont="1" applyFill="1" applyAlignment="1">
      <alignment horizontal="left" vertical="top" wrapText="1" indent="2"/>
    </xf>
    <xf numFmtId="0" fontId="19" fillId="7" borderId="8" xfId="19" applyFont="1" applyFill="1" applyBorder="1" applyAlignment="1">
      <alignment horizontal="center" vertical="center" wrapText="1"/>
    </xf>
    <xf numFmtId="0" fontId="19" fillId="7" borderId="9" xfId="19" applyFont="1" applyFill="1" applyBorder="1" applyAlignment="1">
      <alignment horizontal="center" vertical="center" wrapText="1"/>
    </xf>
    <xf numFmtId="0" fontId="19" fillId="7" borderId="10" xfId="19" applyFont="1" applyFill="1" applyBorder="1" applyAlignment="1">
      <alignment horizontal="center" vertical="center" wrapText="1"/>
    </xf>
    <xf numFmtId="0" fontId="13" fillId="0" borderId="0" xfId="2" applyFont="1" applyFill="1" applyAlignment="1">
      <alignment horizontal="left" vertical="center" wrapText="1" indent="2"/>
    </xf>
    <xf numFmtId="0" fontId="13" fillId="0" borderId="0" xfId="2" applyFont="1" applyFill="1" applyAlignment="1">
      <alignment horizontal="left" vertical="center" wrapText="1" indent="1"/>
    </xf>
    <xf numFmtId="0" fontId="23" fillId="0" borderId="0" xfId="2" applyFont="1" applyFill="1" applyAlignment="1">
      <alignment horizontal="left" vertical="center" wrapText="1"/>
    </xf>
    <xf numFmtId="0" fontId="13" fillId="0" borderId="0" xfId="2" applyFont="1" applyFill="1" applyAlignment="1">
      <alignment horizontal="left" vertical="center" wrapText="1"/>
    </xf>
    <xf numFmtId="0" fontId="13" fillId="0" borderId="1" xfId="2" applyFont="1" applyBorder="1" applyAlignment="1">
      <alignment horizontal="left" vertical="center" wrapText="1"/>
    </xf>
    <xf numFmtId="0" fontId="23" fillId="2" borderId="1" xfId="4" applyFont="1" applyFill="1" applyBorder="1" applyAlignment="1">
      <alignment horizontal="center" vertical="center"/>
    </xf>
    <xf numFmtId="0" fontId="13" fillId="0" borderId="0" xfId="2" applyFont="1" applyAlignment="1">
      <alignment horizontal="left" wrapText="1"/>
    </xf>
    <xf numFmtId="0" fontId="23" fillId="2" borderId="1" xfId="1" applyFont="1" applyFill="1" applyBorder="1" applyAlignment="1">
      <alignment horizontal="center" vertical="center" wrapText="1"/>
    </xf>
    <xf numFmtId="0" fontId="13" fillId="0" borderId="1" xfId="1" applyFont="1" applyBorder="1" applyAlignment="1">
      <alignment horizontal="left" wrapText="1" indent="1"/>
    </xf>
    <xf numFmtId="0" fontId="13" fillId="0" borderId="2" xfId="2" applyFont="1" applyBorder="1" applyAlignment="1">
      <alignment horizontal="left" vertical="center" wrapText="1"/>
    </xf>
    <xf numFmtId="0" fontId="9" fillId="0" borderId="6" xfId="1" applyFont="1" applyBorder="1" applyAlignment="1">
      <alignment vertical="center" wrapText="1"/>
    </xf>
    <xf numFmtId="0" fontId="9" fillId="0" borderId="3" xfId="1" applyFont="1" applyBorder="1" applyAlignment="1">
      <alignment vertical="center" wrapText="1"/>
    </xf>
    <xf numFmtId="0" fontId="23" fillId="0" borderId="1" xfId="2" applyFont="1" applyBorder="1" applyAlignment="1">
      <alignment horizontal="center" vertical="top"/>
    </xf>
    <xf numFmtId="0" fontId="23" fillId="0" borderId="1" xfId="1" applyFont="1" applyBorder="1" applyAlignment="1">
      <alignment horizontal="center"/>
    </xf>
    <xf numFmtId="0" fontId="23" fillId="0" borderId="0" xfId="2" applyFont="1" applyFill="1" applyBorder="1" applyAlignment="1">
      <alignment horizontal="left" vertical="center" wrapText="1" indent="2"/>
    </xf>
    <xf numFmtId="0" fontId="13" fillId="0" borderId="1" xfId="2" applyFont="1" applyBorder="1" applyAlignment="1">
      <alignment horizontal="left" vertical="top"/>
    </xf>
    <xf numFmtId="0" fontId="9" fillId="0" borderId="1" xfId="1" applyFont="1" applyBorder="1" applyAlignment="1"/>
    <xf numFmtId="0" fontId="13" fillId="0" borderId="1" xfId="2" applyFont="1" applyBorder="1" applyAlignment="1">
      <alignment horizontal="left" vertical="top" wrapText="1"/>
    </xf>
    <xf numFmtId="0" fontId="23" fillId="0" borderId="1" xfId="9" applyFont="1" applyBorder="1" applyAlignment="1">
      <alignment horizontal="center" vertical="center" wrapText="1"/>
    </xf>
    <xf numFmtId="0" fontId="13" fillId="0" borderId="5" xfId="9" applyFont="1" applyBorder="1" applyAlignment="1">
      <alignment horizontal="center" vertical="center" wrapText="1"/>
    </xf>
    <xf numFmtId="0" fontId="13" fillId="0" borderId="7" xfId="9" applyFont="1" applyBorder="1" applyAlignment="1">
      <alignment horizontal="center" vertical="center" wrapText="1"/>
    </xf>
    <xf numFmtId="0" fontId="13" fillId="0" borderId="4" xfId="9" applyFont="1" applyBorder="1" applyAlignment="1">
      <alignment horizontal="center" vertical="center" wrapText="1"/>
    </xf>
    <xf numFmtId="0" fontId="13" fillId="0" borderId="6" xfId="2" applyFont="1" applyBorder="1" applyAlignment="1">
      <alignment horizontal="left" vertical="center" wrapText="1"/>
    </xf>
    <xf numFmtId="0" fontId="13" fillId="0" borderId="3" xfId="2" applyFont="1" applyBorder="1" applyAlignment="1">
      <alignment horizontal="left" vertical="center" wrapText="1"/>
    </xf>
    <xf numFmtId="0" fontId="6" fillId="3" borderId="2" xfId="33" applyFont="1" applyFill="1" applyBorder="1" applyAlignment="1" applyProtection="1">
      <alignment horizontal="center" vertical="center" wrapText="1"/>
      <protection locked="0"/>
    </xf>
    <xf numFmtId="0" fontId="6" fillId="3" borderId="6" xfId="33" applyFont="1" applyFill="1" applyBorder="1" applyAlignment="1" applyProtection="1">
      <alignment horizontal="center" vertical="center" wrapText="1"/>
      <protection locked="0"/>
    </xf>
    <xf numFmtId="0" fontId="6" fillId="3" borderId="3" xfId="33" applyFont="1" applyFill="1" applyBorder="1" applyAlignment="1" applyProtection="1">
      <alignment horizontal="center" vertical="center" wrapText="1"/>
      <protection locked="0"/>
    </xf>
    <xf numFmtId="0" fontId="23" fillId="0" borderId="2" xfId="9" applyFont="1" applyBorder="1" applyAlignment="1">
      <alignment horizontal="center" vertical="center" wrapText="1"/>
    </xf>
    <xf numFmtId="0" fontId="23" fillId="0" borderId="3" xfId="9" applyFont="1" applyBorder="1" applyAlignment="1">
      <alignment horizontal="center" vertical="center" wrapText="1"/>
    </xf>
    <xf numFmtId="0" fontId="13" fillId="0" borderId="0" xfId="9" applyFont="1" applyBorder="1" applyAlignment="1">
      <alignment horizontal="center" vertical="center" wrapText="1"/>
    </xf>
    <xf numFmtId="0" fontId="3" fillId="0" borderId="5" xfId="33" applyFont="1" applyBorder="1" applyAlignment="1" applyProtection="1">
      <alignment horizontal="center" vertical="center"/>
      <protection locked="0"/>
    </xf>
    <xf numFmtId="0" fontId="3" fillId="0" borderId="7" xfId="33" applyFont="1" applyBorder="1" applyAlignment="1" applyProtection="1">
      <alignment horizontal="center" vertical="center"/>
      <protection locked="0"/>
    </xf>
    <xf numFmtId="0" fontId="3" fillId="0" borderId="4" xfId="33" applyFont="1" applyBorder="1" applyAlignment="1" applyProtection="1">
      <alignment horizontal="center" vertical="center"/>
      <protection locked="0"/>
    </xf>
    <xf numFmtId="0" fontId="23" fillId="0" borderId="12" xfId="9" applyFont="1" applyBorder="1" applyAlignment="1">
      <alignment horizontal="center" vertical="center" wrapText="1"/>
    </xf>
    <xf numFmtId="0" fontId="23" fillId="0" borderId="13" xfId="9" applyFont="1" applyBorder="1" applyAlignment="1">
      <alignment horizontal="center" vertical="center" wrapText="1"/>
    </xf>
    <xf numFmtId="0" fontId="23" fillId="0" borderId="15" xfId="9" applyFont="1" applyBorder="1" applyAlignment="1">
      <alignment horizontal="center" vertical="center" wrapText="1"/>
    </xf>
    <xf numFmtId="0" fontId="23" fillId="0" borderId="16" xfId="9" applyFont="1" applyBorder="1" applyAlignment="1">
      <alignment horizontal="center" vertical="center" wrapText="1"/>
    </xf>
    <xf numFmtId="0" fontId="23" fillId="0" borderId="1" xfId="2" applyFont="1" applyBorder="1" applyAlignment="1">
      <alignment horizontal="center" vertical="center" wrapText="1"/>
    </xf>
    <xf numFmtId="0" fontId="6" fillId="3" borderId="2" xfId="4" applyFont="1" applyFill="1" applyBorder="1" applyAlignment="1">
      <alignment horizontal="left" vertical="center"/>
    </xf>
    <xf numFmtId="0" fontId="11" fillId="3" borderId="3" xfId="4" applyFont="1" applyFill="1" applyBorder="1" applyAlignment="1">
      <alignment horizontal="left" vertical="center"/>
    </xf>
    <xf numFmtId="3" fontId="6" fillId="2" borderId="2" xfId="4" applyNumberFormat="1" applyFont="1" applyFill="1" applyBorder="1" applyAlignment="1">
      <alignment horizontal="center" vertical="center"/>
    </xf>
    <xf numFmtId="3" fontId="6" fillId="2" borderId="6" xfId="4" applyNumberFormat="1" applyFont="1" applyFill="1" applyBorder="1" applyAlignment="1">
      <alignment horizontal="center" vertical="center"/>
    </xf>
    <xf numFmtId="3" fontId="6" fillId="2" borderId="3" xfId="4" applyNumberFormat="1" applyFont="1" applyFill="1" applyBorder="1" applyAlignment="1">
      <alignment horizontal="center" vertical="center"/>
    </xf>
    <xf numFmtId="0" fontId="6" fillId="2" borderId="2" xfId="4" applyFont="1" applyFill="1" applyBorder="1" applyAlignment="1">
      <alignment horizontal="center" vertical="center"/>
    </xf>
    <xf numFmtId="0" fontId="6" fillId="2" borderId="6" xfId="4" applyFont="1" applyFill="1" applyBorder="1" applyAlignment="1">
      <alignment horizontal="center" vertical="center"/>
    </xf>
    <xf numFmtId="0" fontId="6" fillId="2" borderId="3" xfId="4" applyFont="1" applyFill="1" applyBorder="1" applyAlignment="1">
      <alignment horizontal="center" vertical="center"/>
    </xf>
    <xf numFmtId="0" fontId="31" fillId="9" borderId="1" xfId="0" applyFont="1" applyFill="1" applyBorder="1" applyAlignment="1">
      <alignment horizontal="center" vertical="center" wrapText="1"/>
    </xf>
    <xf numFmtId="0" fontId="32" fillId="10" borderId="4" xfId="0" applyFont="1" applyFill="1" applyBorder="1" applyAlignment="1">
      <alignment horizontal="center" vertical="center" wrapText="1"/>
    </xf>
    <xf numFmtId="0" fontId="3" fillId="0" borderId="2" xfId="1" applyFont="1" applyFill="1" applyBorder="1" applyAlignment="1">
      <alignment horizontal="left" vertical="center" wrapText="1"/>
    </xf>
    <xf numFmtId="0" fontId="10" fillId="0" borderId="3" xfId="1" applyFont="1" applyFill="1" applyBorder="1" applyAlignment="1">
      <alignment horizontal="left" vertical="center" wrapText="1"/>
    </xf>
    <xf numFmtId="0" fontId="11" fillId="3" borderId="2" xfId="4" applyFont="1" applyFill="1" applyBorder="1" applyAlignment="1">
      <alignment horizontal="left" vertical="center"/>
    </xf>
    <xf numFmtId="0" fontId="19" fillId="0" borderId="0" xfId="0" applyFont="1" applyAlignment="1">
      <alignment horizontal="left"/>
    </xf>
    <xf numFmtId="0" fontId="23" fillId="0" borderId="14" xfId="9" applyFont="1" applyBorder="1" applyAlignment="1">
      <alignment horizontal="center" vertical="center" wrapText="1"/>
    </xf>
    <xf numFmtId="0" fontId="23" fillId="0" borderId="11" xfId="9" applyFont="1" applyBorder="1" applyAlignment="1">
      <alignment horizontal="center" vertical="center" wrapText="1"/>
    </xf>
    <xf numFmtId="0" fontId="6" fillId="3" borderId="5" xfId="1" applyFont="1" applyFill="1" applyBorder="1" applyAlignment="1" applyProtection="1">
      <alignment horizontal="center" vertical="center" wrapText="1"/>
    </xf>
    <xf numFmtId="0" fontId="8" fillId="3" borderId="7" xfId="1" applyFont="1" applyFill="1" applyBorder="1" applyAlignment="1" applyProtection="1">
      <alignment horizontal="center" vertical="center" wrapText="1"/>
    </xf>
    <xf numFmtId="0" fontId="6" fillId="3" borderId="4" xfId="1" applyFont="1" applyFill="1" applyBorder="1" applyAlignment="1" applyProtection="1">
      <alignment horizontal="center" vertical="center" wrapText="1"/>
    </xf>
    <xf numFmtId="0" fontId="6" fillId="3" borderId="1" xfId="1" applyFont="1" applyFill="1" applyBorder="1" applyAlignment="1" applyProtection="1">
      <alignment horizontal="center" vertical="center" wrapText="1"/>
    </xf>
    <xf numFmtId="0" fontId="6" fillId="3" borderId="5" xfId="1" applyFont="1" applyFill="1" applyBorder="1" applyAlignment="1" applyProtection="1">
      <alignment horizontal="center" vertical="center"/>
    </xf>
    <xf numFmtId="0" fontId="6" fillId="3" borderId="7" xfId="1" applyFont="1" applyFill="1" applyBorder="1" applyAlignment="1" applyProtection="1">
      <alignment horizontal="center" vertical="center"/>
    </xf>
    <xf numFmtId="0" fontId="6" fillId="2" borderId="2" xfId="1" applyFont="1" applyFill="1" applyBorder="1" applyAlignment="1">
      <alignment horizontal="center"/>
    </xf>
    <xf numFmtId="0" fontId="6" fillId="2" borderId="3" xfId="1" applyFont="1" applyFill="1" applyBorder="1" applyAlignment="1">
      <alignment horizontal="center"/>
    </xf>
    <xf numFmtId="0" fontId="0" fillId="0" borderId="2" xfId="1" applyFont="1" applyFill="1" applyBorder="1" applyAlignment="1">
      <alignment horizontal="center"/>
    </xf>
    <xf numFmtId="0" fontId="0" fillId="0" borderId="3" xfId="1" applyFont="1" applyFill="1" applyBorder="1" applyAlignment="1">
      <alignment horizontal="center"/>
    </xf>
    <xf numFmtId="0" fontId="13" fillId="0" borderId="1" xfId="9" applyFont="1" applyBorder="1" applyAlignment="1">
      <alignment horizontal="center" vertical="center" wrapText="1"/>
    </xf>
    <xf numFmtId="0" fontId="23" fillId="2" borderId="2" xfId="6" applyFont="1" applyFill="1" applyBorder="1" applyAlignment="1">
      <alignment horizontal="center" vertical="center" wrapText="1"/>
    </xf>
    <xf numFmtId="0" fontId="23" fillId="2" borderId="3" xfId="6" applyFont="1" applyFill="1" applyBorder="1" applyAlignment="1">
      <alignment horizontal="center" vertical="center" wrapText="1"/>
    </xf>
    <xf numFmtId="166" fontId="13" fillId="0" borderId="1" xfId="19" applyNumberFormat="1" applyFont="1" applyBorder="1" applyAlignment="1">
      <alignment horizontal="center" vertical="center"/>
    </xf>
    <xf numFmtId="0" fontId="30" fillId="8" borderId="1" xfId="0" applyFont="1" applyFill="1" applyBorder="1" applyAlignment="1">
      <alignment horizontal="center" vertical="center" wrapText="1"/>
    </xf>
    <xf numFmtId="0" fontId="3" fillId="0" borderId="2" xfId="6" applyFont="1" applyFill="1" applyBorder="1" applyAlignment="1">
      <alignment horizontal="center" vertical="center" wrapText="1"/>
    </xf>
    <xf numFmtId="0" fontId="3" fillId="0" borderId="6" xfId="6" applyFont="1" applyFill="1" applyBorder="1" applyAlignment="1">
      <alignment horizontal="center" vertical="center" wrapText="1"/>
    </xf>
    <xf numFmtId="0" fontId="3" fillId="0" borderId="3" xfId="6" applyFont="1" applyFill="1" applyBorder="1" applyAlignment="1">
      <alignment horizontal="center" vertical="center" wrapText="1"/>
    </xf>
    <xf numFmtId="0" fontId="6" fillId="2" borderId="2" xfId="6" applyFont="1" applyFill="1" applyBorder="1" applyAlignment="1">
      <alignment horizontal="center" vertical="center" wrapText="1"/>
    </xf>
    <xf numFmtId="0" fontId="6" fillId="2" borderId="6" xfId="6" applyFont="1" applyFill="1" applyBorder="1" applyAlignment="1">
      <alignment horizontal="center" vertical="center" wrapText="1"/>
    </xf>
    <xf numFmtId="0" fontId="6" fillId="2" borderId="3" xfId="6" applyFont="1" applyFill="1" applyBorder="1" applyAlignment="1">
      <alignment horizontal="center" vertical="center" wrapText="1"/>
    </xf>
    <xf numFmtId="0" fontId="6" fillId="2" borderId="1" xfId="1" applyFont="1" applyFill="1" applyBorder="1" applyAlignment="1">
      <alignment horizontal="center" vertical="center" wrapText="1"/>
    </xf>
  </cellXfs>
  <cellStyles count="38">
    <cellStyle name="Cancel" xfId="1"/>
    <cellStyle name="Cancel 2" xfId="9"/>
    <cellStyle name="Cancel 3" xfId="11"/>
    <cellStyle name="Cancel 4" xfId="16"/>
    <cellStyle name="Cancel 5" xfId="17"/>
    <cellStyle name="Cancel 6" xfId="29"/>
    <cellStyle name="Cancel 7" xfId="32"/>
    <cellStyle name="Estilo 1" xfId="6"/>
    <cellStyle name="Estilo 1 2" xfId="10"/>
    <cellStyle name="Estilo 1 2 2" xfId="13"/>
    <cellStyle name="Estilo 1 2 3" xfId="18"/>
    <cellStyle name="Estilo 1 2 4" xfId="30"/>
    <cellStyle name="Estilo 1 2 5" xfId="31"/>
    <cellStyle name="Euro" xfId="20"/>
    <cellStyle name="Normal" xfId="0" builtinId="0"/>
    <cellStyle name="Normal 2" xfId="8"/>
    <cellStyle name="Normal 2 2" xfId="19"/>
    <cellStyle name="Normal 2 3" xfId="21"/>
    <cellStyle name="Normal 3" xfId="12"/>
    <cellStyle name="Normal 3 2" xfId="22"/>
    <cellStyle name="Normal 3 2 2" xfId="34"/>
    <cellStyle name="Normal 3 3" xfId="23"/>
    <cellStyle name="Normal 3 3 2" xfId="35"/>
    <cellStyle name="Normal 3 4" xfId="24"/>
    <cellStyle name="Normal 3 4 2" xfId="36"/>
    <cellStyle name="Normal 3 5" xfId="25"/>
    <cellStyle name="Normal 3 5 2" xfId="37"/>
    <cellStyle name="Normal 5" xfId="14"/>
    <cellStyle name="Normal 6" xfId="15"/>
    <cellStyle name="Normal_7 1 2R21 Modelo de Estimación Desarrollo a Medida CASCADA" xfId="2"/>
    <cellStyle name="Normal_7 7 5 R03 Solicitud de cambios a requerimientos" xfId="3"/>
    <cellStyle name="Normal_7.3.02.R02 Plantilla WBS" xfId="4"/>
    <cellStyle name="Normal_Copy of 7.7.2.R01 Lista de items de configuracion_Generico2" xfId="5"/>
    <cellStyle name="Normal_Pre_Analisis_OT617_20070403" xfId="33"/>
    <cellStyle name="Normal_sst36" xfId="7"/>
    <cellStyle name="Porcentual 2" xfId="26"/>
    <cellStyle name="Porcentual 3" xfId="27"/>
    <cellStyle name="Style 1" xfId="28"/>
  </cellStyles>
  <dxfs count="34">
    <dxf>
      <fill>
        <patternFill>
          <bgColor indexed="52"/>
        </patternFill>
      </fill>
    </dxf>
    <dxf>
      <fill>
        <patternFill>
          <bgColor indexed="52"/>
        </patternFill>
      </fill>
    </dxf>
    <dxf>
      <fill>
        <patternFill>
          <bgColor indexed="52"/>
        </patternFill>
      </fill>
    </dxf>
    <dxf>
      <fill>
        <patternFill>
          <bgColor indexed="52"/>
        </patternFill>
      </fill>
    </dxf>
    <dxf>
      <fill>
        <patternFill>
          <bgColor indexed="52"/>
        </patternFill>
      </fill>
    </dxf>
    <dxf>
      <fill>
        <patternFill>
          <bgColor indexed="52"/>
        </patternFill>
      </fill>
    </dxf>
    <dxf>
      <fill>
        <patternFill>
          <bgColor indexed="52"/>
        </patternFill>
      </fill>
    </dxf>
    <dxf>
      <fill>
        <patternFill>
          <bgColor indexed="52"/>
        </patternFill>
      </fill>
    </dxf>
    <dxf>
      <fill>
        <patternFill>
          <bgColor indexed="52"/>
        </patternFill>
      </fill>
    </dxf>
    <dxf>
      <fill>
        <patternFill>
          <bgColor indexed="52"/>
        </patternFill>
      </fill>
    </dxf>
    <dxf>
      <fill>
        <patternFill>
          <bgColor indexed="52"/>
        </patternFill>
      </fill>
    </dxf>
    <dxf>
      <fill>
        <patternFill>
          <bgColor indexed="52"/>
        </patternFill>
      </fill>
    </dxf>
    <dxf>
      <fill>
        <patternFill>
          <bgColor indexed="52"/>
        </patternFill>
      </fill>
    </dxf>
    <dxf>
      <fill>
        <patternFill>
          <bgColor indexed="52"/>
        </patternFill>
      </fill>
    </dxf>
    <dxf>
      <fill>
        <patternFill>
          <bgColor indexed="52"/>
        </patternFill>
      </fill>
    </dxf>
    <dxf>
      <fill>
        <patternFill>
          <bgColor indexed="10"/>
        </patternFill>
      </fill>
    </dxf>
    <dxf>
      <fill>
        <patternFill>
          <bgColor indexed="52"/>
        </patternFill>
      </fill>
    </dxf>
    <dxf>
      <fill>
        <patternFill>
          <bgColor indexed="52"/>
        </patternFill>
      </fill>
    </dxf>
    <dxf>
      <fill>
        <patternFill>
          <bgColor indexed="52"/>
        </patternFill>
      </fill>
    </dxf>
    <dxf>
      <fill>
        <patternFill>
          <bgColor indexed="52"/>
        </patternFill>
      </fill>
    </dxf>
    <dxf>
      <fill>
        <patternFill>
          <bgColor indexed="52"/>
        </patternFill>
      </fill>
    </dxf>
    <dxf>
      <fill>
        <patternFill>
          <bgColor indexed="52"/>
        </patternFill>
      </fill>
    </dxf>
    <dxf>
      <fill>
        <patternFill>
          <bgColor indexed="52"/>
        </patternFill>
      </fill>
    </dxf>
    <dxf>
      <fill>
        <patternFill>
          <bgColor indexed="52"/>
        </patternFill>
      </fill>
    </dxf>
    <dxf>
      <fill>
        <patternFill>
          <bgColor indexed="52"/>
        </patternFill>
      </fill>
    </dxf>
    <dxf>
      <fill>
        <patternFill>
          <bgColor indexed="52"/>
        </patternFill>
      </fill>
    </dxf>
    <dxf>
      <fill>
        <patternFill>
          <bgColor indexed="52"/>
        </patternFill>
      </fill>
    </dxf>
    <dxf>
      <fill>
        <patternFill>
          <bgColor indexed="10"/>
        </patternFill>
      </fill>
    </dxf>
    <dxf>
      <font>
        <condense val="0"/>
        <extend val="0"/>
        <color indexed="8"/>
      </font>
      <fill>
        <patternFill>
          <bgColor indexed="53"/>
        </patternFill>
      </fill>
    </dxf>
    <dxf>
      <font>
        <condense val="0"/>
        <extend val="0"/>
        <color indexed="18"/>
      </font>
      <fill>
        <patternFill>
          <bgColor indexed="18"/>
        </patternFill>
      </fill>
    </dxf>
    <dxf>
      <font>
        <condense val="0"/>
        <extend val="0"/>
        <color indexed="10"/>
      </font>
      <fill>
        <patternFill>
          <bgColor indexed="10"/>
        </patternFill>
      </fill>
    </dxf>
    <dxf>
      <font>
        <condense val="0"/>
        <extend val="0"/>
        <color indexed="50"/>
      </font>
      <fill>
        <patternFill>
          <bgColor indexed="50"/>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tableStyleElement type="wholeTable" dxfId="33"/>
      <tableStyleElement type="headerRow" dxfId="32"/>
    </tableStyle>
  </tableStyles>
  <colors>
    <mruColors>
      <color rgb="FF3333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hyperlink" Target="#'Verificaci&#243;n Fuentes'!A1"/><Relationship Id="rId1" Type="http://schemas.openxmlformats.org/officeDocument/2006/relationships/image" Target="../media/image1.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jpeg"/></Relationships>
</file>

<file path=xl/drawings/_rels/drawing6.xml.rels><?xml version="1.0" encoding="UTF-8" standalone="yes"?>
<Relationships xmlns="http://schemas.openxmlformats.org/package/2006/relationships"><Relationship Id="rId1" Type="http://schemas.openxmlformats.org/officeDocument/2006/relationships/image" Target="../media/image1.jpeg"/></Relationships>
</file>

<file path=xl/drawings/_rels/drawing7.xml.rels><?xml version="1.0" encoding="UTF-8" standalone="yes"?>
<Relationships xmlns="http://schemas.openxmlformats.org/package/2006/relationships"><Relationship Id="rId1" Type="http://schemas.openxmlformats.org/officeDocument/2006/relationships/image" Target="../media/image1.jpeg"/></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_rels/drawing9.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1</xdr:col>
      <xdr:colOff>123824</xdr:colOff>
      <xdr:row>1</xdr:row>
      <xdr:rowOff>28574</xdr:rowOff>
    </xdr:from>
    <xdr:to>
      <xdr:col>2</xdr:col>
      <xdr:colOff>902493</xdr:colOff>
      <xdr:row>1</xdr:row>
      <xdr:rowOff>602551</xdr:rowOff>
    </xdr:to>
    <xdr:pic>
      <xdr:nvPicPr>
        <xdr:cNvPr id="2" name="Picture 4" descr="C:\Documents and Settings\np375151\Desktop\logo\logo\Logo_sura.jpg">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23849" y="171449"/>
          <a:ext cx="1559719" cy="573977"/>
        </a:xfrm>
        <a:prstGeom prst="rect">
          <a:avLst/>
        </a:prstGeom>
        <a:noFill/>
        <a:ln w="9525">
          <a:noFill/>
          <a:miter lim="800000"/>
          <a:headEnd/>
          <a:tailEnd/>
        </a:ln>
      </xdr:spPr>
    </xdr:pic>
    <xdr:clientData/>
  </xdr:twoCellAnchor>
  <xdr:twoCellAnchor>
    <xdr:from>
      <xdr:col>7</xdr:col>
      <xdr:colOff>228600</xdr:colOff>
      <xdr:row>1</xdr:row>
      <xdr:rowOff>19050</xdr:rowOff>
    </xdr:from>
    <xdr:to>
      <xdr:col>7</xdr:col>
      <xdr:colOff>1571625</xdr:colOff>
      <xdr:row>1</xdr:row>
      <xdr:rowOff>609600</xdr:rowOff>
    </xdr:to>
    <xdr:pic>
      <xdr:nvPicPr>
        <xdr:cNvPr id="4" name="Picture 3">
          <a:extLst>
            <a:ext uri="{FF2B5EF4-FFF2-40B4-BE49-F238E27FC236}">
              <a16:creationId xmlns:a16="http://schemas.microsoft.com/office/drawing/2014/main" id="{00000000-0008-0000-0000-000004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7286625" y="161925"/>
          <a:ext cx="1343025" cy="590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88527</xdr:colOff>
      <xdr:row>1</xdr:row>
      <xdr:rowOff>19049</xdr:rowOff>
    </xdr:from>
    <xdr:to>
      <xdr:col>1</xdr:col>
      <xdr:colOff>1724025</xdr:colOff>
      <xdr:row>3</xdr:row>
      <xdr:rowOff>147778</xdr:rowOff>
    </xdr:to>
    <xdr:pic>
      <xdr:nvPicPr>
        <xdr:cNvPr id="6" name="Picture 14" descr="C:\Documents and Settings\np375151\Desktop\logo\logo\Logo_sura.jpg">
          <a:extLst>
            <a:ext uri="{FF2B5EF4-FFF2-40B4-BE49-F238E27FC236}">
              <a16:creationId xmlns:a16="http://schemas.microsoft.com/office/drawing/2014/main" id="{00000000-0008-0000-01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88552" y="161924"/>
          <a:ext cx="1635498" cy="5287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66675</xdr:colOff>
      <xdr:row>1</xdr:row>
      <xdr:rowOff>91411</xdr:rowOff>
    </xdr:from>
    <xdr:to>
      <xdr:col>2</xdr:col>
      <xdr:colOff>1095375</xdr:colOff>
      <xdr:row>3</xdr:row>
      <xdr:rowOff>23954</xdr:rowOff>
    </xdr:to>
    <xdr:pic>
      <xdr:nvPicPr>
        <xdr:cNvPr id="7" name="Picture 14" descr="C:\Documents and Settings\np375151\Desktop\logo\logo\Logo_sura.jpg">
          <a:extLst>
            <a:ext uri="{FF2B5EF4-FFF2-40B4-BE49-F238E27FC236}">
              <a16:creationId xmlns:a16="http://schemas.microsoft.com/office/drawing/2014/main" id="{00000000-0008-0000-02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76325" y="253336"/>
          <a:ext cx="1028700" cy="33259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666749</xdr:colOff>
      <xdr:row>1</xdr:row>
      <xdr:rowOff>59531</xdr:rowOff>
    </xdr:from>
    <xdr:to>
      <xdr:col>1</xdr:col>
      <xdr:colOff>1952625</xdr:colOff>
      <xdr:row>1</xdr:row>
      <xdr:rowOff>523874</xdr:rowOff>
    </xdr:to>
    <xdr:pic>
      <xdr:nvPicPr>
        <xdr:cNvPr id="6" name="Picture 4" descr="C:\Documents and Settings\np375151\Desktop\logo\logo\Logo_sura.jpg">
          <a:extLst>
            <a:ext uri="{FF2B5EF4-FFF2-40B4-BE49-F238E27FC236}">
              <a16:creationId xmlns:a16="http://schemas.microsoft.com/office/drawing/2014/main" id="{00000000-0008-0000-0300-000006000000}"/>
            </a:ext>
          </a:extLst>
        </xdr:cNvPr>
        <xdr:cNvPicPr>
          <a:picLocks noChangeAspect="1" noChangeArrowheads="1"/>
        </xdr:cNvPicPr>
      </xdr:nvPicPr>
      <xdr:blipFill rotWithShape="1">
        <a:blip xmlns:r="http://schemas.openxmlformats.org/officeDocument/2006/relationships" r:embed="rId1" cstate="print"/>
        <a:srcRect b="19101"/>
        <a:stretch/>
      </xdr:blipFill>
      <xdr:spPr bwMode="auto">
        <a:xfrm>
          <a:off x="881062" y="226219"/>
          <a:ext cx="1285876" cy="464343"/>
        </a:xfrm>
        <a:prstGeom prst="rect">
          <a:avLst/>
        </a:prstGeom>
        <a:noFill/>
        <a:ln w="9525">
          <a:noFill/>
          <a:miter lim="800000"/>
          <a:headEnd/>
          <a:tailEnd/>
        </a:ln>
      </xdr:spPr>
    </xdr:pic>
    <xdr:clientData/>
  </xdr:twoCellAnchor>
  <mc:AlternateContent xmlns:mc="http://schemas.openxmlformats.org/markup-compatibility/2006">
    <mc:Choice xmlns:a14="http://schemas.microsoft.com/office/drawing/2010/main" Requires="a14">
      <xdr:twoCellAnchor editAs="absolute">
        <xdr:from>
          <xdr:col>3</xdr:col>
          <xdr:colOff>28575</xdr:colOff>
          <xdr:row>13</xdr:row>
          <xdr:rowOff>9525</xdr:rowOff>
        </xdr:from>
        <xdr:to>
          <xdr:col>4</xdr:col>
          <xdr:colOff>361950</xdr:colOff>
          <xdr:row>15</xdr:row>
          <xdr:rowOff>57150</xdr:rowOff>
        </xdr:to>
        <xdr:sp macro="" textlink="">
          <xdr:nvSpPr>
            <xdr:cNvPr id="5175" name="Button 55" hidden="1">
              <a:extLst>
                <a:ext uri="{63B3BB69-23CF-44E3-9099-C40C66FF867C}">
                  <a14:compatExt spid="_x0000_s5175"/>
                </a:ext>
                <a:ext uri="{FF2B5EF4-FFF2-40B4-BE49-F238E27FC236}">
                  <a16:creationId xmlns:a16="http://schemas.microsoft.com/office/drawing/2014/main" id="{00000000-0008-0000-0300-000037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PE" sz="1000" b="0" i="0" u="none" strike="noStrike" baseline="0">
                  <a:solidFill>
                    <a:srgbClr val="000000"/>
                  </a:solidFill>
                  <a:latin typeface="Arial"/>
                  <a:cs typeface="Arial"/>
                </a:rPr>
                <a:t>Calculador de Estimaciones</a:t>
              </a:r>
            </a:p>
          </xdr:txBody>
        </xdr:sp>
        <xdr:clientData fPrintsWithSheet="0"/>
      </xdr:twoCellAnchor>
    </mc:Choice>
    <mc:Fallback/>
  </mc:AlternateContent>
  <xdr:twoCellAnchor>
    <xdr:from>
      <xdr:col>3</xdr:col>
      <xdr:colOff>47624</xdr:colOff>
      <xdr:row>17</xdr:row>
      <xdr:rowOff>95249</xdr:rowOff>
    </xdr:from>
    <xdr:to>
      <xdr:col>3</xdr:col>
      <xdr:colOff>631031</xdr:colOff>
      <xdr:row>19</xdr:row>
      <xdr:rowOff>0</xdr:rowOff>
    </xdr:to>
    <xdr:sp macro="" textlink="">
      <xdr:nvSpPr>
        <xdr:cNvPr id="2" name="Diagrama de flujo: pantalla 1">
          <a:hlinkClick xmlns:r="http://schemas.openxmlformats.org/officeDocument/2006/relationships" r:id="rId2"/>
          <a:extLst>
            <a:ext uri="{FF2B5EF4-FFF2-40B4-BE49-F238E27FC236}">
              <a16:creationId xmlns:a16="http://schemas.microsoft.com/office/drawing/2014/main" id="{00000000-0008-0000-0300-000002000000}"/>
            </a:ext>
          </a:extLst>
        </xdr:cNvPr>
        <xdr:cNvSpPr/>
      </xdr:nvSpPr>
      <xdr:spPr>
        <a:xfrm>
          <a:off x="4262437" y="3417093"/>
          <a:ext cx="583407" cy="238126"/>
        </a:xfrm>
        <a:prstGeom prst="flowChartDisplay">
          <a:avLst/>
        </a:prstGeom>
        <a:solidFill>
          <a:schemeClr val="bg1">
            <a:lumMod val="95000"/>
          </a:schemeClr>
        </a:solidFill>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r>
            <a:rPr lang="es-PE" sz="1050" b="1"/>
            <a:t>Ver</a:t>
          </a:r>
        </a:p>
      </xdr:txBody>
    </xdr:sp>
    <xdr:clientData/>
  </xdr:twoCellAnchor>
  <xdr:twoCellAnchor editAs="oneCell">
    <xdr:from>
      <xdr:col>5</xdr:col>
      <xdr:colOff>23813</xdr:colOff>
      <xdr:row>1</xdr:row>
      <xdr:rowOff>11908</xdr:rowOff>
    </xdr:from>
    <xdr:to>
      <xdr:col>7</xdr:col>
      <xdr:colOff>17198</xdr:colOff>
      <xdr:row>2</xdr:row>
      <xdr:rowOff>71439</xdr:rowOff>
    </xdr:to>
    <xdr:pic>
      <xdr:nvPicPr>
        <xdr:cNvPr id="8" name="Picture 7" descr="cid:image001.png@01D448E6.E8A62EB0">
          <a:extLst>
            <a:ext uri="{FF2B5EF4-FFF2-40B4-BE49-F238E27FC236}">
              <a16:creationId xmlns:a16="http://schemas.microsoft.com/office/drawing/2014/main" id="{00000000-0008-0000-0300-000008000000}"/>
            </a:ext>
          </a:extLst>
        </xdr:cNvPr>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334126" y="178596"/>
          <a:ext cx="1964531" cy="678656"/>
        </a:xfrm>
        <a:prstGeom prst="rect">
          <a:avLst/>
        </a:prstGeom>
        <a:noFill/>
        <a:ln>
          <a:noFill/>
        </a:ln>
      </xdr:spPr>
    </xdr:pic>
    <xdr:clientData/>
  </xdr:twoCellAnchor>
</xdr:wsDr>
</file>

<file path=xl/drawings/drawing5.xml><?xml version="1.0" encoding="utf-8"?>
<xdr:wsDr xmlns:xdr="http://schemas.openxmlformats.org/drawingml/2006/spreadsheetDrawing" xmlns:a="http://schemas.openxmlformats.org/drawingml/2006/main">
  <xdr:twoCellAnchor>
    <xdr:from>
      <xdr:col>1</xdr:col>
      <xdr:colOff>88527</xdr:colOff>
      <xdr:row>1</xdr:row>
      <xdr:rowOff>19049</xdr:rowOff>
    </xdr:from>
    <xdr:to>
      <xdr:col>1</xdr:col>
      <xdr:colOff>1724025</xdr:colOff>
      <xdr:row>3</xdr:row>
      <xdr:rowOff>147778</xdr:rowOff>
    </xdr:to>
    <xdr:pic>
      <xdr:nvPicPr>
        <xdr:cNvPr id="2" name="Picture 14" descr="C:\Documents and Settings\np375151\Desktop\logo\logo\Logo_sura.jpg">
          <a:extLst>
            <a:ext uri="{FF2B5EF4-FFF2-40B4-BE49-F238E27FC236}">
              <a16:creationId xmlns:a16="http://schemas.microsoft.com/office/drawing/2014/main" id="{00000000-0008-0000-04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88552" y="161924"/>
          <a:ext cx="1635498" cy="5287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6.xml><?xml version="1.0" encoding="utf-8"?>
<xdr:wsDr xmlns:xdr="http://schemas.openxmlformats.org/drawingml/2006/spreadsheetDrawing" xmlns:a="http://schemas.openxmlformats.org/drawingml/2006/main">
  <xdr:twoCellAnchor>
    <xdr:from>
      <xdr:col>1</xdr:col>
      <xdr:colOff>88527</xdr:colOff>
      <xdr:row>1</xdr:row>
      <xdr:rowOff>19049</xdr:rowOff>
    </xdr:from>
    <xdr:to>
      <xdr:col>1</xdr:col>
      <xdr:colOff>1724025</xdr:colOff>
      <xdr:row>3</xdr:row>
      <xdr:rowOff>147778</xdr:rowOff>
    </xdr:to>
    <xdr:pic>
      <xdr:nvPicPr>
        <xdr:cNvPr id="4" name="Picture 14" descr="C:\Documents and Settings\np375151\Desktop\logo\logo\Logo_sura.jpg">
          <a:extLst>
            <a:ext uri="{FF2B5EF4-FFF2-40B4-BE49-F238E27FC236}">
              <a16:creationId xmlns:a16="http://schemas.microsoft.com/office/drawing/2014/main" id="{00000000-0008-0000-05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88552" y="161924"/>
          <a:ext cx="1635498" cy="5287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488146</xdr:colOff>
      <xdr:row>1</xdr:row>
      <xdr:rowOff>11906</xdr:rowOff>
    </xdr:from>
    <xdr:to>
      <xdr:col>2</xdr:col>
      <xdr:colOff>4752</xdr:colOff>
      <xdr:row>4</xdr:row>
      <xdr:rowOff>23908</xdr:rowOff>
    </xdr:to>
    <xdr:pic>
      <xdr:nvPicPr>
        <xdr:cNvPr id="2" name="Picture 4" descr="C:\Documents and Settings\np375151\Desktop\logo\logo\Logo_sura.jpg">
          <a:extLst>
            <a:ext uri="{FF2B5EF4-FFF2-40B4-BE49-F238E27FC236}">
              <a16:creationId xmlns:a16="http://schemas.microsoft.com/office/drawing/2014/main" id="{00000000-0008-0000-06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707221" y="173831"/>
          <a:ext cx="1559719" cy="573977"/>
        </a:xfrm>
        <a:prstGeom prst="rect">
          <a:avLst/>
        </a:prstGeom>
        <a:noFill/>
        <a:ln w="9525">
          <a:noFill/>
          <a:miter lim="800000"/>
          <a:headEnd/>
          <a:tailEnd/>
        </a:ln>
      </xdr:spPr>
    </xdr:pic>
    <xdr:clientData/>
  </xdr:twoCellAnchor>
  <xdr:twoCellAnchor>
    <xdr:from>
      <xdr:col>1</xdr:col>
      <xdr:colOff>123825</xdr:colOff>
      <xdr:row>1</xdr:row>
      <xdr:rowOff>19050</xdr:rowOff>
    </xdr:from>
    <xdr:to>
      <xdr:col>2</xdr:col>
      <xdr:colOff>1359273</xdr:colOff>
      <xdr:row>3</xdr:row>
      <xdr:rowOff>154129</xdr:rowOff>
    </xdr:to>
    <xdr:pic>
      <xdr:nvPicPr>
        <xdr:cNvPr id="8" name="Picture 14" descr="C:\Documents and Settings\np375151\Desktop\logo\logo\Logo_sura.jpg">
          <a:extLst>
            <a:ext uri="{FF2B5EF4-FFF2-40B4-BE49-F238E27FC236}">
              <a16:creationId xmlns:a16="http://schemas.microsoft.com/office/drawing/2014/main" id="{00000000-0008-0000-06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33375" y="180975"/>
          <a:ext cx="1635498" cy="53512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1</xdr:col>
      <xdr:colOff>488146</xdr:colOff>
      <xdr:row>1</xdr:row>
      <xdr:rowOff>11906</xdr:rowOff>
    </xdr:from>
    <xdr:to>
      <xdr:col>2</xdr:col>
      <xdr:colOff>4752</xdr:colOff>
      <xdr:row>4</xdr:row>
      <xdr:rowOff>109633</xdr:rowOff>
    </xdr:to>
    <xdr:pic>
      <xdr:nvPicPr>
        <xdr:cNvPr id="5" name="Picture 4" descr="C:\Documents and Settings\np375151\Desktop\logo\logo\Logo_sura.jpg">
          <a:extLst>
            <a:ext uri="{FF2B5EF4-FFF2-40B4-BE49-F238E27FC236}">
              <a16:creationId xmlns:a16="http://schemas.microsoft.com/office/drawing/2014/main" id="{00000000-0008-0000-0700-000005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611971" y="173831"/>
          <a:ext cx="2381" cy="573977"/>
        </a:xfrm>
        <a:prstGeom prst="rect">
          <a:avLst/>
        </a:prstGeom>
        <a:noFill/>
        <a:ln w="9525">
          <a:noFill/>
          <a:miter lim="800000"/>
          <a:headEnd/>
          <a:tailEnd/>
        </a:ln>
      </xdr:spPr>
    </xdr:pic>
    <xdr:clientData/>
  </xdr:twoCellAnchor>
  <xdr:twoCellAnchor>
    <xdr:from>
      <xdr:col>1</xdr:col>
      <xdr:colOff>123825</xdr:colOff>
      <xdr:row>1</xdr:row>
      <xdr:rowOff>19050</xdr:rowOff>
    </xdr:from>
    <xdr:to>
      <xdr:col>2</xdr:col>
      <xdr:colOff>1359273</xdr:colOff>
      <xdr:row>3</xdr:row>
      <xdr:rowOff>154129</xdr:rowOff>
    </xdr:to>
    <xdr:pic>
      <xdr:nvPicPr>
        <xdr:cNvPr id="7" name="Picture 14" descr="C:\Documents and Settings\np375151\Desktop\logo\logo\Logo_sura.jpg">
          <a:extLst>
            <a:ext uri="{FF2B5EF4-FFF2-40B4-BE49-F238E27FC236}">
              <a16:creationId xmlns:a16="http://schemas.microsoft.com/office/drawing/2014/main" id="{00000000-0008-0000-07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33375" y="180975"/>
          <a:ext cx="1635498" cy="53512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1</xdr:col>
      <xdr:colOff>88527</xdr:colOff>
      <xdr:row>1</xdr:row>
      <xdr:rowOff>19049</xdr:rowOff>
    </xdr:from>
    <xdr:to>
      <xdr:col>1</xdr:col>
      <xdr:colOff>1724025</xdr:colOff>
      <xdr:row>3</xdr:row>
      <xdr:rowOff>147778</xdr:rowOff>
    </xdr:to>
    <xdr:pic>
      <xdr:nvPicPr>
        <xdr:cNvPr id="4" name="Picture 14" descr="C:\Documents and Settings\np375151\Desktop\logo\logo\Logo_sura.jpg">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31402" y="342899"/>
          <a:ext cx="1635498" cy="5287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6.xml"/><Relationship Id="rId1" Type="http://schemas.openxmlformats.org/officeDocument/2006/relationships/printerSettings" Target="../printerSettings/printerSettings4.bin"/><Relationship Id="rId4" Type="http://schemas.openxmlformats.org/officeDocument/2006/relationships/comments" Target="../comments1.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pageSetUpPr fitToPage="1"/>
  </sheetPr>
  <dimension ref="A1:I72"/>
  <sheetViews>
    <sheetView showGridLines="0" workbookViewId="0">
      <selection activeCell="I2" sqref="I2"/>
    </sheetView>
  </sheetViews>
  <sheetFormatPr baseColWidth="10" defaultColWidth="11.42578125" defaultRowHeight="12"/>
  <cols>
    <col min="1" max="1" width="3" style="141" customWidth="1"/>
    <col min="2" max="2" width="11.7109375" style="141" customWidth="1"/>
    <col min="3" max="3" width="14" style="141" customWidth="1"/>
    <col min="4" max="4" width="12.42578125" style="141" customWidth="1"/>
    <col min="5" max="5" width="19.28515625" style="141" customWidth="1"/>
    <col min="6" max="6" width="34" style="141" customWidth="1"/>
    <col min="7" max="7" width="11.42578125" style="141" customWidth="1"/>
    <col min="8" max="8" width="26.7109375" style="141" customWidth="1"/>
    <col min="9" max="16384" width="11.42578125" style="141"/>
  </cols>
  <sheetData>
    <row r="1" spans="1:9" ht="11.25" customHeight="1"/>
    <row r="2" spans="1:9" ht="48.75" customHeight="1">
      <c r="A2" s="142"/>
      <c r="B2" s="236"/>
      <c r="C2" s="236"/>
      <c r="D2" s="237" t="s">
        <v>186</v>
      </c>
      <c r="E2" s="238"/>
      <c r="F2" s="238"/>
      <c r="G2" s="239"/>
      <c r="H2" s="143"/>
    </row>
    <row r="3" spans="1:9" s="167" customFormat="1">
      <c r="A3" s="168"/>
      <c r="B3" s="240"/>
      <c r="C3" s="241"/>
      <c r="D3" s="242" t="s">
        <v>210</v>
      </c>
      <c r="E3" s="243"/>
      <c r="F3" s="243"/>
      <c r="G3" s="244"/>
      <c r="H3" s="160" t="s">
        <v>211</v>
      </c>
    </row>
    <row r="4" spans="1:9" ht="26.25" customHeight="1">
      <c r="A4" s="144"/>
      <c r="B4" s="149"/>
      <c r="C4" s="145"/>
      <c r="D4" s="145"/>
      <c r="E4" s="145"/>
      <c r="F4" s="145"/>
      <c r="G4" s="145"/>
      <c r="H4" s="146"/>
      <c r="I4" s="147"/>
    </row>
    <row r="5" spans="1:9" ht="18.75" customHeight="1">
      <c r="A5" s="161"/>
      <c r="B5" s="246" t="s">
        <v>193</v>
      </c>
      <c r="C5" s="247"/>
      <c r="D5" s="247"/>
      <c r="E5" s="247"/>
      <c r="F5" s="247"/>
      <c r="G5" s="247"/>
      <c r="H5" s="248"/>
      <c r="I5" s="147"/>
    </row>
    <row r="6" spans="1:9" ht="18.75" customHeight="1">
      <c r="A6" s="161"/>
      <c r="B6" s="164"/>
      <c r="C6" s="162"/>
      <c r="D6" s="165"/>
      <c r="E6" s="165"/>
      <c r="F6" s="165"/>
      <c r="G6" s="165"/>
      <c r="H6" s="162"/>
      <c r="I6" s="147"/>
    </row>
    <row r="7" spans="1:9" ht="24">
      <c r="A7" s="161"/>
      <c r="B7" s="171" t="s">
        <v>180</v>
      </c>
      <c r="C7" s="171" t="s">
        <v>63</v>
      </c>
      <c r="D7" s="171" t="s">
        <v>194</v>
      </c>
      <c r="E7" s="171" t="s">
        <v>195</v>
      </c>
      <c r="F7" s="171" t="s">
        <v>6</v>
      </c>
      <c r="G7" s="171" t="s">
        <v>119</v>
      </c>
      <c r="H7" s="171" t="s">
        <v>196</v>
      </c>
      <c r="I7" s="147"/>
    </row>
    <row r="8" spans="1:9" s="167" customFormat="1" ht="15" customHeight="1">
      <c r="A8" s="169"/>
      <c r="B8" s="172">
        <v>1</v>
      </c>
      <c r="C8" s="173">
        <v>0.1</v>
      </c>
      <c r="D8" s="159">
        <v>2007</v>
      </c>
      <c r="E8" s="175" t="s">
        <v>202</v>
      </c>
      <c r="F8" s="176" t="s">
        <v>201</v>
      </c>
      <c r="G8" s="172" t="s">
        <v>197</v>
      </c>
      <c r="H8" s="172" t="s">
        <v>113</v>
      </c>
      <c r="I8" s="170"/>
    </row>
    <row r="9" spans="1:9" ht="15" customHeight="1">
      <c r="A9" s="161"/>
      <c r="B9" s="172">
        <v>2</v>
      </c>
      <c r="C9" s="173">
        <v>1</v>
      </c>
      <c r="D9" s="159">
        <v>2007</v>
      </c>
      <c r="E9" s="175" t="s">
        <v>202</v>
      </c>
      <c r="F9" s="176" t="s">
        <v>201</v>
      </c>
      <c r="G9" s="172" t="s">
        <v>198</v>
      </c>
      <c r="H9" s="172" t="s">
        <v>113</v>
      </c>
      <c r="I9" s="147"/>
    </row>
    <row r="10" spans="1:9" ht="15" customHeight="1">
      <c r="A10" s="161"/>
      <c r="B10" s="172">
        <v>3</v>
      </c>
      <c r="C10" s="173">
        <v>1.1000000000000001</v>
      </c>
      <c r="D10" s="174">
        <v>41628</v>
      </c>
      <c r="E10" s="175" t="s">
        <v>162</v>
      </c>
      <c r="F10" s="176" t="s">
        <v>199</v>
      </c>
      <c r="G10" s="172" t="s">
        <v>197</v>
      </c>
      <c r="H10" s="172" t="s">
        <v>157</v>
      </c>
      <c r="I10" s="147"/>
    </row>
    <row r="11" spans="1:9" ht="15" customHeight="1">
      <c r="A11" s="161"/>
      <c r="B11" s="172">
        <v>4</v>
      </c>
      <c r="C11" s="173">
        <v>2</v>
      </c>
      <c r="D11" s="174">
        <v>41638</v>
      </c>
      <c r="E11" s="175" t="s">
        <v>162</v>
      </c>
      <c r="F11" s="176" t="s">
        <v>199</v>
      </c>
      <c r="G11" s="172" t="s">
        <v>198</v>
      </c>
      <c r="H11" s="172" t="s">
        <v>157</v>
      </c>
      <c r="I11" s="147"/>
    </row>
    <row r="12" spans="1:9" ht="24">
      <c r="A12" s="163"/>
      <c r="B12" s="172">
        <v>5</v>
      </c>
      <c r="C12" s="173">
        <v>2.1</v>
      </c>
      <c r="D12" s="174">
        <v>41662</v>
      </c>
      <c r="E12" s="175" t="s">
        <v>162</v>
      </c>
      <c r="F12" s="176" t="s">
        <v>200</v>
      </c>
      <c r="G12" s="172" t="s">
        <v>197</v>
      </c>
      <c r="H12" s="172" t="s">
        <v>157</v>
      </c>
      <c r="I12" s="147"/>
    </row>
    <row r="13" spans="1:9" ht="24">
      <c r="A13" s="162"/>
      <c r="B13" s="172">
        <v>6</v>
      </c>
      <c r="C13" s="173">
        <v>3</v>
      </c>
      <c r="D13" s="174">
        <v>41666</v>
      </c>
      <c r="E13" s="175" t="s">
        <v>161</v>
      </c>
      <c r="F13" s="176" t="s">
        <v>200</v>
      </c>
      <c r="G13" s="172" t="s">
        <v>198</v>
      </c>
      <c r="H13" s="172" t="s">
        <v>157</v>
      </c>
    </row>
    <row r="14" spans="1:9" ht="24">
      <c r="A14" s="166"/>
      <c r="B14" s="172">
        <v>7</v>
      </c>
      <c r="C14" s="173">
        <v>3.1</v>
      </c>
      <c r="D14" s="174">
        <v>41731</v>
      </c>
      <c r="E14" s="175" t="s">
        <v>162</v>
      </c>
      <c r="F14" s="176" t="s">
        <v>209</v>
      </c>
      <c r="G14" s="172" t="s">
        <v>197</v>
      </c>
      <c r="H14" s="172" t="s">
        <v>157</v>
      </c>
    </row>
    <row r="15" spans="1:9" ht="24">
      <c r="A15" s="162"/>
      <c r="B15" s="172">
        <v>8</v>
      </c>
      <c r="C15" s="173">
        <v>4</v>
      </c>
      <c r="D15" s="174">
        <v>41732</v>
      </c>
      <c r="E15" s="175" t="s">
        <v>162</v>
      </c>
      <c r="F15" s="176" t="s">
        <v>209</v>
      </c>
      <c r="G15" s="172" t="s">
        <v>198</v>
      </c>
      <c r="H15" s="172" t="s">
        <v>157</v>
      </c>
    </row>
    <row r="16" spans="1:9">
      <c r="A16" s="166"/>
      <c r="B16" s="172"/>
      <c r="C16" s="173"/>
      <c r="D16" s="174"/>
      <c r="E16" s="175"/>
      <c r="F16" s="176"/>
      <c r="G16" s="172"/>
      <c r="H16" s="172"/>
    </row>
    <row r="17" spans="1:8">
      <c r="A17" s="162"/>
      <c r="B17" s="172"/>
      <c r="C17" s="173"/>
      <c r="D17" s="174"/>
      <c r="E17" s="175"/>
      <c r="F17" s="176"/>
      <c r="G17" s="172"/>
      <c r="H17" s="172"/>
    </row>
    <row r="18" spans="1:8" ht="30.75" customHeight="1">
      <c r="A18" s="145"/>
      <c r="B18" s="233"/>
      <c r="C18" s="233"/>
      <c r="D18" s="233"/>
      <c r="E18" s="233"/>
      <c r="F18" s="233"/>
      <c r="G18" s="233"/>
      <c r="H18" s="233"/>
    </row>
    <row r="19" spans="1:8">
      <c r="A19" s="145"/>
      <c r="B19" s="150"/>
      <c r="C19" s="150"/>
      <c r="D19" s="150"/>
      <c r="E19" s="150"/>
      <c r="F19" s="150"/>
      <c r="G19" s="150"/>
      <c r="H19" s="150"/>
    </row>
    <row r="20" spans="1:8">
      <c r="A20" s="145"/>
      <c r="B20" s="151"/>
      <c r="C20" s="234"/>
      <c r="D20" s="234"/>
      <c r="E20" s="234"/>
      <c r="F20" s="234"/>
      <c r="G20" s="234"/>
      <c r="H20" s="234"/>
    </row>
    <row r="21" spans="1:8">
      <c r="A21" s="145"/>
      <c r="B21" s="152"/>
      <c r="C21" s="150"/>
      <c r="D21" s="150"/>
      <c r="E21" s="150"/>
      <c r="F21" s="150"/>
      <c r="G21" s="150"/>
      <c r="H21" s="150"/>
    </row>
    <row r="22" spans="1:8" ht="49.5" customHeight="1">
      <c r="A22" s="145"/>
      <c r="B22" s="153"/>
      <c r="C22" s="235"/>
      <c r="D22" s="234"/>
      <c r="E22" s="234"/>
      <c r="F22" s="234"/>
      <c r="G22" s="234"/>
      <c r="H22" s="234"/>
    </row>
    <row r="23" spans="1:8">
      <c r="A23" s="145"/>
      <c r="B23" s="154"/>
      <c r="C23" s="150"/>
      <c r="D23" s="150"/>
      <c r="E23" s="150"/>
      <c r="F23" s="150"/>
      <c r="G23" s="150"/>
      <c r="H23" s="150"/>
    </row>
    <row r="24" spans="1:8">
      <c r="A24" s="145"/>
      <c r="B24" s="151"/>
      <c r="C24" s="234"/>
      <c r="D24" s="234"/>
      <c r="E24" s="234"/>
      <c r="F24" s="234"/>
      <c r="G24" s="234"/>
      <c r="H24" s="234"/>
    </row>
    <row r="25" spans="1:8">
      <c r="A25" s="145"/>
      <c r="B25" s="152"/>
      <c r="C25" s="150"/>
      <c r="D25" s="150"/>
      <c r="E25" s="150"/>
      <c r="F25" s="150"/>
      <c r="G25" s="150"/>
      <c r="H25" s="150"/>
    </row>
    <row r="26" spans="1:8" ht="78.75" customHeight="1">
      <c r="A26" s="145"/>
      <c r="B26" s="153"/>
      <c r="C26" s="235"/>
      <c r="D26" s="234"/>
      <c r="E26" s="234"/>
      <c r="F26" s="234"/>
      <c r="G26" s="234"/>
      <c r="H26" s="234"/>
    </row>
    <row r="27" spans="1:8">
      <c r="A27" s="145"/>
      <c r="B27" s="152"/>
      <c r="C27" s="150"/>
      <c r="D27" s="150"/>
      <c r="E27" s="150"/>
      <c r="F27" s="150"/>
      <c r="G27" s="150"/>
      <c r="H27" s="150"/>
    </row>
    <row r="28" spans="1:8">
      <c r="A28" s="145"/>
      <c r="B28" s="152"/>
      <c r="C28" s="150"/>
      <c r="D28" s="150"/>
      <c r="E28" s="150"/>
      <c r="F28" s="150"/>
      <c r="G28" s="150"/>
      <c r="H28" s="150"/>
    </row>
    <row r="29" spans="1:8">
      <c r="A29" s="145"/>
      <c r="B29" s="151"/>
      <c r="C29" s="234"/>
      <c r="D29" s="234"/>
      <c r="E29" s="234"/>
      <c r="F29" s="234"/>
      <c r="G29" s="234"/>
      <c r="H29" s="234"/>
    </row>
    <row r="30" spans="1:8">
      <c r="A30" s="145"/>
      <c r="B30" s="150"/>
      <c r="C30" s="150"/>
      <c r="D30" s="150"/>
      <c r="E30" s="150"/>
      <c r="F30" s="150"/>
      <c r="G30" s="150"/>
      <c r="H30" s="150"/>
    </row>
    <row r="31" spans="1:8" ht="58.5" customHeight="1">
      <c r="A31" s="145"/>
      <c r="B31" s="153"/>
      <c r="C31" s="235"/>
      <c r="D31" s="234"/>
      <c r="E31" s="234"/>
      <c r="F31" s="234"/>
      <c r="G31" s="234"/>
      <c r="H31" s="234"/>
    </row>
    <row r="32" spans="1:8" ht="90" customHeight="1">
      <c r="A32" s="145"/>
      <c r="B32" s="153"/>
      <c r="C32" s="235"/>
      <c r="D32" s="234"/>
      <c r="E32" s="234"/>
      <c r="F32" s="234"/>
      <c r="G32" s="234"/>
      <c r="H32" s="234"/>
    </row>
    <row r="33" spans="1:8">
      <c r="A33" s="145"/>
      <c r="B33" s="153"/>
      <c r="C33" s="251"/>
      <c r="D33" s="252"/>
      <c r="E33" s="252"/>
      <c r="F33" s="252"/>
      <c r="G33" s="252"/>
      <c r="H33" s="252"/>
    </row>
    <row r="34" spans="1:8">
      <c r="A34" s="145"/>
      <c r="B34" s="155"/>
      <c r="C34" s="249"/>
      <c r="D34" s="249"/>
      <c r="E34" s="156"/>
      <c r="F34" s="156"/>
      <c r="G34" s="156"/>
      <c r="H34" s="158"/>
    </row>
    <row r="35" spans="1:8">
      <c r="A35" s="145"/>
      <c r="B35" s="155"/>
      <c r="C35" s="249"/>
      <c r="D35" s="249"/>
      <c r="E35" s="156"/>
      <c r="F35" s="156"/>
      <c r="G35" s="156"/>
      <c r="H35" s="158"/>
    </row>
    <row r="36" spans="1:8">
      <c r="A36" s="145"/>
      <c r="B36" s="155"/>
      <c r="C36" s="249"/>
      <c r="D36" s="249"/>
      <c r="E36" s="156"/>
      <c r="F36" s="156"/>
      <c r="G36" s="156"/>
      <c r="H36" s="158"/>
    </row>
    <row r="37" spans="1:8">
      <c r="A37" s="145"/>
      <c r="B37" s="155"/>
      <c r="C37" s="249"/>
      <c r="D37" s="249"/>
      <c r="E37" s="156"/>
      <c r="F37" s="156"/>
      <c r="G37" s="156"/>
      <c r="H37" s="158"/>
    </row>
    <row r="38" spans="1:8">
      <c r="A38" s="145"/>
      <c r="B38" s="155"/>
      <c r="C38" s="249"/>
      <c r="D38" s="249"/>
      <c r="E38" s="156"/>
      <c r="F38" s="156"/>
      <c r="G38" s="156"/>
      <c r="H38" s="158"/>
    </row>
    <row r="39" spans="1:8">
      <c r="A39" s="145"/>
      <c r="B39" s="155"/>
      <c r="C39" s="249"/>
      <c r="D39" s="249"/>
      <c r="E39" s="156"/>
      <c r="F39" s="156"/>
      <c r="G39" s="156"/>
      <c r="H39" s="158"/>
    </row>
    <row r="40" spans="1:8">
      <c r="A40" s="145"/>
      <c r="B40" s="155"/>
      <c r="C40" s="249"/>
      <c r="D40" s="249"/>
      <c r="E40" s="156"/>
      <c r="F40" s="156"/>
      <c r="G40" s="156"/>
      <c r="H40" s="119"/>
    </row>
    <row r="41" spans="1:8">
      <c r="A41" s="145"/>
      <c r="B41" s="155"/>
      <c r="C41" s="249"/>
      <c r="D41" s="249"/>
      <c r="E41" s="156"/>
      <c r="F41" s="156"/>
      <c r="G41" s="156"/>
      <c r="H41" s="119"/>
    </row>
    <row r="42" spans="1:8">
      <c r="A42" s="145"/>
      <c r="B42" s="155"/>
      <c r="C42" s="249"/>
      <c r="D42" s="249"/>
      <c r="E42" s="156"/>
      <c r="F42" s="156"/>
      <c r="G42" s="156"/>
      <c r="H42" s="119"/>
    </row>
    <row r="43" spans="1:8">
      <c r="A43" s="145"/>
      <c r="B43" s="155"/>
      <c r="C43" s="249"/>
      <c r="D43" s="249"/>
      <c r="E43" s="156"/>
      <c r="F43" s="156"/>
      <c r="G43" s="156"/>
      <c r="H43" s="119"/>
    </row>
    <row r="44" spans="1:8" ht="26.25" customHeight="1">
      <c r="A44" s="145"/>
      <c r="B44" s="155"/>
      <c r="C44" s="250"/>
      <c r="D44" s="250"/>
      <c r="E44" s="250"/>
      <c r="F44" s="250"/>
      <c r="G44" s="250"/>
      <c r="H44" s="250"/>
    </row>
    <row r="45" spans="1:8">
      <c r="A45" s="145"/>
      <c r="B45" s="145"/>
      <c r="C45" s="148"/>
      <c r="D45" s="145"/>
      <c r="E45" s="145"/>
      <c r="F45" s="145"/>
      <c r="G45" s="145"/>
      <c r="H45" s="145"/>
    </row>
    <row r="46" spans="1:8">
      <c r="A46" s="157"/>
      <c r="B46" s="145"/>
      <c r="C46" s="145"/>
      <c r="D46" s="145"/>
      <c r="E46" s="145"/>
      <c r="F46" s="145"/>
      <c r="G46" s="145"/>
      <c r="H46" s="145"/>
    </row>
    <row r="47" spans="1:8">
      <c r="A47" s="145"/>
      <c r="B47" s="145"/>
      <c r="C47" s="145"/>
      <c r="D47" s="145"/>
      <c r="E47" s="145"/>
      <c r="F47" s="145"/>
      <c r="G47" s="145"/>
      <c r="H47" s="145"/>
    </row>
    <row r="48" spans="1:8">
      <c r="A48" s="153"/>
      <c r="B48" s="145"/>
      <c r="C48" s="145"/>
      <c r="D48" s="145"/>
      <c r="E48" s="145"/>
      <c r="F48" s="145"/>
      <c r="G48" s="145"/>
      <c r="H48" s="145"/>
    </row>
    <row r="49" spans="1:8">
      <c r="A49" s="153"/>
      <c r="B49" s="145"/>
      <c r="C49" s="145"/>
      <c r="D49" s="145"/>
      <c r="E49" s="145"/>
      <c r="F49" s="145"/>
      <c r="G49" s="145"/>
      <c r="H49" s="145"/>
    </row>
    <row r="50" spans="1:8">
      <c r="A50" s="153"/>
      <c r="B50" s="145"/>
      <c r="C50" s="145"/>
      <c r="D50" s="145"/>
      <c r="E50" s="145"/>
      <c r="F50" s="145"/>
      <c r="G50" s="145"/>
      <c r="H50" s="145"/>
    </row>
    <row r="51" spans="1:8">
      <c r="A51" s="145"/>
      <c r="B51" s="249"/>
      <c r="C51" s="249"/>
      <c r="D51" s="145"/>
      <c r="E51" s="145"/>
      <c r="F51" s="145"/>
      <c r="G51" s="145"/>
      <c r="H51" s="145"/>
    </row>
    <row r="52" spans="1:8">
      <c r="A52" s="145"/>
      <c r="B52" s="249"/>
      <c r="C52" s="249"/>
      <c r="D52" s="145"/>
      <c r="E52" s="145"/>
      <c r="F52" s="145"/>
      <c r="G52" s="145"/>
      <c r="H52" s="145"/>
    </row>
    <row r="53" spans="1:8">
      <c r="A53" s="145"/>
      <c r="B53" s="249"/>
      <c r="C53" s="249"/>
      <c r="D53" s="145"/>
      <c r="E53" s="145"/>
      <c r="F53" s="145"/>
      <c r="G53" s="145"/>
      <c r="H53" s="145"/>
    </row>
    <row r="54" spans="1:8">
      <c r="A54" s="145"/>
      <c r="B54" s="249"/>
      <c r="C54" s="249"/>
      <c r="D54" s="145"/>
      <c r="E54" s="145"/>
      <c r="F54" s="145"/>
      <c r="G54" s="145"/>
      <c r="H54" s="145"/>
    </row>
    <row r="55" spans="1:8">
      <c r="A55" s="145"/>
      <c r="B55" s="249"/>
      <c r="C55" s="249"/>
      <c r="D55" s="145"/>
      <c r="E55" s="145"/>
      <c r="F55" s="145"/>
      <c r="G55" s="145"/>
      <c r="H55" s="145"/>
    </row>
    <row r="56" spans="1:8">
      <c r="A56" s="145"/>
      <c r="B56" s="249"/>
      <c r="C56" s="249"/>
      <c r="D56" s="145"/>
      <c r="E56" s="145"/>
      <c r="F56" s="145"/>
      <c r="G56" s="145"/>
      <c r="H56" s="145"/>
    </row>
    <row r="57" spans="1:8">
      <c r="A57" s="145"/>
      <c r="B57" s="249"/>
      <c r="C57" s="249"/>
      <c r="D57" s="145"/>
      <c r="E57" s="145"/>
      <c r="F57" s="145"/>
      <c r="G57" s="145"/>
      <c r="H57" s="145"/>
    </row>
    <row r="58" spans="1:8">
      <c r="A58" s="145"/>
      <c r="B58" s="249"/>
      <c r="C58" s="249"/>
      <c r="D58" s="145"/>
      <c r="E58" s="145"/>
      <c r="F58" s="145"/>
      <c r="G58" s="145"/>
      <c r="H58" s="145"/>
    </row>
    <row r="59" spans="1:8">
      <c r="A59" s="145"/>
      <c r="B59" s="249"/>
      <c r="C59" s="249"/>
      <c r="D59" s="145"/>
      <c r="E59" s="145"/>
      <c r="F59" s="145"/>
      <c r="G59" s="145"/>
      <c r="H59" s="145"/>
    </row>
    <row r="60" spans="1:8">
      <c r="A60" s="145"/>
      <c r="B60" s="249"/>
      <c r="C60" s="249"/>
      <c r="D60" s="145"/>
      <c r="E60" s="145"/>
      <c r="F60" s="145"/>
      <c r="G60" s="145"/>
      <c r="H60" s="145"/>
    </row>
    <row r="61" spans="1:8">
      <c r="A61" s="145"/>
      <c r="B61" s="249"/>
      <c r="C61" s="249"/>
      <c r="D61" s="145"/>
      <c r="E61" s="145"/>
      <c r="F61" s="145"/>
      <c r="G61" s="145"/>
      <c r="H61" s="145"/>
    </row>
    <row r="62" spans="1:8">
      <c r="A62" s="145"/>
      <c r="B62" s="249"/>
      <c r="C62" s="249"/>
      <c r="D62" s="145"/>
      <c r="E62" s="145"/>
      <c r="F62" s="145"/>
      <c r="G62" s="145"/>
      <c r="H62" s="145"/>
    </row>
    <row r="63" spans="1:8">
      <c r="A63" s="153"/>
      <c r="B63" s="145"/>
      <c r="C63" s="156"/>
      <c r="D63" s="145"/>
      <c r="E63" s="145"/>
      <c r="F63" s="145"/>
      <c r="G63" s="145"/>
      <c r="H63" s="145"/>
    </row>
    <row r="64" spans="1:8" ht="15" customHeight="1">
      <c r="A64" s="153"/>
      <c r="B64" s="234"/>
      <c r="C64" s="234"/>
      <c r="D64" s="234"/>
      <c r="E64" s="234"/>
      <c r="F64" s="234"/>
      <c r="G64" s="234"/>
      <c r="H64" s="234"/>
    </row>
    <row r="65" spans="1:8" ht="32.25" customHeight="1">
      <c r="A65" s="153"/>
      <c r="B65" s="234"/>
      <c r="C65" s="234"/>
      <c r="D65" s="234"/>
      <c r="E65" s="234"/>
      <c r="F65" s="234"/>
      <c r="G65" s="234"/>
      <c r="H65" s="234"/>
    </row>
    <row r="66" spans="1:8">
      <c r="A66" s="145"/>
      <c r="B66" s="145"/>
      <c r="C66" s="145"/>
      <c r="D66" s="145"/>
      <c r="E66" s="145"/>
      <c r="F66" s="145"/>
      <c r="G66" s="145"/>
      <c r="H66" s="145"/>
    </row>
    <row r="67" spans="1:8">
      <c r="A67" s="157"/>
      <c r="B67" s="145"/>
      <c r="C67" s="145"/>
      <c r="D67" s="145"/>
      <c r="E67" s="145"/>
      <c r="F67" s="145"/>
      <c r="G67" s="145"/>
      <c r="H67" s="145"/>
    </row>
    <row r="68" spans="1:8">
      <c r="A68" s="145"/>
      <c r="B68" s="145"/>
      <c r="C68" s="145"/>
      <c r="D68" s="145"/>
      <c r="E68" s="145"/>
      <c r="F68" s="145"/>
      <c r="G68" s="145"/>
      <c r="H68" s="145"/>
    </row>
    <row r="69" spans="1:8" ht="32.25" customHeight="1">
      <c r="A69" s="153"/>
      <c r="B69" s="245"/>
      <c r="C69" s="245"/>
      <c r="D69" s="245"/>
      <c r="E69" s="245"/>
      <c r="F69" s="245"/>
      <c r="G69" s="245"/>
      <c r="H69" s="245"/>
    </row>
    <row r="70" spans="1:8" ht="17.25" customHeight="1">
      <c r="A70" s="153"/>
      <c r="B70" s="245"/>
      <c r="C70" s="245"/>
      <c r="D70" s="245"/>
      <c r="E70" s="245"/>
      <c r="F70" s="245"/>
      <c r="G70" s="245"/>
      <c r="H70" s="245"/>
    </row>
    <row r="71" spans="1:8" ht="18" customHeight="1">
      <c r="A71" s="153"/>
      <c r="B71" s="245"/>
      <c r="C71" s="245"/>
      <c r="D71" s="245"/>
      <c r="E71" s="245"/>
      <c r="F71" s="245"/>
      <c r="G71" s="245"/>
      <c r="H71" s="245"/>
    </row>
    <row r="72" spans="1:8">
      <c r="A72" s="153"/>
      <c r="B72" s="245"/>
      <c r="C72" s="245"/>
      <c r="D72" s="245"/>
      <c r="E72" s="245"/>
      <c r="F72" s="245"/>
      <c r="G72" s="245"/>
      <c r="H72" s="245"/>
    </row>
  </sheetData>
  <mergeCells count="43">
    <mergeCell ref="C40:D40"/>
    <mergeCell ref="C26:H26"/>
    <mergeCell ref="C35:D35"/>
    <mergeCell ref="C36:D36"/>
    <mergeCell ref="C37:D37"/>
    <mergeCell ref="C38:D38"/>
    <mergeCell ref="C39:D39"/>
    <mergeCell ref="C29:H29"/>
    <mergeCell ref="C31:H31"/>
    <mergeCell ref="C32:H32"/>
    <mergeCell ref="C33:H33"/>
    <mergeCell ref="C34:D34"/>
    <mergeCell ref="B69:H69"/>
    <mergeCell ref="B70:H70"/>
    <mergeCell ref="B71:H71"/>
    <mergeCell ref="C43:D43"/>
    <mergeCell ref="C44:H44"/>
    <mergeCell ref="B51:C51"/>
    <mergeCell ref="B52:C52"/>
    <mergeCell ref="B72:H72"/>
    <mergeCell ref="B5:H5"/>
    <mergeCell ref="B59:C59"/>
    <mergeCell ref="B60:C60"/>
    <mergeCell ref="B61:C61"/>
    <mergeCell ref="B62:C62"/>
    <mergeCell ref="B64:H64"/>
    <mergeCell ref="B65:H65"/>
    <mergeCell ref="B53:C53"/>
    <mergeCell ref="B54:C54"/>
    <mergeCell ref="B55:C55"/>
    <mergeCell ref="B56:C56"/>
    <mergeCell ref="B57:C57"/>
    <mergeCell ref="B58:C58"/>
    <mergeCell ref="C41:D41"/>
    <mergeCell ref="C42:D42"/>
    <mergeCell ref="B18:H18"/>
    <mergeCell ref="C20:H20"/>
    <mergeCell ref="C22:H22"/>
    <mergeCell ref="C24:H24"/>
    <mergeCell ref="B2:C2"/>
    <mergeCell ref="D2:G2"/>
    <mergeCell ref="B3:C3"/>
    <mergeCell ref="D3:G3"/>
  </mergeCells>
  <pageMargins left="0.65" right="0.38" top="0.56000000000000005" bottom="0.31" header="0.5" footer="0.5"/>
  <pageSetup paperSize="9" scale="23" orientation="portrait" verticalDpi="0"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I249"/>
  <sheetViews>
    <sheetView showGridLines="0" topLeftCell="A45" workbookViewId="0">
      <selection activeCell="A2" sqref="A2:XFD4"/>
    </sheetView>
  </sheetViews>
  <sheetFormatPr baseColWidth="10" defaultColWidth="9.140625" defaultRowHeight="12"/>
  <cols>
    <col min="1" max="1" width="3" style="69" customWidth="1"/>
    <col min="2" max="2" width="27.140625" style="69" customWidth="1"/>
    <col min="3" max="3" width="11.5703125" style="69" customWidth="1"/>
    <col min="4" max="6" width="12.42578125" style="69" customWidth="1"/>
    <col min="7" max="7" width="15.42578125" style="69" customWidth="1"/>
    <col min="8" max="8" width="26.28515625" style="69" customWidth="1"/>
    <col min="9" max="16384" width="9.140625" style="69"/>
  </cols>
  <sheetData>
    <row r="1" spans="1:8" ht="11.25" customHeight="1"/>
    <row r="2" spans="1:8" s="215" customFormat="1" ht="15.75" customHeight="1">
      <c r="B2" s="268"/>
      <c r="C2" s="267" t="s">
        <v>244</v>
      </c>
      <c r="D2" s="267"/>
      <c r="E2" s="267"/>
      <c r="F2" s="267"/>
      <c r="G2" s="267"/>
      <c r="H2" s="213" t="s">
        <v>245</v>
      </c>
    </row>
    <row r="3" spans="1:8" s="215" customFormat="1" ht="15.75" customHeight="1">
      <c r="B3" s="269"/>
      <c r="C3" s="267" t="s">
        <v>234</v>
      </c>
      <c r="D3" s="267"/>
      <c r="E3" s="267"/>
      <c r="F3" s="267"/>
      <c r="G3" s="267"/>
      <c r="H3" s="216" t="s">
        <v>246</v>
      </c>
    </row>
    <row r="4" spans="1:8" s="215" customFormat="1" ht="12.75">
      <c r="B4" s="270"/>
      <c r="C4" s="267"/>
      <c r="D4" s="267"/>
      <c r="E4" s="267"/>
      <c r="F4" s="267"/>
      <c r="G4" s="267"/>
      <c r="H4" s="217" t="s">
        <v>247</v>
      </c>
    </row>
    <row r="5" spans="1:8" s="210" customFormat="1" ht="12" customHeight="1">
      <c r="A5" s="208"/>
      <c r="B5" s="209"/>
      <c r="C5" s="134"/>
      <c r="D5" s="134"/>
      <c r="E5" s="134"/>
      <c r="F5" s="134"/>
      <c r="G5" s="134"/>
      <c r="H5" s="134"/>
    </row>
    <row r="6" spans="1:8" s="210" customFormat="1" ht="12" customHeight="1">
      <c r="A6" s="208"/>
      <c r="B6" s="209"/>
      <c r="C6" s="134"/>
      <c r="D6" s="134"/>
      <c r="E6" s="134"/>
      <c r="F6" s="134"/>
      <c r="G6" s="134"/>
      <c r="H6" s="134"/>
    </row>
    <row r="7" spans="1:8" ht="21.75" customHeight="1">
      <c r="A7" s="70"/>
      <c r="B7" s="120" t="s">
        <v>66</v>
      </c>
      <c r="C7" s="72"/>
      <c r="D7" s="72"/>
      <c r="E7" s="72"/>
      <c r="F7" s="72"/>
      <c r="G7" s="72"/>
    </row>
    <row r="8" spans="1:8" ht="36" customHeight="1">
      <c r="A8" s="70"/>
      <c r="B8" s="253" t="s">
        <v>67</v>
      </c>
      <c r="C8" s="253"/>
      <c r="D8" s="253"/>
      <c r="E8" s="253"/>
      <c r="F8" s="253"/>
      <c r="G8" s="253"/>
      <c r="H8" s="253"/>
    </row>
    <row r="9" spans="1:8">
      <c r="A9" s="70"/>
      <c r="B9" s="73"/>
      <c r="C9" s="73"/>
      <c r="D9" s="73"/>
      <c r="E9" s="73"/>
      <c r="F9" s="73"/>
      <c r="G9" s="73"/>
      <c r="H9" s="73"/>
    </row>
    <row r="10" spans="1:8">
      <c r="A10" s="70"/>
      <c r="B10" s="121" t="s">
        <v>10</v>
      </c>
      <c r="C10" s="72"/>
      <c r="D10" s="72"/>
      <c r="E10" s="72"/>
      <c r="F10" s="72"/>
      <c r="G10" s="72"/>
    </row>
    <row r="11" spans="1:8">
      <c r="A11" s="70"/>
      <c r="B11" s="74" t="s">
        <v>10</v>
      </c>
      <c r="C11" s="75"/>
      <c r="D11" s="254" t="s">
        <v>6</v>
      </c>
      <c r="E11" s="254"/>
      <c r="F11" s="254"/>
      <c r="G11" s="254"/>
      <c r="H11" s="254"/>
    </row>
    <row r="12" spans="1:8">
      <c r="A12" s="70"/>
      <c r="C12" s="72"/>
      <c r="D12" s="76"/>
      <c r="E12" s="76"/>
      <c r="F12" s="76"/>
      <c r="G12" s="76"/>
      <c r="H12" s="76"/>
    </row>
    <row r="13" spans="1:8" ht="12" customHeight="1">
      <c r="A13" s="70"/>
      <c r="B13" s="77" t="s">
        <v>152</v>
      </c>
      <c r="D13" s="255" t="s">
        <v>11</v>
      </c>
      <c r="E13" s="255"/>
      <c r="F13" s="255"/>
      <c r="G13" s="255"/>
      <c r="H13" s="255"/>
    </row>
    <row r="14" spans="1:8" ht="9.9499999999999993" customHeight="1">
      <c r="A14" s="70"/>
      <c r="B14" s="78"/>
    </row>
    <row r="15" spans="1:8" ht="25.5" customHeight="1">
      <c r="A15" s="70"/>
      <c r="B15" s="79" t="s">
        <v>152</v>
      </c>
      <c r="D15" s="255" t="s">
        <v>12</v>
      </c>
      <c r="E15" s="255"/>
      <c r="F15" s="255"/>
      <c r="G15" s="255"/>
      <c r="H15" s="255"/>
    </row>
    <row r="16" spans="1:8" ht="9.9499999999999993" customHeight="1">
      <c r="A16" s="70"/>
      <c r="B16" s="76"/>
    </row>
    <row r="17" spans="1:8" ht="12" customHeight="1">
      <c r="A17" s="80"/>
      <c r="B17" s="81" t="s">
        <v>152</v>
      </c>
      <c r="D17" s="255" t="s">
        <v>68</v>
      </c>
      <c r="E17" s="255"/>
      <c r="F17" s="255"/>
      <c r="G17" s="255"/>
      <c r="H17" s="255"/>
    </row>
    <row r="18" spans="1:8">
      <c r="A18" s="80"/>
      <c r="B18" s="76"/>
    </row>
    <row r="19" spans="1:8" ht="12" customHeight="1">
      <c r="A19" s="80"/>
      <c r="B19" s="82" t="s">
        <v>152</v>
      </c>
      <c r="D19" s="255" t="s">
        <v>64</v>
      </c>
      <c r="E19" s="255"/>
      <c r="F19" s="255"/>
      <c r="G19" s="255"/>
      <c r="H19" s="255"/>
    </row>
    <row r="20" spans="1:8" s="85" customFormat="1" ht="12" customHeight="1">
      <c r="A20" s="83"/>
      <c r="B20" s="84"/>
      <c r="D20" s="86"/>
      <c r="E20" s="86"/>
      <c r="F20" s="86"/>
      <c r="G20" s="86"/>
      <c r="H20" s="86"/>
    </row>
    <row r="21" spans="1:8">
      <c r="A21" s="80"/>
    </row>
    <row r="22" spans="1:8" s="64" customFormat="1" ht="16.5" customHeight="1">
      <c r="B22" s="256" t="s">
        <v>15</v>
      </c>
      <c r="C22" s="256"/>
      <c r="D22" s="256"/>
      <c r="E22" s="256"/>
      <c r="F22" s="256"/>
      <c r="G22" s="256"/>
      <c r="H22" s="256"/>
    </row>
    <row r="23" spans="1:8" s="64" customFormat="1" ht="13.5" customHeight="1">
      <c r="B23" s="87" t="s">
        <v>13</v>
      </c>
      <c r="C23" s="256" t="s">
        <v>6</v>
      </c>
      <c r="D23" s="256"/>
      <c r="E23" s="256"/>
      <c r="F23" s="256"/>
      <c r="G23" s="256"/>
      <c r="H23" s="256"/>
    </row>
    <row r="24" spans="1:8" s="88" customFormat="1" ht="12.75" customHeight="1">
      <c r="B24" s="65" t="s">
        <v>16</v>
      </c>
      <c r="C24" s="257" t="s">
        <v>85</v>
      </c>
      <c r="D24" s="257"/>
      <c r="E24" s="257"/>
      <c r="F24" s="257"/>
      <c r="G24" s="257"/>
      <c r="H24" s="257"/>
    </row>
    <row r="25" spans="1:8" s="88" customFormat="1" ht="12.75" customHeight="1">
      <c r="B25" s="65" t="s">
        <v>69</v>
      </c>
      <c r="C25" s="257" t="s">
        <v>178</v>
      </c>
      <c r="D25" s="257"/>
      <c r="E25" s="257"/>
      <c r="F25" s="257"/>
      <c r="G25" s="257"/>
      <c r="H25" s="257"/>
    </row>
    <row r="26" spans="1:8" s="88" customFormat="1" ht="12" customHeight="1">
      <c r="B26" s="65" t="s">
        <v>36</v>
      </c>
      <c r="C26" s="257" t="s">
        <v>123</v>
      </c>
      <c r="D26" s="257"/>
      <c r="E26" s="257"/>
      <c r="F26" s="257"/>
      <c r="G26" s="257"/>
      <c r="H26" s="257"/>
    </row>
    <row r="27" spans="1:8" s="88" customFormat="1" ht="25.5" customHeight="1">
      <c r="B27" s="65" t="s">
        <v>72</v>
      </c>
      <c r="C27" s="257" t="s">
        <v>73</v>
      </c>
      <c r="D27" s="257"/>
      <c r="E27" s="257"/>
      <c r="F27" s="257"/>
      <c r="G27" s="257"/>
      <c r="H27" s="257"/>
    </row>
    <row r="28" spans="1:8" s="88" customFormat="1" ht="12.75" customHeight="1">
      <c r="B28" s="65" t="s">
        <v>29</v>
      </c>
      <c r="C28" s="257" t="s">
        <v>50</v>
      </c>
      <c r="D28" s="257"/>
      <c r="E28" s="257"/>
      <c r="F28" s="257"/>
      <c r="G28" s="257"/>
      <c r="H28" s="257"/>
    </row>
    <row r="29" spans="1:8" s="88" customFormat="1" ht="12.75" customHeight="1">
      <c r="B29" s="65" t="s">
        <v>17</v>
      </c>
      <c r="C29" s="257" t="s">
        <v>19</v>
      </c>
      <c r="D29" s="257"/>
      <c r="E29" s="257"/>
      <c r="F29" s="257"/>
      <c r="G29" s="257"/>
      <c r="H29" s="257"/>
    </row>
    <row r="30" spans="1:8" s="88" customFormat="1" ht="13.5" customHeight="1">
      <c r="B30" s="65" t="s">
        <v>18</v>
      </c>
      <c r="C30" s="257" t="s">
        <v>51</v>
      </c>
      <c r="D30" s="257"/>
      <c r="E30" s="257"/>
      <c r="F30" s="257"/>
      <c r="G30" s="257"/>
      <c r="H30" s="257"/>
    </row>
    <row r="31" spans="1:8" s="88" customFormat="1" ht="13.5" customHeight="1">
      <c r="B31" s="65" t="s">
        <v>65</v>
      </c>
      <c r="C31" s="257" t="s">
        <v>192</v>
      </c>
      <c r="D31" s="257"/>
      <c r="E31" s="257"/>
      <c r="F31" s="257"/>
      <c r="G31" s="257"/>
      <c r="H31" s="257"/>
    </row>
    <row r="32" spans="1:8" s="64" customFormat="1" ht="13.5" customHeight="1">
      <c r="B32" s="66"/>
      <c r="C32" s="67"/>
      <c r="D32" s="67"/>
      <c r="E32" s="67"/>
      <c r="F32" s="67"/>
      <c r="G32" s="67"/>
      <c r="H32" s="67"/>
    </row>
    <row r="33" spans="1:9">
      <c r="A33" s="80"/>
      <c r="B33" s="121"/>
    </row>
    <row r="34" spans="1:9" s="64" customFormat="1" ht="16.5" customHeight="1">
      <c r="B34" s="256" t="s">
        <v>70</v>
      </c>
      <c r="C34" s="256"/>
      <c r="D34" s="256"/>
      <c r="E34" s="256"/>
      <c r="F34" s="256"/>
      <c r="G34" s="256"/>
      <c r="H34" s="256"/>
    </row>
    <row r="35" spans="1:9" s="64" customFormat="1" ht="13.5" customHeight="1">
      <c r="B35" s="87" t="s">
        <v>13</v>
      </c>
      <c r="C35" s="256" t="s">
        <v>6</v>
      </c>
      <c r="D35" s="256"/>
      <c r="E35" s="256"/>
      <c r="F35" s="256"/>
      <c r="G35" s="256"/>
      <c r="H35" s="256"/>
    </row>
    <row r="36" spans="1:9" s="68" customFormat="1" ht="12.75" customHeight="1">
      <c r="B36" s="89" t="s">
        <v>27</v>
      </c>
      <c r="C36" s="258" t="s">
        <v>138</v>
      </c>
      <c r="D36" s="259"/>
      <c r="E36" s="259"/>
      <c r="F36" s="259"/>
      <c r="G36" s="259"/>
      <c r="H36" s="260"/>
      <c r="I36" s="69"/>
    </row>
    <row r="37" spans="1:9" s="68" customFormat="1" ht="12.75" customHeight="1">
      <c r="B37" s="89" t="s">
        <v>47</v>
      </c>
      <c r="C37" s="258" t="s">
        <v>139</v>
      </c>
      <c r="D37" s="259"/>
      <c r="E37" s="259"/>
      <c r="F37" s="259"/>
      <c r="G37" s="259"/>
      <c r="H37" s="260"/>
      <c r="I37" s="69"/>
    </row>
    <row r="38" spans="1:9" s="68" customFormat="1" ht="12.75" customHeight="1">
      <c r="B38" s="89" t="s">
        <v>14</v>
      </c>
      <c r="C38" s="258" t="s">
        <v>53</v>
      </c>
      <c r="D38" s="259"/>
      <c r="E38" s="259"/>
      <c r="F38" s="259"/>
      <c r="G38" s="259"/>
      <c r="H38" s="260"/>
      <c r="I38" s="69"/>
    </row>
    <row r="39" spans="1:9" s="68" customFormat="1" ht="12.75" customHeight="1">
      <c r="B39" s="133" t="s">
        <v>184</v>
      </c>
      <c r="C39" s="258" t="s">
        <v>191</v>
      </c>
      <c r="D39" s="271"/>
      <c r="E39" s="271"/>
      <c r="F39" s="271"/>
      <c r="G39" s="271"/>
      <c r="H39" s="272"/>
      <c r="I39" s="69"/>
    </row>
    <row r="40" spans="1:9" s="68" customFormat="1" ht="12.75" customHeight="1">
      <c r="B40" s="89" t="s">
        <v>6</v>
      </c>
      <c r="C40" s="258" t="s">
        <v>140</v>
      </c>
      <c r="D40" s="259"/>
      <c r="E40" s="259"/>
      <c r="F40" s="259"/>
      <c r="G40" s="259"/>
      <c r="H40" s="260"/>
      <c r="I40" s="69"/>
    </row>
    <row r="41" spans="1:9" s="68" customFormat="1" ht="12.75" customHeight="1">
      <c r="B41" s="89" t="s">
        <v>9</v>
      </c>
      <c r="C41" s="258" t="s">
        <v>141</v>
      </c>
      <c r="D41" s="259"/>
      <c r="E41" s="259"/>
      <c r="F41" s="259"/>
      <c r="G41" s="259"/>
      <c r="H41" s="260"/>
      <c r="I41" s="69"/>
    </row>
    <row r="42" spans="1:9" s="68" customFormat="1" ht="16.5" customHeight="1">
      <c r="B42" s="261" t="s">
        <v>54</v>
      </c>
      <c r="C42" s="262"/>
      <c r="D42" s="262"/>
      <c r="E42" s="262"/>
      <c r="F42" s="262"/>
      <c r="G42" s="262"/>
      <c r="H42" s="262"/>
      <c r="I42" s="69"/>
    </row>
    <row r="43" spans="1:9" s="68" customFormat="1">
      <c r="B43" s="89" t="s">
        <v>48</v>
      </c>
      <c r="C43" s="258" t="s">
        <v>167</v>
      </c>
      <c r="D43" s="259"/>
      <c r="E43" s="259"/>
      <c r="F43" s="259"/>
      <c r="G43" s="259"/>
      <c r="H43" s="260"/>
      <c r="I43" s="69"/>
    </row>
    <row r="44" spans="1:9" s="68" customFormat="1" ht="12.75" customHeight="1">
      <c r="B44" s="89" t="s">
        <v>44</v>
      </c>
      <c r="C44" s="258" t="s">
        <v>168</v>
      </c>
      <c r="D44" s="259"/>
      <c r="E44" s="259"/>
      <c r="F44" s="259"/>
      <c r="G44" s="259"/>
      <c r="H44" s="260"/>
      <c r="I44" s="69"/>
    </row>
    <row r="45" spans="1:9" s="68" customFormat="1" ht="12.75" customHeight="1">
      <c r="B45" s="89" t="s">
        <v>28</v>
      </c>
      <c r="C45" s="258" t="s">
        <v>169</v>
      </c>
      <c r="D45" s="259"/>
      <c r="E45" s="259"/>
      <c r="F45" s="259"/>
      <c r="G45" s="259"/>
      <c r="H45" s="260"/>
      <c r="I45" s="69"/>
    </row>
    <row r="46" spans="1:9" s="68" customFormat="1" ht="16.5" customHeight="1">
      <c r="B46" s="261" t="s">
        <v>215</v>
      </c>
      <c r="C46" s="262"/>
      <c r="D46" s="262"/>
      <c r="E46" s="262"/>
      <c r="F46" s="262"/>
      <c r="G46" s="262"/>
      <c r="H46" s="262"/>
      <c r="I46" s="69"/>
    </row>
    <row r="47" spans="1:9" s="68" customFormat="1" ht="16.5" customHeight="1">
      <c r="B47" s="192" t="s">
        <v>216</v>
      </c>
      <c r="C47" s="258" t="s">
        <v>218</v>
      </c>
      <c r="D47" s="259"/>
      <c r="E47" s="259"/>
      <c r="F47" s="259"/>
      <c r="G47" s="259"/>
      <c r="H47" s="260"/>
      <c r="I47" s="167"/>
    </row>
    <row r="48" spans="1:9" s="68" customFormat="1" ht="16.5" customHeight="1">
      <c r="B48" s="261" t="s">
        <v>144</v>
      </c>
      <c r="C48" s="262"/>
      <c r="D48" s="262"/>
      <c r="E48" s="262"/>
      <c r="F48" s="262"/>
      <c r="G48" s="262"/>
      <c r="H48" s="262"/>
      <c r="I48" s="167"/>
    </row>
    <row r="49" spans="2:9" s="68" customFormat="1" ht="93.75" customHeight="1">
      <c r="B49" s="89" t="s">
        <v>37</v>
      </c>
      <c r="C49" s="258" t="s">
        <v>170</v>
      </c>
      <c r="D49" s="259"/>
      <c r="E49" s="259"/>
      <c r="F49" s="259"/>
      <c r="G49" s="259"/>
      <c r="H49" s="260"/>
      <c r="I49" s="69"/>
    </row>
    <row r="50" spans="2:9" s="68" customFormat="1" ht="27" customHeight="1">
      <c r="B50" s="89" t="s">
        <v>59</v>
      </c>
      <c r="C50" s="258" t="s">
        <v>142</v>
      </c>
      <c r="D50" s="259"/>
      <c r="E50" s="259"/>
      <c r="F50" s="259"/>
      <c r="G50" s="259"/>
      <c r="H50" s="260"/>
      <c r="I50" s="69"/>
    </row>
    <row r="51" spans="2:9" s="68" customFormat="1" ht="40.5" customHeight="1">
      <c r="B51" s="89" t="s">
        <v>46</v>
      </c>
      <c r="C51" s="258" t="s">
        <v>164</v>
      </c>
      <c r="D51" s="259"/>
      <c r="E51" s="259"/>
      <c r="F51" s="259"/>
      <c r="G51" s="259"/>
      <c r="H51" s="260"/>
      <c r="I51" s="69"/>
    </row>
    <row r="52" spans="2:9" s="68" customFormat="1" ht="121.5" customHeight="1">
      <c r="B52" s="89" t="s">
        <v>61</v>
      </c>
      <c r="C52" s="258" t="s">
        <v>163</v>
      </c>
      <c r="D52" s="259"/>
      <c r="E52" s="259"/>
      <c r="F52" s="259"/>
      <c r="G52" s="259"/>
      <c r="H52" s="260"/>
      <c r="I52" s="69"/>
    </row>
    <row r="53" spans="2:9" s="68" customFormat="1" ht="27" customHeight="1">
      <c r="B53" s="89" t="s">
        <v>143</v>
      </c>
      <c r="C53" s="258" t="s">
        <v>145</v>
      </c>
      <c r="D53" s="259"/>
      <c r="E53" s="259"/>
      <c r="F53" s="259"/>
      <c r="G53" s="259"/>
      <c r="H53" s="260"/>
      <c r="I53" s="69"/>
    </row>
    <row r="54" spans="2:9" s="68" customFormat="1">
      <c r="B54" s="89" t="s">
        <v>146</v>
      </c>
      <c r="C54" s="258" t="s">
        <v>147</v>
      </c>
      <c r="D54" s="259"/>
      <c r="E54" s="259"/>
      <c r="F54" s="259"/>
      <c r="G54" s="259"/>
      <c r="H54" s="260"/>
      <c r="I54" s="69"/>
    </row>
    <row r="55" spans="2:9" s="68" customFormat="1" ht="16.5" customHeight="1">
      <c r="B55" s="261" t="s">
        <v>134</v>
      </c>
      <c r="C55" s="262"/>
      <c r="D55" s="262"/>
      <c r="E55" s="262"/>
      <c r="F55" s="262"/>
      <c r="G55" s="262"/>
      <c r="H55" s="262"/>
      <c r="I55" s="69"/>
    </row>
    <row r="56" spans="2:9" s="68" customFormat="1" ht="24">
      <c r="B56" s="90" t="s">
        <v>135</v>
      </c>
      <c r="C56" s="258" t="s">
        <v>171</v>
      </c>
      <c r="D56" s="259"/>
      <c r="E56" s="259"/>
      <c r="F56" s="259"/>
      <c r="G56" s="259"/>
      <c r="H56" s="260"/>
      <c r="I56" s="69"/>
    </row>
    <row r="57" spans="2:9" s="68" customFormat="1" ht="24">
      <c r="B57" s="90" t="s">
        <v>136</v>
      </c>
      <c r="C57" s="258" t="s">
        <v>172</v>
      </c>
      <c r="D57" s="259"/>
      <c r="E57" s="259"/>
      <c r="F57" s="259"/>
      <c r="G57" s="259"/>
      <c r="H57" s="260"/>
      <c r="I57" s="69"/>
    </row>
    <row r="58" spans="2:9" s="68" customFormat="1" ht="24">
      <c r="B58" s="90" t="s">
        <v>165</v>
      </c>
      <c r="C58" s="258" t="s">
        <v>166</v>
      </c>
      <c r="D58" s="259"/>
      <c r="E58" s="259"/>
      <c r="F58" s="259"/>
      <c r="G58" s="259"/>
      <c r="H58" s="260"/>
      <c r="I58" s="69"/>
    </row>
    <row r="59" spans="2:9" s="68" customFormat="1" ht="16.5" customHeight="1">
      <c r="B59" s="261" t="s">
        <v>137</v>
      </c>
      <c r="C59" s="262"/>
      <c r="D59" s="262"/>
      <c r="E59" s="262"/>
      <c r="F59" s="262"/>
      <c r="G59" s="262"/>
      <c r="H59" s="262"/>
      <c r="I59" s="69"/>
    </row>
    <row r="60" spans="2:9" s="68" customFormat="1" ht="42.75" customHeight="1">
      <c r="B60" s="90" t="s">
        <v>137</v>
      </c>
      <c r="C60" s="258" t="s">
        <v>173</v>
      </c>
      <c r="D60" s="259"/>
      <c r="E60" s="259"/>
      <c r="F60" s="259"/>
      <c r="G60" s="259"/>
      <c r="H60" s="260"/>
      <c r="I60" s="69"/>
    </row>
    <row r="61" spans="2:9" s="68" customFormat="1" ht="16.5" customHeight="1">
      <c r="B61" s="261" t="s">
        <v>55</v>
      </c>
      <c r="C61" s="262"/>
      <c r="D61" s="262"/>
      <c r="E61" s="262"/>
      <c r="F61" s="262"/>
      <c r="G61" s="262"/>
      <c r="H61" s="262"/>
      <c r="I61" s="69"/>
    </row>
    <row r="62" spans="2:9" s="68" customFormat="1" ht="15" customHeight="1">
      <c r="B62" s="89" t="s">
        <v>38</v>
      </c>
      <c r="C62" s="258" t="s">
        <v>56</v>
      </c>
      <c r="D62" s="259"/>
      <c r="E62" s="259"/>
      <c r="F62" s="259"/>
      <c r="G62" s="259"/>
      <c r="H62" s="260"/>
      <c r="I62" s="69"/>
    </row>
    <row r="63" spans="2:9" s="68" customFormat="1" ht="26.25" customHeight="1">
      <c r="B63" s="89" t="s">
        <v>113</v>
      </c>
      <c r="C63" s="258" t="s">
        <v>4</v>
      </c>
      <c r="D63" s="259"/>
      <c r="E63" s="259"/>
      <c r="F63" s="259"/>
      <c r="G63" s="259"/>
      <c r="H63" s="260"/>
      <c r="I63" s="69"/>
    </row>
    <row r="64" spans="2:9" s="68" customFormat="1" ht="27.75" customHeight="1">
      <c r="B64" s="89" t="s">
        <v>39</v>
      </c>
      <c r="C64" s="258" t="s">
        <v>57</v>
      </c>
      <c r="D64" s="259"/>
      <c r="E64" s="259"/>
      <c r="F64" s="259"/>
      <c r="G64" s="259"/>
      <c r="H64" s="260"/>
      <c r="I64" s="69"/>
    </row>
    <row r="65" spans="1:9" s="68" customFormat="1" ht="12.75" customHeight="1">
      <c r="B65" s="89" t="s">
        <v>49</v>
      </c>
      <c r="C65" s="258" t="s">
        <v>58</v>
      </c>
      <c r="D65" s="259"/>
      <c r="E65" s="259"/>
      <c r="F65" s="259"/>
      <c r="G65" s="259"/>
      <c r="H65" s="260"/>
      <c r="I65" s="69"/>
    </row>
    <row r="66" spans="1:9" s="68" customFormat="1" ht="16.5" customHeight="1">
      <c r="B66" s="261" t="s">
        <v>150</v>
      </c>
      <c r="C66" s="262"/>
      <c r="D66" s="262"/>
      <c r="E66" s="262"/>
      <c r="F66" s="262"/>
      <c r="G66" s="262"/>
      <c r="H66" s="262"/>
      <c r="I66" s="69"/>
    </row>
    <row r="67" spans="1:9" s="68" customFormat="1" ht="30.75" customHeight="1">
      <c r="B67" s="90" t="s">
        <v>150</v>
      </c>
      <c r="C67" s="258" t="s">
        <v>151</v>
      </c>
      <c r="D67" s="259"/>
      <c r="E67" s="259"/>
      <c r="F67" s="259"/>
      <c r="G67" s="259"/>
      <c r="H67" s="260"/>
      <c r="I67" s="69"/>
    </row>
    <row r="68" spans="1:9" s="68" customFormat="1" ht="29.25" customHeight="1">
      <c r="B68" s="73"/>
      <c r="C68" s="73"/>
      <c r="D68" s="199"/>
      <c r="E68" s="199"/>
      <c r="F68" s="199"/>
      <c r="G68" s="199"/>
      <c r="H68" s="199"/>
      <c r="I68" s="167"/>
    </row>
    <row r="69" spans="1:9" s="68" customFormat="1" ht="29.25" customHeight="1">
      <c r="B69" s="256" t="s">
        <v>219</v>
      </c>
      <c r="C69" s="256"/>
      <c r="D69" s="256"/>
      <c r="E69" s="256"/>
      <c r="F69" s="256"/>
      <c r="G69" s="256"/>
      <c r="H69" s="256"/>
      <c r="I69" s="167"/>
    </row>
    <row r="70" spans="1:9" s="68" customFormat="1" ht="29.25" customHeight="1">
      <c r="B70" s="193" t="s">
        <v>13</v>
      </c>
      <c r="C70" s="256" t="s">
        <v>6</v>
      </c>
      <c r="D70" s="256"/>
      <c r="E70" s="256"/>
      <c r="F70" s="256"/>
      <c r="G70" s="256"/>
      <c r="H70" s="256"/>
      <c r="I70" s="167"/>
    </row>
    <row r="71" spans="1:9" s="68" customFormat="1">
      <c r="B71" s="192" t="s">
        <v>220</v>
      </c>
      <c r="C71" s="264" t="s">
        <v>221</v>
      </c>
      <c r="D71" s="265"/>
      <c r="E71" s="265"/>
      <c r="F71" s="265"/>
      <c r="G71" s="265"/>
      <c r="H71" s="265"/>
      <c r="I71" s="167"/>
    </row>
    <row r="72" spans="1:9" ht="12.75" customHeight="1">
      <c r="A72" s="80"/>
      <c r="B72" s="121"/>
    </row>
    <row r="73" spans="1:9" s="64" customFormat="1" ht="16.5" customHeight="1">
      <c r="B73" s="256" t="s">
        <v>79</v>
      </c>
      <c r="C73" s="256"/>
      <c r="D73" s="256"/>
      <c r="E73" s="256"/>
      <c r="F73" s="256"/>
      <c r="G73" s="256"/>
      <c r="H73" s="256"/>
    </row>
    <row r="74" spans="1:9" s="64" customFormat="1" ht="13.5" customHeight="1">
      <c r="B74" s="87" t="s">
        <v>13</v>
      </c>
      <c r="C74" s="256" t="s">
        <v>6</v>
      </c>
      <c r="D74" s="256"/>
      <c r="E74" s="256"/>
      <c r="F74" s="256"/>
      <c r="G74" s="256"/>
      <c r="H74" s="256"/>
    </row>
    <row r="75" spans="1:9" s="68" customFormat="1">
      <c r="B75" s="89" t="s">
        <v>71</v>
      </c>
      <c r="C75" s="264" t="s">
        <v>182</v>
      </c>
      <c r="D75" s="265"/>
      <c r="E75" s="265"/>
      <c r="F75" s="265"/>
      <c r="G75" s="265"/>
      <c r="H75" s="265"/>
      <c r="I75" s="69"/>
    </row>
    <row r="76" spans="1:9" s="68" customFormat="1" ht="41.25" customHeight="1">
      <c r="B76" s="89" t="s">
        <v>0</v>
      </c>
      <c r="C76" s="266" t="s">
        <v>174</v>
      </c>
      <c r="D76" s="265"/>
      <c r="E76" s="265"/>
      <c r="F76" s="265"/>
      <c r="G76" s="265"/>
      <c r="H76" s="265"/>
      <c r="I76" s="69"/>
    </row>
    <row r="77" spans="1:9" s="68" customFormat="1" ht="168.75" customHeight="1">
      <c r="B77" s="89" t="s">
        <v>116</v>
      </c>
      <c r="C77" s="266" t="s">
        <v>175</v>
      </c>
      <c r="D77" s="265"/>
      <c r="E77" s="265"/>
      <c r="F77" s="265"/>
      <c r="G77" s="265"/>
      <c r="H77" s="265"/>
      <c r="I77" s="69"/>
    </row>
    <row r="78" spans="1:9" s="68" customFormat="1" ht="181.5" customHeight="1">
      <c r="B78" s="89" t="s">
        <v>117</v>
      </c>
      <c r="C78" s="266" t="s">
        <v>176</v>
      </c>
      <c r="D78" s="265"/>
      <c r="E78" s="265"/>
      <c r="F78" s="265"/>
      <c r="G78" s="265"/>
      <c r="H78" s="265"/>
      <c r="I78" s="69"/>
    </row>
    <row r="79" spans="1:9" s="68" customFormat="1" ht="213.75" customHeight="1">
      <c r="B79" s="89" t="s">
        <v>118</v>
      </c>
      <c r="C79" s="266" t="s">
        <v>177</v>
      </c>
      <c r="D79" s="265"/>
      <c r="E79" s="265"/>
      <c r="F79" s="265"/>
      <c r="G79" s="265"/>
      <c r="H79" s="265"/>
      <c r="I79" s="69"/>
    </row>
    <row r="80" spans="1:9" s="68" customFormat="1">
      <c r="B80" s="89" t="s">
        <v>119</v>
      </c>
      <c r="C80" s="266" t="s">
        <v>2</v>
      </c>
      <c r="D80" s="265"/>
      <c r="E80" s="265"/>
      <c r="F80" s="265"/>
      <c r="G80" s="265"/>
      <c r="H80" s="265"/>
      <c r="I80" s="69"/>
    </row>
    <row r="81" spans="1:9" s="68" customFormat="1" ht="41.25" customHeight="1">
      <c r="B81" s="91" t="s">
        <v>103</v>
      </c>
      <c r="C81" s="266" t="s">
        <v>3</v>
      </c>
      <c r="D81" s="265"/>
      <c r="E81" s="265"/>
      <c r="F81" s="265"/>
      <c r="G81" s="265"/>
      <c r="H81" s="265"/>
      <c r="I81" s="64"/>
    </row>
    <row r="82" spans="1:9" s="68" customFormat="1" ht="20.25" customHeight="1">
      <c r="B82" s="89" t="s">
        <v>127</v>
      </c>
      <c r="C82" s="266" t="s">
        <v>1</v>
      </c>
      <c r="D82" s="265"/>
      <c r="E82" s="265"/>
      <c r="F82" s="265"/>
      <c r="G82" s="265"/>
      <c r="H82" s="265"/>
      <c r="I82" s="64"/>
    </row>
    <row r="83" spans="1:9" ht="12.75" customHeight="1">
      <c r="A83" s="80"/>
      <c r="B83" s="121"/>
      <c r="I83" s="64"/>
    </row>
    <row r="84" spans="1:9" s="64" customFormat="1" ht="16.5" customHeight="1">
      <c r="B84" s="256" t="s">
        <v>80</v>
      </c>
      <c r="C84" s="256"/>
      <c r="D84" s="256"/>
      <c r="E84" s="256"/>
      <c r="F84" s="256"/>
      <c r="G84" s="256"/>
      <c r="H84" s="256"/>
    </row>
    <row r="85" spans="1:9" s="64" customFormat="1" ht="13.5" customHeight="1">
      <c r="B85" s="87" t="s">
        <v>13</v>
      </c>
      <c r="C85" s="256" t="s">
        <v>6</v>
      </c>
      <c r="D85" s="256"/>
      <c r="E85" s="256"/>
      <c r="F85" s="256"/>
      <c r="G85" s="256"/>
      <c r="H85" s="256"/>
    </row>
    <row r="86" spans="1:9" s="68" customFormat="1" ht="12.75" customHeight="1">
      <c r="B86" s="89" t="s">
        <v>40</v>
      </c>
      <c r="C86" s="264" t="s">
        <v>86</v>
      </c>
      <c r="D86" s="265"/>
      <c r="E86" s="265"/>
      <c r="F86" s="265"/>
      <c r="G86" s="265"/>
      <c r="H86" s="265"/>
      <c r="I86" s="64"/>
    </row>
    <row r="87" spans="1:9" ht="12" customHeight="1">
      <c r="A87" s="80"/>
      <c r="B87" s="89" t="s">
        <v>62</v>
      </c>
      <c r="C87" s="264" t="s">
        <v>87</v>
      </c>
      <c r="D87" s="265"/>
      <c r="E87" s="265"/>
      <c r="F87" s="265"/>
      <c r="G87" s="265"/>
      <c r="H87" s="265"/>
      <c r="I87" s="64"/>
    </row>
    <row r="88" spans="1:9" s="64" customFormat="1" ht="13.5" customHeight="1">
      <c r="B88" s="66"/>
      <c r="C88" s="67"/>
      <c r="D88" s="67"/>
      <c r="E88" s="67"/>
      <c r="F88" s="67"/>
      <c r="G88" s="67"/>
      <c r="H88" s="67"/>
    </row>
    <row r="89" spans="1:9">
      <c r="A89" s="80"/>
      <c r="B89" s="66"/>
      <c r="C89" s="67"/>
    </row>
    <row r="90" spans="1:9" s="64" customFormat="1" ht="16.5" customHeight="1">
      <c r="B90" s="256" t="s">
        <v>81</v>
      </c>
      <c r="C90" s="256"/>
      <c r="D90" s="256"/>
      <c r="E90" s="256"/>
      <c r="F90" s="256"/>
      <c r="G90" s="256"/>
      <c r="H90" s="256"/>
    </row>
    <row r="91" spans="1:9" s="64" customFormat="1" ht="13.5" customHeight="1">
      <c r="B91" s="87" t="s">
        <v>13</v>
      </c>
      <c r="C91" s="256" t="s">
        <v>6</v>
      </c>
      <c r="D91" s="256"/>
      <c r="E91" s="256"/>
      <c r="F91" s="256"/>
      <c r="G91" s="256"/>
      <c r="H91" s="256"/>
    </row>
    <row r="92" spans="1:9" s="68" customFormat="1" ht="12.75" customHeight="1">
      <c r="B92" s="89" t="s">
        <v>5</v>
      </c>
      <c r="C92" s="264" t="s">
        <v>88</v>
      </c>
      <c r="D92" s="265"/>
      <c r="E92" s="265"/>
      <c r="F92" s="265"/>
      <c r="G92" s="265"/>
      <c r="H92" s="265"/>
      <c r="I92" s="69"/>
    </row>
    <row r="93" spans="1:9">
      <c r="A93" s="80"/>
      <c r="B93" s="89" t="s">
        <v>45</v>
      </c>
      <c r="C93" s="264" t="s">
        <v>89</v>
      </c>
      <c r="D93" s="265"/>
      <c r="E93" s="265"/>
      <c r="F93" s="265"/>
      <c r="G93" s="265"/>
      <c r="H93" s="265"/>
    </row>
    <row r="94" spans="1:9" s="68" customFormat="1" ht="12.75" customHeight="1">
      <c r="B94" s="89" t="s">
        <v>23</v>
      </c>
      <c r="C94" s="264" t="s">
        <v>90</v>
      </c>
      <c r="D94" s="265"/>
      <c r="E94" s="265"/>
      <c r="F94" s="265"/>
      <c r="G94" s="265"/>
      <c r="H94" s="265"/>
      <c r="I94" s="69"/>
    </row>
    <row r="95" spans="1:9" s="68" customFormat="1" ht="12.75" customHeight="1">
      <c r="B95" s="89" t="s">
        <v>24</v>
      </c>
      <c r="C95" s="264" t="s">
        <v>91</v>
      </c>
      <c r="D95" s="265"/>
      <c r="E95" s="265"/>
      <c r="F95" s="265"/>
      <c r="G95" s="265"/>
      <c r="H95" s="265"/>
      <c r="I95" s="69"/>
    </row>
    <row r="96" spans="1:9">
      <c r="A96" s="80"/>
      <c r="B96" s="89" t="s">
        <v>7</v>
      </c>
      <c r="C96" s="264" t="s">
        <v>92</v>
      </c>
      <c r="D96" s="265"/>
      <c r="E96" s="265"/>
      <c r="F96" s="265"/>
      <c r="G96" s="265"/>
      <c r="H96" s="265"/>
    </row>
    <row r="97" spans="1:9" s="68" customFormat="1" ht="12.75" customHeight="1">
      <c r="B97" s="89" t="s">
        <v>8</v>
      </c>
      <c r="C97" s="264" t="s">
        <v>93</v>
      </c>
      <c r="D97" s="265"/>
      <c r="E97" s="265"/>
      <c r="F97" s="265"/>
      <c r="G97" s="265"/>
      <c r="H97" s="265"/>
      <c r="I97" s="69"/>
    </row>
    <row r="98" spans="1:9">
      <c r="A98" s="80"/>
      <c r="B98" s="89" t="s">
        <v>25</v>
      </c>
      <c r="C98" s="264" t="s">
        <v>94</v>
      </c>
      <c r="D98" s="265"/>
      <c r="E98" s="265"/>
      <c r="F98" s="265"/>
      <c r="G98" s="265"/>
      <c r="H98" s="265"/>
    </row>
    <row r="99" spans="1:9" s="64" customFormat="1" ht="13.5" customHeight="1">
      <c r="B99" s="66"/>
      <c r="C99" s="67"/>
      <c r="D99" s="67"/>
      <c r="E99" s="67"/>
      <c r="F99" s="67"/>
      <c r="G99" s="67"/>
      <c r="H99" s="67"/>
    </row>
    <row r="100" spans="1:9">
      <c r="A100" s="80"/>
      <c r="B100" s="66"/>
      <c r="C100" s="67"/>
    </row>
    <row r="101" spans="1:9" s="64" customFormat="1" ht="16.5" customHeight="1">
      <c r="B101" s="256" t="s">
        <v>82</v>
      </c>
      <c r="C101" s="256"/>
      <c r="D101" s="256"/>
      <c r="E101" s="256"/>
      <c r="F101" s="256"/>
      <c r="G101" s="256"/>
      <c r="H101" s="256"/>
    </row>
    <row r="102" spans="1:9" s="64" customFormat="1" ht="13.5" customHeight="1">
      <c r="B102" s="87" t="s">
        <v>13</v>
      </c>
      <c r="C102" s="256" t="s">
        <v>6</v>
      </c>
      <c r="D102" s="256"/>
      <c r="E102" s="256"/>
      <c r="F102" s="256"/>
      <c r="G102" s="256"/>
      <c r="H102" s="256"/>
    </row>
    <row r="103" spans="1:9" s="68" customFormat="1" ht="12.75" customHeight="1">
      <c r="B103" s="89" t="s">
        <v>5</v>
      </c>
      <c r="C103" s="264" t="s">
        <v>88</v>
      </c>
      <c r="D103" s="265"/>
      <c r="E103" s="265"/>
      <c r="F103" s="265"/>
      <c r="G103" s="265"/>
      <c r="H103" s="265"/>
      <c r="I103" s="69"/>
    </row>
    <row r="104" spans="1:9">
      <c r="A104" s="80"/>
      <c r="B104" s="89" t="s">
        <v>18</v>
      </c>
      <c r="C104" s="264" t="s">
        <v>95</v>
      </c>
      <c r="D104" s="265"/>
      <c r="E104" s="265"/>
      <c r="F104" s="265"/>
      <c r="G104" s="265"/>
      <c r="H104" s="265"/>
    </row>
    <row r="105" spans="1:9" ht="12.75" customHeight="1">
      <c r="A105" s="80"/>
      <c r="B105" s="122"/>
      <c r="I105" s="92"/>
    </row>
    <row r="106" spans="1:9">
      <c r="A106" s="80"/>
      <c r="I106" s="92"/>
    </row>
    <row r="107" spans="1:9" ht="12.75" customHeight="1">
      <c r="A107" s="80"/>
      <c r="I107" s="92"/>
    </row>
    <row r="108" spans="1:9">
      <c r="A108" s="80"/>
      <c r="I108" s="92"/>
    </row>
    <row r="109" spans="1:9">
      <c r="A109" s="80"/>
      <c r="I109" s="92"/>
    </row>
    <row r="110" spans="1:9" ht="12.75" customHeight="1">
      <c r="A110" s="80"/>
      <c r="I110" s="92"/>
    </row>
    <row r="111" spans="1:9" ht="12.75" customHeight="1">
      <c r="A111" s="80"/>
      <c r="I111" s="92"/>
    </row>
    <row r="112" spans="1:9" ht="12.75" customHeight="1">
      <c r="A112" s="80"/>
      <c r="B112" s="122"/>
      <c r="I112" s="92"/>
    </row>
    <row r="113" spans="1:9" ht="42.75" customHeight="1">
      <c r="A113" s="83"/>
      <c r="B113" s="93"/>
      <c r="C113" s="85"/>
      <c r="D113" s="94"/>
      <c r="E113" s="94"/>
      <c r="F113" s="94"/>
      <c r="G113" s="94"/>
      <c r="H113" s="85"/>
      <c r="I113" s="92"/>
    </row>
    <row r="114" spans="1:9">
      <c r="A114" s="83"/>
      <c r="B114" s="93"/>
      <c r="C114" s="85"/>
      <c r="D114" s="85"/>
      <c r="E114" s="85"/>
      <c r="F114" s="85"/>
      <c r="G114" s="85"/>
      <c r="H114" s="85"/>
      <c r="I114" s="92"/>
    </row>
    <row r="115" spans="1:9">
      <c r="A115" s="83"/>
      <c r="B115" s="263"/>
      <c r="C115" s="263"/>
      <c r="D115" s="95"/>
      <c r="E115" s="95"/>
      <c r="F115" s="95"/>
      <c r="G115" s="95"/>
      <c r="H115" s="85"/>
      <c r="I115" s="92"/>
    </row>
    <row r="116" spans="1:9">
      <c r="A116" s="83"/>
      <c r="B116" s="263"/>
      <c r="C116" s="263"/>
      <c r="D116" s="96"/>
      <c r="E116" s="96"/>
      <c r="F116" s="96"/>
      <c r="G116" s="96"/>
      <c r="H116" s="85"/>
      <c r="I116" s="92"/>
    </row>
    <row r="117" spans="1:9">
      <c r="A117" s="83"/>
      <c r="B117" s="93"/>
      <c r="C117" s="85"/>
      <c r="D117" s="97"/>
      <c r="E117" s="97"/>
      <c r="F117" s="97"/>
      <c r="G117" s="97"/>
      <c r="H117" s="85"/>
      <c r="I117" s="92"/>
    </row>
    <row r="118" spans="1:9">
      <c r="A118" s="83"/>
      <c r="B118" s="93"/>
      <c r="C118" s="85"/>
      <c r="D118" s="97"/>
      <c r="E118" s="97"/>
      <c r="F118" s="97"/>
      <c r="G118" s="97"/>
      <c r="H118" s="85"/>
      <c r="I118" s="92"/>
    </row>
    <row r="119" spans="1:9">
      <c r="A119" s="83"/>
      <c r="B119" s="93"/>
      <c r="C119" s="85"/>
      <c r="D119" s="97"/>
      <c r="E119" s="97"/>
      <c r="F119" s="97"/>
      <c r="G119" s="97"/>
      <c r="H119" s="85"/>
      <c r="I119" s="92"/>
    </row>
    <row r="120" spans="1:9">
      <c r="A120" s="83"/>
      <c r="B120" s="93"/>
      <c r="C120" s="85"/>
      <c r="D120" s="97"/>
      <c r="E120" s="97"/>
      <c r="F120" s="97"/>
      <c r="G120" s="97"/>
      <c r="H120" s="85"/>
      <c r="I120" s="92"/>
    </row>
    <row r="121" spans="1:9">
      <c r="A121" s="83"/>
      <c r="B121" s="93"/>
      <c r="C121" s="85"/>
      <c r="D121" s="97"/>
      <c r="E121" s="97"/>
      <c r="F121" s="97"/>
      <c r="G121" s="97"/>
      <c r="H121" s="85"/>
      <c r="I121" s="92"/>
    </row>
    <row r="122" spans="1:9" ht="20.25" customHeight="1">
      <c r="A122" s="83"/>
      <c r="B122" s="93"/>
      <c r="C122" s="85"/>
      <c r="D122" s="85"/>
      <c r="E122" s="85"/>
      <c r="F122" s="85"/>
      <c r="G122" s="85"/>
      <c r="H122" s="85"/>
      <c r="I122" s="92"/>
    </row>
    <row r="123" spans="1:9" ht="20.25" customHeight="1">
      <c r="A123" s="83"/>
      <c r="B123" s="263"/>
      <c r="C123" s="263"/>
      <c r="D123" s="85"/>
      <c r="E123" s="85"/>
      <c r="F123" s="85"/>
      <c r="G123" s="85"/>
      <c r="H123" s="85"/>
      <c r="I123" s="92"/>
    </row>
    <row r="124" spans="1:9" ht="20.25" customHeight="1">
      <c r="A124" s="83"/>
      <c r="B124" s="93"/>
      <c r="C124" s="85"/>
      <c r="D124" s="85"/>
      <c r="E124" s="85"/>
      <c r="F124" s="85"/>
      <c r="G124" s="85"/>
      <c r="H124" s="85"/>
      <c r="I124" s="92"/>
    </row>
    <row r="125" spans="1:9" ht="20.25" customHeight="1">
      <c r="A125" s="83"/>
      <c r="B125" s="93"/>
      <c r="C125" s="85"/>
      <c r="D125" s="85"/>
      <c r="E125" s="85"/>
      <c r="F125" s="85"/>
      <c r="G125" s="85"/>
      <c r="H125" s="85"/>
      <c r="I125" s="92"/>
    </row>
    <row r="126" spans="1:9" ht="30.75" customHeight="1">
      <c r="A126" s="83"/>
      <c r="B126" s="263"/>
      <c r="C126" s="263"/>
      <c r="D126" s="95"/>
      <c r="E126" s="95"/>
      <c r="F126" s="95"/>
      <c r="G126" s="95"/>
      <c r="H126" s="85"/>
      <c r="I126" s="92"/>
    </row>
    <row r="127" spans="1:9">
      <c r="A127" s="83"/>
      <c r="B127" s="93"/>
      <c r="C127" s="93"/>
      <c r="D127" s="85"/>
      <c r="E127" s="85"/>
      <c r="F127" s="85"/>
      <c r="G127" s="85"/>
      <c r="H127" s="85"/>
      <c r="I127" s="92"/>
    </row>
    <row r="128" spans="1:9">
      <c r="A128" s="83"/>
      <c r="B128" s="93"/>
      <c r="C128" s="93"/>
      <c r="D128" s="85"/>
      <c r="E128" s="85"/>
      <c r="F128" s="85"/>
      <c r="G128" s="85"/>
      <c r="H128" s="85"/>
      <c r="I128" s="92"/>
    </row>
    <row r="129" spans="1:9">
      <c r="A129" s="83"/>
      <c r="B129" s="93"/>
      <c r="C129" s="93"/>
      <c r="D129" s="85"/>
      <c r="E129" s="85"/>
      <c r="F129" s="85"/>
      <c r="G129" s="85"/>
      <c r="H129" s="85"/>
      <c r="I129" s="92"/>
    </row>
    <row r="130" spans="1:9">
      <c r="A130" s="83"/>
      <c r="B130" s="93"/>
      <c r="C130" s="93"/>
      <c r="D130" s="85"/>
      <c r="E130" s="85"/>
      <c r="F130" s="85"/>
      <c r="G130" s="85"/>
      <c r="H130" s="85"/>
      <c r="I130" s="92"/>
    </row>
    <row r="131" spans="1:9" ht="27.75" customHeight="1">
      <c r="A131" s="83"/>
      <c r="B131" s="263"/>
      <c r="C131" s="263"/>
      <c r="D131" s="95"/>
      <c r="E131" s="95"/>
      <c r="F131" s="95"/>
      <c r="G131" s="95"/>
      <c r="H131" s="85"/>
      <c r="I131" s="92"/>
    </row>
    <row r="132" spans="1:9">
      <c r="A132" s="83"/>
      <c r="B132" s="93"/>
      <c r="C132" s="93"/>
      <c r="D132" s="85"/>
      <c r="E132" s="85"/>
      <c r="F132" s="85"/>
      <c r="G132" s="85"/>
      <c r="H132" s="85"/>
      <c r="I132" s="92"/>
    </row>
    <row r="133" spans="1:9">
      <c r="A133" s="83"/>
      <c r="B133" s="93"/>
      <c r="C133" s="93"/>
      <c r="D133" s="85"/>
      <c r="E133" s="85"/>
      <c r="F133" s="85"/>
      <c r="G133" s="85"/>
      <c r="H133" s="85"/>
      <c r="I133" s="92"/>
    </row>
    <row r="134" spans="1:9">
      <c r="A134" s="83"/>
      <c r="B134" s="98"/>
      <c r="C134" s="85"/>
      <c r="D134" s="85"/>
      <c r="E134" s="85"/>
      <c r="F134" s="85"/>
      <c r="G134" s="85"/>
      <c r="H134" s="85"/>
      <c r="I134" s="92"/>
    </row>
    <row r="135" spans="1:9" s="85" customFormat="1">
      <c r="A135" s="83"/>
      <c r="B135" s="98"/>
      <c r="I135" s="99"/>
    </row>
    <row r="136" spans="1:9" ht="18.75" customHeight="1">
      <c r="A136" s="83"/>
      <c r="B136" s="123"/>
      <c r="C136" s="85"/>
      <c r="D136" s="85"/>
      <c r="E136" s="85"/>
      <c r="F136" s="85"/>
      <c r="G136" s="85"/>
      <c r="H136" s="85"/>
      <c r="I136" s="92"/>
    </row>
    <row r="137" spans="1:9">
      <c r="A137" s="83"/>
      <c r="B137" s="123"/>
      <c r="C137" s="85"/>
      <c r="D137" s="85"/>
      <c r="E137" s="85"/>
      <c r="F137" s="85"/>
      <c r="G137" s="85"/>
      <c r="H137" s="85"/>
      <c r="I137" s="92"/>
    </row>
    <row r="138" spans="1:9" ht="17.25" customHeight="1">
      <c r="A138" s="83"/>
      <c r="B138" s="263"/>
      <c r="C138" s="263"/>
      <c r="D138" s="85"/>
      <c r="E138" s="85"/>
      <c r="F138" s="85"/>
      <c r="G138" s="85"/>
      <c r="H138" s="85"/>
      <c r="I138" s="92"/>
    </row>
    <row r="139" spans="1:9" ht="17.25" customHeight="1">
      <c r="A139" s="83"/>
      <c r="B139" s="263"/>
      <c r="C139" s="263"/>
      <c r="D139" s="85"/>
      <c r="E139" s="85"/>
      <c r="F139" s="85"/>
      <c r="G139" s="85"/>
      <c r="H139" s="85"/>
      <c r="I139" s="92"/>
    </row>
    <row r="140" spans="1:9" ht="17.25" customHeight="1">
      <c r="A140" s="83"/>
      <c r="B140" s="263"/>
      <c r="C140" s="263"/>
      <c r="D140" s="85"/>
      <c r="E140" s="85"/>
      <c r="F140" s="85"/>
      <c r="G140" s="85"/>
      <c r="H140" s="85"/>
      <c r="I140" s="92"/>
    </row>
    <row r="141" spans="1:9" ht="23.25" customHeight="1">
      <c r="A141" s="83"/>
      <c r="B141" s="263"/>
      <c r="C141" s="263"/>
      <c r="D141" s="95"/>
      <c r="E141" s="95"/>
      <c r="F141" s="95"/>
      <c r="G141" s="95"/>
      <c r="H141" s="85"/>
      <c r="I141" s="92"/>
    </row>
    <row r="142" spans="1:9">
      <c r="A142" s="83"/>
      <c r="B142" s="100"/>
      <c r="C142" s="85"/>
      <c r="D142" s="85"/>
      <c r="E142" s="85"/>
      <c r="F142" s="85"/>
      <c r="G142" s="85"/>
      <c r="H142" s="85"/>
      <c r="I142" s="92"/>
    </row>
    <row r="143" spans="1:9">
      <c r="A143" s="83"/>
      <c r="B143" s="123"/>
      <c r="C143" s="85"/>
      <c r="D143" s="85"/>
      <c r="E143" s="85"/>
      <c r="F143" s="85"/>
      <c r="G143" s="85"/>
      <c r="H143" s="85"/>
      <c r="I143" s="92"/>
    </row>
    <row r="144" spans="1:9">
      <c r="A144" s="83"/>
      <c r="B144" s="123"/>
      <c r="C144" s="85"/>
      <c r="D144" s="85"/>
      <c r="E144" s="85"/>
      <c r="F144" s="85"/>
      <c r="G144" s="85"/>
      <c r="H144" s="85"/>
      <c r="I144" s="92"/>
    </row>
    <row r="145" spans="1:9">
      <c r="A145" s="83"/>
      <c r="B145" s="124"/>
      <c r="C145" s="85"/>
      <c r="D145" s="85"/>
      <c r="E145" s="85"/>
      <c r="F145" s="85"/>
      <c r="G145" s="85"/>
      <c r="H145" s="85"/>
      <c r="I145" s="92"/>
    </row>
    <row r="146" spans="1:9" ht="18.75" customHeight="1">
      <c r="A146" s="80"/>
      <c r="B146" s="101"/>
      <c r="H146" s="102"/>
      <c r="I146" s="92"/>
    </row>
    <row r="147" spans="1:9" ht="18.75" customHeight="1">
      <c r="A147" s="83"/>
      <c r="B147" s="123"/>
      <c r="C147" s="85"/>
      <c r="D147" s="85"/>
      <c r="E147" s="85"/>
      <c r="F147" s="85"/>
      <c r="G147" s="85"/>
      <c r="H147" s="85"/>
      <c r="I147" s="92"/>
    </row>
    <row r="148" spans="1:9" ht="18.75" customHeight="1">
      <c r="A148" s="83"/>
      <c r="B148" s="124"/>
      <c r="C148" s="85"/>
      <c r="D148" s="85"/>
      <c r="E148" s="85"/>
      <c r="F148" s="85"/>
      <c r="G148" s="85"/>
      <c r="H148" s="85"/>
      <c r="I148" s="92"/>
    </row>
    <row r="149" spans="1:9">
      <c r="A149" s="83"/>
      <c r="B149" s="103"/>
      <c r="C149" s="85"/>
      <c r="D149" s="85"/>
      <c r="E149" s="85"/>
      <c r="F149" s="85"/>
      <c r="G149" s="85"/>
      <c r="H149" s="85"/>
      <c r="I149" s="92"/>
    </row>
    <row r="150" spans="1:9" ht="16.5" customHeight="1">
      <c r="A150" s="83"/>
      <c r="B150" s="104"/>
      <c r="C150" s="85"/>
      <c r="D150" s="95"/>
      <c r="E150" s="95"/>
      <c r="F150" s="95"/>
      <c r="G150" s="95"/>
      <c r="H150" s="85"/>
      <c r="I150" s="92"/>
    </row>
    <row r="151" spans="1:9" ht="18.75" customHeight="1">
      <c r="A151" s="83"/>
      <c r="B151" s="104"/>
      <c r="C151" s="85"/>
      <c r="D151" s="105"/>
      <c r="E151" s="105"/>
      <c r="F151" s="105"/>
      <c r="G151" s="105"/>
      <c r="H151" s="105"/>
      <c r="I151" s="92"/>
    </row>
    <row r="152" spans="1:9" ht="18.75" customHeight="1">
      <c r="A152" s="83"/>
      <c r="B152" s="104"/>
      <c r="C152" s="85"/>
      <c r="D152" s="95"/>
      <c r="E152" s="95"/>
      <c r="F152" s="95"/>
      <c r="G152" s="95"/>
      <c r="H152" s="85"/>
      <c r="I152" s="92"/>
    </row>
    <row r="153" spans="1:9" ht="18.75" customHeight="1">
      <c r="A153" s="83"/>
      <c r="B153" s="104"/>
      <c r="C153" s="85"/>
      <c r="D153" s="95"/>
      <c r="E153" s="95"/>
      <c r="F153" s="95"/>
      <c r="G153" s="95"/>
      <c r="H153" s="85"/>
      <c r="I153" s="92"/>
    </row>
    <row r="154" spans="1:9" ht="18.75" customHeight="1">
      <c r="A154" s="83"/>
      <c r="B154" s="104"/>
      <c r="C154" s="85"/>
      <c r="D154" s="95"/>
      <c r="E154" s="95"/>
      <c r="F154" s="95"/>
      <c r="G154" s="95"/>
      <c r="H154" s="85"/>
      <c r="I154" s="92"/>
    </row>
    <row r="155" spans="1:9" ht="18.75" customHeight="1">
      <c r="A155" s="83"/>
      <c r="B155" s="104"/>
      <c r="C155" s="85"/>
      <c r="D155" s="95"/>
      <c r="E155" s="95"/>
      <c r="F155" s="95"/>
      <c r="G155" s="95"/>
      <c r="H155" s="85"/>
      <c r="I155" s="92"/>
    </row>
    <row r="156" spans="1:9" ht="18.75" customHeight="1">
      <c r="A156" s="83"/>
      <c r="B156" s="104"/>
      <c r="C156" s="85"/>
      <c r="D156" s="95"/>
      <c r="E156" s="95"/>
      <c r="F156" s="95"/>
      <c r="G156" s="95"/>
      <c r="H156" s="85"/>
      <c r="I156" s="92"/>
    </row>
    <row r="157" spans="1:9" ht="18.75" customHeight="1">
      <c r="A157" s="83"/>
      <c r="B157" s="104"/>
      <c r="C157" s="85"/>
      <c r="D157" s="95"/>
      <c r="E157" s="95"/>
      <c r="F157" s="95"/>
      <c r="G157" s="95"/>
      <c r="H157" s="85"/>
      <c r="I157" s="92"/>
    </row>
    <row r="158" spans="1:9" ht="18.75" customHeight="1">
      <c r="A158" s="83"/>
      <c r="B158" s="104"/>
      <c r="C158" s="85"/>
      <c r="D158" s="95"/>
      <c r="E158" s="95"/>
      <c r="F158" s="95"/>
      <c r="G158" s="95"/>
      <c r="H158" s="85"/>
      <c r="I158" s="92"/>
    </row>
    <row r="159" spans="1:9" ht="18.75" customHeight="1">
      <c r="A159" s="83"/>
      <c r="B159" s="104"/>
      <c r="C159" s="85"/>
      <c r="D159" s="95"/>
      <c r="E159" s="95"/>
      <c r="F159" s="95"/>
      <c r="G159" s="95"/>
      <c r="H159" s="85"/>
      <c r="I159" s="92"/>
    </row>
    <row r="160" spans="1:9" ht="18.75" customHeight="1">
      <c r="A160" s="83"/>
      <c r="B160" s="104"/>
      <c r="C160" s="85"/>
      <c r="D160" s="95"/>
      <c r="E160" s="95"/>
      <c r="F160" s="95"/>
      <c r="G160" s="95"/>
      <c r="H160" s="85"/>
      <c r="I160" s="92"/>
    </row>
    <row r="161" spans="1:9" ht="18.75" customHeight="1">
      <c r="A161" s="83"/>
      <c r="B161" s="104"/>
      <c r="C161" s="85"/>
      <c r="D161" s="95"/>
      <c r="E161" s="95"/>
      <c r="F161" s="95"/>
      <c r="G161" s="95"/>
      <c r="H161" s="85"/>
      <c r="I161" s="92"/>
    </row>
    <row r="162" spans="1:9" ht="18.75" customHeight="1">
      <c r="A162" s="83"/>
      <c r="B162" s="104"/>
      <c r="C162" s="85"/>
      <c r="D162" s="95"/>
      <c r="E162" s="95"/>
      <c r="F162" s="95"/>
      <c r="G162" s="95"/>
      <c r="H162" s="85"/>
      <c r="I162" s="92"/>
    </row>
    <row r="163" spans="1:9" ht="18.75" customHeight="1">
      <c r="A163" s="83"/>
      <c r="B163" s="104"/>
      <c r="C163" s="85"/>
      <c r="D163" s="95"/>
      <c r="E163" s="95"/>
      <c r="F163" s="95"/>
      <c r="G163" s="95"/>
      <c r="H163" s="85"/>
      <c r="I163" s="92"/>
    </row>
    <row r="164" spans="1:9" ht="18.75" customHeight="1">
      <c r="A164" s="83"/>
      <c r="B164" s="104"/>
      <c r="C164" s="85"/>
      <c r="D164" s="95"/>
      <c r="E164" s="95"/>
      <c r="F164" s="95"/>
      <c r="G164" s="95"/>
      <c r="H164" s="85"/>
      <c r="I164" s="92"/>
    </row>
    <row r="165" spans="1:9" ht="18.75" customHeight="1">
      <c r="A165" s="83"/>
      <c r="B165" s="104"/>
      <c r="C165" s="85"/>
      <c r="D165" s="95"/>
      <c r="E165" s="95"/>
      <c r="F165" s="95"/>
      <c r="G165" s="95"/>
      <c r="H165" s="85"/>
      <c r="I165" s="92"/>
    </row>
    <row r="166" spans="1:9" ht="33.75" customHeight="1">
      <c r="A166" s="83"/>
      <c r="B166" s="104"/>
      <c r="C166" s="85"/>
      <c r="D166" s="252"/>
      <c r="E166" s="252"/>
      <c r="F166" s="252"/>
      <c r="G166" s="252"/>
      <c r="H166" s="252"/>
      <c r="I166" s="92"/>
    </row>
    <row r="167" spans="1:9" ht="18.75" customHeight="1">
      <c r="A167" s="83"/>
      <c r="B167" s="104"/>
      <c r="C167" s="85"/>
      <c r="D167" s="95"/>
      <c r="E167" s="95"/>
      <c r="F167" s="95"/>
      <c r="G167" s="95"/>
      <c r="H167" s="85"/>
      <c r="I167" s="92"/>
    </row>
    <row r="168" spans="1:9" ht="18.75" customHeight="1">
      <c r="A168" s="83"/>
      <c r="B168" s="104"/>
      <c r="C168" s="85"/>
      <c r="D168" s="106"/>
      <c r="E168" s="106"/>
      <c r="F168" s="106"/>
      <c r="G168" s="106"/>
      <c r="H168" s="85"/>
      <c r="I168" s="92"/>
    </row>
    <row r="169" spans="1:9" ht="18.75" customHeight="1">
      <c r="A169" s="83"/>
      <c r="B169" s="104"/>
      <c r="C169" s="85"/>
      <c r="D169" s="106"/>
      <c r="E169" s="106"/>
      <c r="F169" s="106"/>
      <c r="G169" s="106"/>
      <c r="H169" s="85"/>
      <c r="I169" s="92"/>
    </row>
    <row r="170" spans="1:9" ht="18.75" customHeight="1">
      <c r="A170" s="83"/>
      <c r="B170" s="104"/>
      <c r="C170" s="85"/>
      <c r="D170" s="107"/>
      <c r="E170" s="107"/>
      <c r="F170" s="107"/>
      <c r="G170" s="107"/>
      <c r="H170" s="85"/>
      <c r="I170" s="92"/>
    </row>
    <row r="171" spans="1:9" ht="18.75" customHeight="1">
      <c r="A171" s="83"/>
      <c r="B171" s="104"/>
      <c r="C171" s="85"/>
      <c r="D171" s="107"/>
      <c r="E171" s="107"/>
      <c r="F171" s="107"/>
      <c r="G171" s="107"/>
      <c r="H171" s="85"/>
      <c r="I171" s="92"/>
    </row>
    <row r="172" spans="1:9" ht="18.75" customHeight="1">
      <c r="A172" s="83"/>
      <c r="B172" s="104"/>
      <c r="C172" s="85"/>
      <c r="D172" s="85"/>
      <c r="E172" s="85"/>
      <c r="F172" s="85"/>
      <c r="G172" s="85"/>
      <c r="H172" s="85"/>
      <c r="I172" s="92"/>
    </row>
    <row r="173" spans="1:9" ht="18.75" customHeight="1">
      <c r="A173" s="83"/>
      <c r="B173" s="104"/>
      <c r="C173" s="85"/>
      <c r="D173" s="108"/>
      <c r="E173" s="108"/>
      <c r="F173" s="108"/>
      <c r="G173" s="108"/>
      <c r="H173" s="95"/>
      <c r="I173" s="92"/>
    </row>
    <row r="174" spans="1:9" ht="18.75" customHeight="1">
      <c r="A174" s="83"/>
      <c r="B174" s="104"/>
      <c r="C174" s="85"/>
      <c r="D174" s="108"/>
      <c r="E174" s="108"/>
      <c r="F174" s="108"/>
      <c r="G174" s="108"/>
      <c r="H174" s="95"/>
      <c r="I174" s="92"/>
    </row>
    <row r="175" spans="1:9" ht="18.75" customHeight="1">
      <c r="A175" s="83"/>
      <c r="B175" s="104"/>
      <c r="C175" s="85"/>
      <c r="D175" s="108"/>
      <c r="E175" s="108"/>
      <c r="F175" s="108"/>
      <c r="G175" s="108"/>
      <c r="H175" s="95"/>
      <c r="I175" s="92"/>
    </row>
    <row r="176" spans="1:9" ht="18.75" customHeight="1">
      <c r="A176" s="83"/>
      <c r="B176" s="104"/>
      <c r="C176" s="85"/>
      <c r="D176" s="108"/>
      <c r="E176" s="108"/>
      <c r="F176" s="108"/>
      <c r="G176" s="108"/>
      <c r="H176" s="95"/>
      <c r="I176" s="92"/>
    </row>
    <row r="177" spans="1:9" ht="18.75" customHeight="1">
      <c r="A177" s="83"/>
      <c r="B177" s="104"/>
      <c r="C177" s="85"/>
      <c r="D177" s="108"/>
      <c r="E177" s="108"/>
      <c r="F177" s="108"/>
      <c r="G177" s="108"/>
      <c r="H177" s="95"/>
      <c r="I177" s="92"/>
    </row>
    <row r="178" spans="1:9" ht="18" customHeight="1">
      <c r="A178" s="83"/>
      <c r="B178" s="104"/>
      <c r="C178" s="85"/>
      <c r="D178" s="108"/>
      <c r="E178" s="108"/>
      <c r="F178" s="108"/>
      <c r="G178" s="108"/>
      <c r="H178" s="95"/>
      <c r="I178" s="92"/>
    </row>
    <row r="179" spans="1:9" ht="18" customHeight="1">
      <c r="A179" s="83"/>
      <c r="B179" s="104"/>
      <c r="C179" s="85"/>
      <c r="D179" s="107"/>
      <c r="E179" s="107"/>
      <c r="F179" s="107"/>
      <c r="G179" s="107"/>
      <c r="H179" s="85"/>
      <c r="I179" s="92"/>
    </row>
    <row r="180" spans="1:9" ht="18" customHeight="1">
      <c r="A180" s="83"/>
      <c r="B180" s="104"/>
      <c r="C180" s="85"/>
      <c r="D180" s="107"/>
      <c r="E180" s="107"/>
      <c r="F180" s="107"/>
      <c r="G180" s="107"/>
      <c r="H180" s="85"/>
      <c r="I180" s="92"/>
    </row>
    <row r="181" spans="1:9" ht="18.75" customHeight="1">
      <c r="A181" s="83"/>
      <c r="B181" s="104"/>
      <c r="C181" s="85"/>
      <c r="D181" s="85"/>
      <c r="E181" s="85"/>
      <c r="F181" s="85"/>
      <c r="G181" s="85"/>
      <c r="H181" s="85"/>
      <c r="I181" s="92"/>
    </row>
    <row r="182" spans="1:9" ht="26.25" customHeight="1">
      <c r="A182" s="83"/>
      <c r="B182" s="104"/>
      <c r="C182" s="85"/>
      <c r="D182" s="85"/>
      <c r="E182" s="85"/>
      <c r="F182" s="85"/>
      <c r="G182" s="85"/>
      <c r="H182" s="86"/>
      <c r="I182" s="92"/>
    </row>
    <row r="183" spans="1:9" ht="18.75" customHeight="1">
      <c r="A183" s="83"/>
      <c r="B183" s="104"/>
      <c r="C183" s="85"/>
      <c r="D183" s="85"/>
      <c r="E183" s="85"/>
      <c r="F183" s="85"/>
      <c r="G183" s="85"/>
      <c r="H183" s="85"/>
      <c r="I183" s="92"/>
    </row>
    <row r="184" spans="1:9" ht="18.75" customHeight="1">
      <c r="A184" s="83"/>
      <c r="B184" s="104"/>
      <c r="C184" s="85"/>
      <c r="D184" s="107"/>
      <c r="E184" s="107"/>
      <c r="F184" s="107"/>
      <c r="G184" s="107"/>
      <c r="H184" s="85"/>
      <c r="I184" s="92"/>
    </row>
    <row r="185" spans="1:9" ht="18.75" customHeight="1">
      <c r="A185" s="83"/>
      <c r="B185" s="109"/>
      <c r="C185" s="85"/>
      <c r="D185" s="85"/>
      <c r="E185" s="85"/>
      <c r="F185" s="85"/>
      <c r="G185" s="85"/>
      <c r="H185" s="85"/>
      <c r="I185" s="92"/>
    </row>
    <row r="186" spans="1:9" ht="15" customHeight="1">
      <c r="A186" s="83"/>
      <c r="B186" s="124"/>
      <c r="C186" s="85"/>
      <c r="D186" s="85"/>
      <c r="E186" s="85"/>
      <c r="F186" s="85"/>
      <c r="G186" s="85"/>
      <c r="H186" s="85"/>
      <c r="I186" s="92"/>
    </row>
    <row r="187" spans="1:9" ht="15" customHeight="1">
      <c r="A187" s="83"/>
      <c r="B187" s="124"/>
      <c r="C187" s="85"/>
      <c r="D187" s="85"/>
      <c r="E187" s="85"/>
      <c r="F187" s="85"/>
      <c r="G187" s="85"/>
      <c r="H187" s="85"/>
      <c r="I187" s="92"/>
    </row>
    <row r="188" spans="1:9" ht="15" customHeight="1">
      <c r="A188" s="83"/>
      <c r="B188" s="124"/>
      <c r="C188" s="85"/>
      <c r="D188" s="85"/>
      <c r="E188" s="85"/>
      <c r="F188" s="85"/>
      <c r="G188" s="85"/>
      <c r="H188" s="85"/>
      <c r="I188" s="92"/>
    </row>
    <row r="189" spans="1:9">
      <c r="A189" s="99"/>
      <c r="B189" s="99"/>
      <c r="C189" s="99"/>
      <c r="D189" s="110"/>
      <c r="E189" s="110"/>
      <c r="F189" s="110"/>
      <c r="G189" s="110"/>
      <c r="H189" s="110"/>
      <c r="I189" s="92"/>
    </row>
    <row r="190" spans="1:9">
      <c r="A190" s="85"/>
      <c r="B190" s="85"/>
      <c r="C190" s="85"/>
      <c r="D190" s="85"/>
      <c r="E190" s="85"/>
      <c r="F190" s="85"/>
      <c r="G190" s="85"/>
      <c r="H190" s="85"/>
    </row>
    <row r="191" spans="1:9">
      <c r="A191" s="124"/>
      <c r="B191" s="85"/>
      <c r="C191" s="85"/>
      <c r="D191" s="85"/>
      <c r="E191" s="85"/>
      <c r="F191" s="85"/>
      <c r="G191" s="85"/>
      <c r="H191" s="85"/>
    </row>
    <row r="192" spans="1:9">
      <c r="A192" s="85"/>
      <c r="B192" s="85"/>
      <c r="C192" s="85"/>
      <c r="D192" s="85"/>
      <c r="E192" s="85"/>
      <c r="F192" s="85"/>
      <c r="G192" s="85"/>
      <c r="H192" s="85"/>
    </row>
    <row r="193" spans="1:8">
      <c r="A193" s="124"/>
      <c r="B193" s="85"/>
      <c r="C193" s="85"/>
      <c r="D193" s="85"/>
      <c r="E193" s="85"/>
      <c r="F193" s="85"/>
      <c r="G193" s="85"/>
      <c r="H193" s="85"/>
    </row>
    <row r="194" spans="1:8">
      <c r="A194" s="85"/>
      <c r="B194" s="125"/>
      <c r="C194" s="85"/>
      <c r="D194" s="85"/>
      <c r="E194" s="85"/>
      <c r="F194" s="85"/>
      <c r="G194" s="85"/>
      <c r="H194" s="85"/>
    </row>
    <row r="195" spans="1:8" ht="30.75" customHeight="1">
      <c r="A195" s="85"/>
      <c r="B195" s="233"/>
      <c r="C195" s="233"/>
      <c r="D195" s="233"/>
      <c r="E195" s="233"/>
      <c r="F195" s="233"/>
      <c r="G195" s="233"/>
      <c r="H195" s="233"/>
    </row>
    <row r="196" spans="1:8">
      <c r="A196" s="85"/>
      <c r="B196" s="111"/>
      <c r="C196" s="111"/>
      <c r="D196" s="111"/>
      <c r="E196" s="111"/>
      <c r="F196" s="111"/>
      <c r="G196" s="111"/>
      <c r="H196" s="111"/>
    </row>
    <row r="197" spans="1:8">
      <c r="A197" s="85"/>
      <c r="B197" s="112"/>
      <c r="C197" s="234"/>
      <c r="D197" s="234"/>
      <c r="E197" s="234"/>
      <c r="F197" s="234"/>
      <c r="G197" s="234"/>
      <c r="H197" s="234"/>
    </row>
    <row r="198" spans="1:8">
      <c r="A198" s="85"/>
      <c r="B198" s="113"/>
      <c r="C198" s="111"/>
      <c r="D198" s="111"/>
      <c r="E198" s="111"/>
      <c r="F198" s="111"/>
      <c r="G198" s="111"/>
      <c r="H198" s="111"/>
    </row>
    <row r="199" spans="1:8" ht="49.5" customHeight="1">
      <c r="A199" s="85"/>
      <c r="B199" s="114"/>
      <c r="C199" s="235"/>
      <c r="D199" s="234"/>
      <c r="E199" s="234"/>
      <c r="F199" s="234"/>
      <c r="G199" s="234"/>
      <c r="H199" s="234"/>
    </row>
    <row r="200" spans="1:8">
      <c r="A200" s="85"/>
      <c r="B200" s="115"/>
      <c r="C200" s="111"/>
      <c r="D200" s="111"/>
      <c r="E200" s="111"/>
      <c r="F200" s="111"/>
      <c r="G200" s="111"/>
      <c r="H200" s="111"/>
    </row>
    <row r="201" spans="1:8">
      <c r="A201" s="85"/>
      <c r="B201" s="112"/>
      <c r="C201" s="234"/>
      <c r="D201" s="234"/>
      <c r="E201" s="234"/>
      <c r="F201" s="234"/>
      <c r="G201" s="234"/>
      <c r="H201" s="234"/>
    </row>
    <row r="202" spans="1:8">
      <c r="A202" s="85"/>
      <c r="B202" s="113"/>
      <c r="C202" s="111"/>
      <c r="D202" s="111"/>
      <c r="E202" s="111"/>
      <c r="F202" s="111"/>
      <c r="G202" s="111"/>
      <c r="H202" s="111"/>
    </row>
    <row r="203" spans="1:8" ht="78.75" customHeight="1">
      <c r="A203" s="85"/>
      <c r="B203" s="114"/>
      <c r="C203" s="235"/>
      <c r="D203" s="234"/>
      <c r="E203" s="234"/>
      <c r="F203" s="234"/>
      <c r="G203" s="234"/>
      <c r="H203" s="234"/>
    </row>
    <row r="204" spans="1:8">
      <c r="A204" s="85"/>
      <c r="B204" s="113"/>
      <c r="C204" s="111"/>
      <c r="D204" s="111"/>
      <c r="E204" s="111"/>
      <c r="F204" s="111"/>
      <c r="G204" s="111"/>
      <c r="H204" s="111"/>
    </row>
    <row r="205" spans="1:8">
      <c r="A205" s="85"/>
      <c r="B205" s="113"/>
      <c r="C205" s="111"/>
      <c r="D205" s="111"/>
      <c r="E205" s="111"/>
      <c r="F205" s="111"/>
      <c r="G205" s="111"/>
      <c r="H205" s="111"/>
    </row>
    <row r="206" spans="1:8">
      <c r="A206" s="85"/>
      <c r="B206" s="112"/>
      <c r="C206" s="234"/>
      <c r="D206" s="234"/>
      <c r="E206" s="234"/>
      <c r="F206" s="234"/>
      <c r="G206" s="234"/>
      <c r="H206" s="234"/>
    </row>
    <row r="207" spans="1:8">
      <c r="A207" s="85"/>
      <c r="B207" s="111"/>
      <c r="C207" s="111"/>
      <c r="D207" s="111"/>
      <c r="E207" s="111"/>
      <c r="F207" s="111"/>
      <c r="G207" s="111"/>
      <c r="H207" s="111"/>
    </row>
    <row r="208" spans="1:8" ht="58.5" customHeight="1">
      <c r="A208" s="85"/>
      <c r="B208" s="114"/>
      <c r="C208" s="235"/>
      <c r="D208" s="234"/>
      <c r="E208" s="234"/>
      <c r="F208" s="234"/>
      <c r="G208" s="234"/>
      <c r="H208" s="234"/>
    </row>
    <row r="209" spans="1:8" ht="90" customHeight="1">
      <c r="A209" s="85"/>
      <c r="B209" s="114"/>
      <c r="C209" s="235"/>
      <c r="D209" s="234"/>
      <c r="E209" s="234"/>
      <c r="F209" s="234"/>
      <c r="G209" s="234"/>
      <c r="H209" s="234"/>
    </row>
    <row r="210" spans="1:8">
      <c r="A210" s="85"/>
      <c r="B210" s="114"/>
      <c r="C210" s="251"/>
      <c r="D210" s="252"/>
      <c r="E210" s="252"/>
      <c r="F210" s="252"/>
      <c r="G210" s="252"/>
      <c r="H210" s="252"/>
    </row>
    <row r="211" spans="1:8">
      <c r="A211" s="85"/>
      <c r="B211" s="116"/>
      <c r="C211" s="249"/>
      <c r="D211" s="249"/>
      <c r="E211" s="117"/>
      <c r="F211" s="117"/>
      <c r="G211" s="117"/>
      <c r="H211" s="118"/>
    </row>
    <row r="212" spans="1:8">
      <c r="A212" s="85"/>
      <c r="B212" s="116"/>
      <c r="C212" s="249"/>
      <c r="D212" s="249"/>
      <c r="E212" s="117"/>
      <c r="F212" s="117"/>
      <c r="G212" s="117"/>
      <c r="H212" s="118"/>
    </row>
    <row r="213" spans="1:8">
      <c r="A213" s="85"/>
      <c r="B213" s="116"/>
      <c r="C213" s="249"/>
      <c r="D213" s="249"/>
      <c r="E213" s="117"/>
      <c r="F213" s="117"/>
      <c r="G213" s="117"/>
      <c r="H213" s="118"/>
    </row>
    <row r="214" spans="1:8">
      <c r="A214" s="85"/>
      <c r="B214" s="116"/>
      <c r="C214" s="249"/>
      <c r="D214" s="249"/>
      <c r="E214" s="117"/>
      <c r="F214" s="117"/>
      <c r="G214" s="117"/>
      <c r="H214" s="118"/>
    </row>
    <row r="215" spans="1:8">
      <c r="A215" s="85"/>
      <c r="B215" s="116"/>
      <c r="C215" s="249"/>
      <c r="D215" s="249"/>
      <c r="E215" s="117"/>
      <c r="F215" s="117"/>
      <c r="G215" s="117"/>
      <c r="H215" s="118"/>
    </row>
    <row r="216" spans="1:8">
      <c r="A216" s="85"/>
      <c r="B216" s="116"/>
      <c r="C216" s="249"/>
      <c r="D216" s="249"/>
      <c r="E216" s="117"/>
      <c r="F216" s="117"/>
      <c r="G216" s="117"/>
      <c r="H216" s="118"/>
    </row>
    <row r="217" spans="1:8">
      <c r="A217" s="85"/>
      <c r="B217" s="116"/>
      <c r="C217" s="249"/>
      <c r="D217" s="249"/>
      <c r="E217" s="117"/>
      <c r="F217" s="117"/>
      <c r="G217" s="117"/>
      <c r="H217" s="119"/>
    </row>
    <row r="218" spans="1:8">
      <c r="A218" s="85"/>
      <c r="B218" s="116"/>
      <c r="C218" s="249"/>
      <c r="D218" s="249"/>
      <c r="E218" s="117"/>
      <c r="F218" s="117"/>
      <c r="G218" s="117"/>
      <c r="H218" s="119"/>
    </row>
    <row r="219" spans="1:8">
      <c r="A219" s="85"/>
      <c r="B219" s="116"/>
      <c r="C219" s="249"/>
      <c r="D219" s="249"/>
      <c r="E219" s="117"/>
      <c r="F219" s="117"/>
      <c r="G219" s="117"/>
      <c r="H219" s="119"/>
    </row>
    <row r="220" spans="1:8">
      <c r="A220" s="85"/>
      <c r="B220" s="116"/>
      <c r="C220" s="249"/>
      <c r="D220" s="249"/>
      <c r="E220" s="117"/>
      <c r="F220" s="117"/>
      <c r="G220" s="117"/>
      <c r="H220" s="119"/>
    </row>
    <row r="221" spans="1:8" ht="26.25" customHeight="1">
      <c r="A221" s="85"/>
      <c r="B221" s="116"/>
      <c r="C221" s="250"/>
      <c r="D221" s="250"/>
      <c r="E221" s="250"/>
      <c r="F221" s="250"/>
      <c r="G221" s="250"/>
      <c r="H221" s="250"/>
    </row>
    <row r="222" spans="1:8">
      <c r="A222" s="85"/>
      <c r="B222" s="85"/>
      <c r="C222" s="99"/>
      <c r="D222" s="85"/>
      <c r="E222" s="85"/>
      <c r="F222" s="85"/>
      <c r="G222" s="85"/>
      <c r="H222" s="85"/>
    </row>
    <row r="223" spans="1:8">
      <c r="A223" s="124"/>
      <c r="B223" s="85"/>
      <c r="C223" s="85"/>
      <c r="D223" s="85"/>
      <c r="E223" s="85"/>
      <c r="F223" s="85"/>
      <c r="G223" s="85"/>
      <c r="H223" s="85"/>
    </row>
    <row r="224" spans="1:8">
      <c r="A224" s="85"/>
      <c r="B224" s="85"/>
      <c r="C224" s="85"/>
      <c r="D224" s="85"/>
      <c r="E224" s="85"/>
      <c r="F224" s="85"/>
      <c r="G224" s="85"/>
      <c r="H224" s="85"/>
    </row>
    <row r="225" spans="1:8">
      <c r="A225" s="114"/>
      <c r="B225" s="85"/>
      <c r="C225" s="85"/>
      <c r="D225" s="85"/>
      <c r="E225" s="85"/>
      <c r="F225" s="85"/>
      <c r="G225" s="85"/>
      <c r="H225" s="85"/>
    </row>
    <row r="226" spans="1:8">
      <c r="A226" s="114"/>
      <c r="B226" s="85"/>
      <c r="C226" s="85"/>
      <c r="D226" s="85"/>
      <c r="E226" s="85"/>
      <c r="F226" s="85"/>
      <c r="G226" s="85"/>
      <c r="H226" s="85"/>
    </row>
    <row r="227" spans="1:8">
      <c r="A227" s="114"/>
      <c r="B227" s="85"/>
      <c r="C227" s="85"/>
      <c r="D227" s="85"/>
      <c r="E227" s="85"/>
      <c r="F227" s="85"/>
      <c r="G227" s="85"/>
      <c r="H227" s="85"/>
    </row>
    <row r="228" spans="1:8">
      <c r="A228" s="85"/>
      <c r="B228" s="249"/>
      <c r="C228" s="249"/>
      <c r="D228" s="85"/>
      <c r="E228" s="85"/>
      <c r="F228" s="85"/>
      <c r="G228" s="85"/>
      <c r="H228" s="85"/>
    </row>
    <row r="229" spans="1:8">
      <c r="A229" s="85"/>
      <c r="B229" s="249"/>
      <c r="C229" s="249"/>
      <c r="D229" s="85"/>
      <c r="E229" s="85"/>
      <c r="F229" s="85"/>
      <c r="G229" s="85"/>
      <c r="H229" s="85"/>
    </row>
    <row r="230" spans="1:8">
      <c r="A230" s="85"/>
      <c r="B230" s="249"/>
      <c r="C230" s="249"/>
      <c r="D230" s="85"/>
      <c r="E230" s="85"/>
      <c r="F230" s="85"/>
      <c r="G230" s="85"/>
      <c r="H230" s="85"/>
    </row>
    <row r="231" spans="1:8">
      <c r="A231" s="85"/>
      <c r="B231" s="249"/>
      <c r="C231" s="249"/>
      <c r="D231" s="85"/>
      <c r="E231" s="85"/>
      <c r="F231" s="85"/>
      <c r="G231" s="85"/>
      <c r="H231" s="85"/>
    </row>
    <row r="232" spans="1:8">
      <c r="A232" s="85"/>
      <c r="B232" s="249"/>
      <c r="C232" s="249"/>
      <c r="D232" s="85"/>
      <c r="E232" s="85"/>
      <c r="F232" s="85"/>
      <c r="G232" s="85"/>
      <c r="H232" s="85"/>
    </row>
    <row r="233" spans="1:8">
      <c r="A233" s="85"/>
      <c r="B233" s="249"/>
      <c r="C233" s="249"/>
      <c r="D233" s="85"/>
      <c r="E233" s="85"/>
      <c r="F233" s="85"/>
      <c r="G233" s="85"/>
      <c r="H233" s="85"/>
    </row>
    <row r="234" spans="1:8">
      <c r="A234" s="85"/>
      <c r="B234" s="249"/>
      <c r="C234" s="249"/>
      <c r="D234" s="85"/>
      <c r="E234" s="85"/>
      <c r="F234" s="85"/>
      <c r="G234" s="85"/>
      <c r="H234" s="85"/>
    </row>
    <row r="235" spans="1:8">
      <c r="A235" s="85"/>
      <c r="B235" s="249"/>
      <c r="C235" s="249"/>
      <c r="D235" s="85"/>
      <c r="E235" s="85"/>
      <c r="F235" s="85"/>
      <c r="G235" s="85"/>
      <c r="H235" s="85"/>
    </row>
    <row r="236" spans="1:8">
      <c r="A236" s="85"/>
      <c r="B236" s="249"/>
      <c r="C236" s="249"/>
      <c r="D236" s="85"/>
      <c r="E236" s="85"/>
      <c r="F236" s="85"/>
      <c r="G236" s="85"/>
      <c r="H236" s="85"/>
    </row>
    <row r="237" spans="1:8">
      <c r="A237" s="85"/>
      <c r="B237" s="249"/>
      <c r="C237" s="249"/>
      <c r="D237" s="85"/>
      <c r="E237" s="85"/>
      <c r="F237" s="85"/>
      <c r="G237" s="85"/>
      <c r="H237" s="85"/>
    </row>
    <row r="238" spans="1:8">
      <c r="A238" s="85"/>
      <c r="B238" s="249"/>
      <c r="C238" s="249"/>
      <c r="D238" s="85"/>
      <c r="E238" s="85"/>
      <c r="F238" s="85"/>
      <c r="G238" s="85"/>
      <c r="H238" s="85"/>
    </row>
    <row r="239" spans="1:8">
      <c r="A239" s="85"/>
      <c r="B239" s="249"/>
      <c r="C239" s="249"/>
      <c r="D239" s="85"/>
      <c r="E239" s="85"/>
      <c r="F239" s="85"/>
      <c r="G239" s="85"/>
      <c r="H239" s="85"/>
    </row>
    <row r="240" spans="1:8">
      <c r="A240" s="114"/>
      <c r="B240" s="85"/>
      <c r="C240" s="117"/>
      <c r="D240" s="85"/>
      <c r="E240" s="85"/>
      <c r="F240" s="85"/>
      <c r="G240" s="85"/>
      <c r="H240" s="85"/>
    </row>
    <row r="241" spans="1:8" ht="15" customHeight="1">
      <c r="A241" s="114"/>
      <c r="B241" s="234"/>
      <c r="C241" s="234"/>
      <c r="D241" s="234"/>
      <c r="E241" s="234"/>
      <c r="F241" s="234"/>
      <c r="G241" s="234"/>
      <c r="H241" s="234"/>
    </row>
    <row r="242" spans="1:8" ht="32.25" customHeight="1">
      <c r="A242" s="114"/>
      <c r="B242" s="234"/>
      <c r="C242" s="234"/>
      <c r="D242" s="234"/>
      <c r="E242" s="234"/>
      <c r="F242" s="234"/>
      <c r="G242" s="234"/>
      <c r="H242" s="234"/>
    </row>
    <row r="243" spans="1:8">
      <c r="A243" s="85"/>
      <c r="B243" s="85"/>
      <c r="C243" s="85"/>
      <c r="D243" s="85"/>
      <c r="E243" s="85"/>
      <c r="F243" s="85"/>
      <c r="G243" s="85"/>
      <c r="H243" s="85"/>
    </row>
    <row r="244" spans="1:8">
      <c r="A244" s="124"/>
      <c r="B244" s="85"/>
      <c r="C244" s="85"/>
      <c r="D244" s="85"/>
      <c r="E244" s="85"/>
      <c r="F244" s="85"/>
      <c r="G244" s="85"/>
      <c r="H244" s="85"/>
    </row>
    <row r="245" spans="1:8">
      <c r="A245" s="85"/>
      <c r="B245" s="85"/>
      <c r="C245" s="85"/>
      <c r="D245" s="85"/>
      <c r="E245" s="85"/>
      <c r="F245" s="85"/>
      <c r="G245" s="85"/>
      <c r="H245" s="85"/>
    </row>
    <row r="246" spans="1:8" ht="32.25" customHeight="1">
      <c r="A246" s="114"/>
      <c r="B246" s="245"/>
      <c r="C246" s="245"/>
      <c r="D246" s="245"/>
      <c r="E246" s="245"/>
      <c r="F246" s="245"/>
      <c r="G246" s="245"/>
      <c r="H246" s="245"/>
    </row>
    <row r="247" spans="1:8" ht="17.25" customHeight="1">
      <c r="A247" s="114"/>
      <c r="B247" s="245"/>
      <c r="C247" s="245"/>
      <c r="D247" s="245"/>
      <c r="E247" s="245"/>
      <c r="F247" s="245"/>
      <c r="G247" s="245"/>
      <c r="H247" s="245"/>
    </row>
    <row r="248" spans="1:8" ht="18" customHeight="1">
      <c r="A248" s="114"/>
      <c r="B248" s="245"/>
      <c r="C248" s="245"/>
      <c r="D248" s="245"/>
      <c r="E248" s="245"/>
      <c r="F248" s="245"/>
      <c r="G248" s="245"/>
      <c r="H248" s="245"/>
    </row>
    <row r="249" spans="1:8">
      <c r="A249" s="114"/>
      <c r="B249" s="245"/>
      <c r="C249" s="245"/>
      <c r="D249" s="245"/>
      <c r="E249" s="245"/>
      <c r="F249" s="245"/>
      <c r="G249" s="245"/>
      <c r="H249" s="245"/>
    </row>
  </sheetData>
  <mergeCells count="131">
    <mergeCell ref="C2:G2"/>
    <mergeCell ref="C3:G4"/>
    <mergeCell ref="B2:B4"/>
    <mergeCell ref="C43:H43"/>
    <mergeCell ref="C44:H44"/>
    <mergeCell ref="C49:H49"/>
    <mergeCell ref="B55:H55"/>
    <mergeCell ref="C50:H50"/>
    <mergeCell ref="C91:H91"/>
    <mergeCell ref="C75:H75"/>
    <mergeCell ref="C77:H77"/>
    <mergeCell ref="C78:H78"/>
    <mergeCell ref="C76:H76"/>
    <mergeCell ref="C87:H87"/>
    <mergeCell ref="B90:H90"/>
    <mergeCell ref="C79:H79"/>
    <mergeCell ref="C85:H85"/>
    <mergeCell ref="C86:H86"/>
    <mergeCell ref="C62:H62"/>
    <mergeCell ref="B73:H73"/>
    <mergeCell ref="C40:H40"/>
    <mergeCell ref="C41:H41"/>
    <mergeCell ref="B42:H42"/>
    <mergeCell ref="C39:H39"/>
    <mergeCell ref="B249:H249"/>
    <mergeCell ref="B234:C234"/>
    <mergeCell ref="B235:C235"/>
    <mergeCell ref="B236:C236"/>
    <mergeCell ref="B237:C237"/>
    <mergeCell ref="B238:C238"/>
    <mergeCell ref="B239:C239"/>
    <mergeCell ref="B241:H241"/>
    <mergeCell ref="B242:H242"/>
    <mergeCell ref="B246:H246"/>
    <mergeCell ref="B247:H247"/>
    <mergeCell ref="B248:H248"/>
    <mergeCell ref="C96:H96"/>
    <mergeCell ref="C97:H97"/>
    <mergeCell ref="C98:H98"/>
    <mergeCell ref="C95:H95"/>
    <mergeCell ref="B195:H195"/>
    <mergeCell ref="C70:H70"/>
    <mergeCell ref="C71:H71"/>
    <mergeCell ref="C92:H92"/>
    <mergeCell ref="C93:H93"/>
    <mergeCell ref="C103:H103"/>
    <mergeCell ref="B126:C126"/>
    <mergeCell ref="C82:H82"/>
    <mergeCell ref="B139:C139"/>
    <mergeCell ref="B140:C140"/>
    <mergeCell ref="B141:C141"/>
    <mergeCell ref="D166:H166"/>
    <mergeCell ref="B123:C123"/>
    <mergeCell ref="B101:H101"/>
    <mergeCell ref="C94:H94"/>
    <mergeCell ref="B232:C232"/>
    <mergeCell ref="B233:C233"/>
    <mergeCell ref="C216:D216"/>
    <mergeCell ref="C217:D217"/>
    <mergeCell ref="C218:D218"/>
    <mergeCell ref="C219:D219"/>
    <mergeCell ref="C220:D220"/>
    <mergeCell ref="C221:H221"/>
    <mergeCell ref="B228:C228"/>
    <mergeCell ref="B229:C229"/>
    <mergeCell ref="B230:C230"/>
    <mergeCell ref="B231:C231"/>
    <mergeCell ref="C214:D214"/>
    <mergeCell ref="C215:D215"/>
    <mergeCell ref="B61:H61"/>
    <mergeCell ref="C102:H102"/>
    <mergeCell ref="B115:C115"/>
    <mergeCell ref="B116:C116"/>
    <mergeCell ref="C104:H104"/>
    <mergeCell ref="C74:H74"/>
    <mergeCell ref="C199:H199"/>
    <mergeCell ref="C201:H201"/>
    <mergeCell ref="C203:H203"/>
    <mergeCell ref="C64:H64"/>
    <mergeCell ref="C65:H65"/>
    <mergeCell ref="B66:H66"/>
    <mergeCell ref="C67:H67"/>
    <mergeCell ref="B69:H69"/>
    <mergeCell ref="C213:D213"/>
    <mergeCell ref="B131:C131"/>
    <mergeCell ref="B138:C138"/>
    <mergeCell ref="C63:H63"/>
    <mergeCell ref="C197:H197"/>
    <mergeCell ref="B84:H84"/>
    <mergeCell ref="C80:H80"/>
    <mergeCell ref="C81:H81"/>
    <mergeCell ref="C36:H36"/>
    <mergeCell ref="C31:H31"/>
    <mergeCell ref="C27:H27"/>
    <mergeCell ref="C45:H45"/>
    <mergeCell ref="C52:H52"/>
    <mergeCell ref="C60:H60"/>
    <mergeCell ref="C56:H56"/>
    <mergeCell ref="C57:H57"/>
    <mergeCell ref="C58:H58"/>
    <mergeCell ref="C53:H53"/>
    <mergeCell ref="C54:H54"/>
    <mergeCell ref="C51:H51"/>
    <mergeCell ref="B46:H46"/>
    <mergeCell ref="B59:H59"/>
    <mergeCell ref="B48:H48"/>
    <mergeCell ref="C47:H47"/>
    <mergeCell ref="C206:H206"/>
    <mergeCell ref="C208:H208"/>
    <mergeCell ref="C209:H209"/>
    <mergeCell ref="C210:H210"/>
    <mergeCell ref="C211:D211"/>
    <mergeCell ref="C212:D212"/>
    <mergeCell ref="B8:H8"/>
    <mergeCell ref="D11:H11"/>
    <mergeCell ref="D13:H13"/>
    <mergeCell ref="B22:H22"/>
    <mergeCell ref="D15:H15"/>
    <mergeCell ref="D17:H17"/>
    <mergeCell ref="D19:H19"/>
    <mergeCell ref="C25:H25"/>
    <mergeCell ref="C37:H37"/>
    <mergeCell ref="C38:H38"/>
    <mergeCell ref="C35:H35"/>
    <mergeCell ref="C23:H23"/>
    <mergeCell ref="B34:H34"/>
    <mergeCell ref="C24:H24"/>
    <mergeCell ref="C26:H26"/>
    <mergeCell ref="C28:H28"/>
    <mergeCell ref="C29:H29"/>
    <mergeCell ref="C30:H30"/>
  </mergeCells>
  <phoneticPr fontId="5" type="noConversion"/>
  <conditionalFormatting sqref="B134:B135">
    <cfRule type="cellIs" dxfId="31" priority="1" stopIfTrue="1" operator="equal">
      <formula>"Si"</formula>
    </cfRule>
    <cfRule type="cellIs" dxfId="30" priority="2" stopIfTrue="1" operator="equal">
      <formula>"No"</formula>
    </cfRule>
    <cfRule type="cellIs" dxfId="29" priority="3" stopIfTrue="1" operator="equal">
      <formula>"""No Aplica"""</formula>
    </cfRule>
  </conditionalFormatting>
  <pageMargins left="0.65" right="0.38" top="0.56000000000000005" bottom="0.31" header="0.5" footer="0.5"/>
  <pageSetup paperSize="9" scale="23" orientation="portrait" verticalDpi="0"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B2:G21"/>
  <sheetViews>
    <sheetView showGridLines="0" zoomScaleNormal="100" workbookViewId="0">
      <selection activeCell="E5" sqref="E5"/>
    </sheetView>
  </sheetViews>
  <sheetFormatPr baseColWidth="10" defaultColWidth="9.140625" defaultRowHeight="12.75"/>
  <cols>
    <col min="2" max="2" width="6" customWidth="1"/>
    <col min="3" max="3" width="16.7109375" customWidth="1"/>
    <col min="4" max="4" width="24.7109375" customWidth="1"/>
    <col min="5" max="5" width="41.42578125" customWidth="1"/>
    <col min="6" max="6" width="37.28515625" customWidth="1"/>
    <col min="8" max="8" width="9.140625" customWidth="1"/>
  </cols>
  <sheetData>
    <row r="2" spans="2:7" s="215" customFormat="1" ht="15.75" customHeight="1">
      <c r="B2" s="278"/>
      <c r="C2" s="279"/>
      <c r="D2" s="276" t="s">
        <v>244</v>
      </c>
      <c r="E2" s="277"/>
      <c r="F2" s="221" t="s">
        <v>245</v>
      </c>
      <c r="G2" s="219"/>
    </row>
    <row r="3" spans="2:7" s="215" customFormat="1" ht="15.75" customHeight="1">
      <c r="B3" s="278"/>
      <c r="C3" s="280"/>
      <c r="D3" s="282" t="str">
        <f>Instructivo!C3</f>
        <v>DS.F.188  ICO-Plan de OT_INTEGRA</v>
      </c>
      <c r="E3" s="283"/>
      <c r="F3" s="214" t="str">
        <f>Instructivo!H3</f>
        <v>Versión: 2.0</v>
      </c>
      <c r="G3" s="219"/>
    </row>
    <row r="4" spans="2:7" s="215" customFormat="1">
      <c r="B4" s="278"/>
      <c r="C4" s="281"/>
      <c r="D4" s="284"/>
      <c r="E4" s="285"/>
      <c r="F4" s="214" t="str">
        <f>Instructivo!H4</f>
        <v>Fecha:  07/05/2019</v>
      </c>
      <c r="G4" s="219"/>
    </row>
    <row r="5" spans="2:7" s="211" customFormat="1">
      <c r="C5" s="209"/>
      <c r="D5" s="134"/>
      <c r="E5" s="134"/>
      <c r="F5" s="134"/>
    </row>
    <row r="6" spans="2:7">
      <c r="C6" s="177"/>
      <c r="D6" s="177"/>
      <c r="E6" s="177"/>
      <c r="F6" s="177"/>
    </row>
    <row r="7" spans="2:7">
      <c r="C7" s="273" t="s">
        <v>69</v>
      </c>
      <c r="D7" s="274"/>
      <c r="E7" s="274"/>
      <c r="F7" s="275"/>
    </row>
    <row r="8" spans="2:7">
      <c r="C8" s="128" t="s">
        <v>63</v>
      </c>
      <c r="D8" s="128" t="s">
        <v>194</v>
      </c>
      <c r="E8" s="128" t="s">
        <v>195</v>
      </c>
      <c r="F8" s="128" t="s">
        <v>207</v>
      </c>
    </row>
    <row r="9" spans="2:7">
      <c r="C9" s="182">
        <v>1</v>
      </c>
      <c r="D9" s="226">
        <v>44962</v>
      </c>
      <c r="E9" s="182" t="s">
        <v>188</v>
      </c>
      <c r="F9" s="183" t="s">
        <v>250</v>
      </c>
    </row>
    <row r="10" spans="2:7">
      <c r="C10" s="129"/>
      <c r="D10" s="130"/>
      <c r="E10" s="182"/>
      <c r="F10" s="129"/>
    </row>
    <row r="11" spans="2:7">
      <c r="C11" s="129"/>
      <c r="D11" s="130"/>
      <c r="E11" s="182"/>
      <c r="F11" s="178"/>
    </row>
    <row r="12" spans="2:7">
      <c r="C12" s="129"/>
      <c r="D12" s="130"/>
      <c r="E12" s="182"/>
      <c r="F12" s="178"/>
    </row>
    <row r="13" spans="2:7">
      <c r="C13" s="129"/>
      <c r="D13" s="130"/>
      <c r="E13" s="182"/>
      <c r="F13" s="178"/>
    </row>
    <row r="15" spans="2:7">
      <c r="C15" s="273" t="s">
        <v>203</v>
      </c>
      <c r="D15" s="274"/>
      <c r="E15" s="274"/>
      <c r="F15" s="275"/>
    </row>
    <row r="16" spans="2:7">
      <c r="C16" s="179" t="s">
        <v>204</v>
      </c>
      <c r="D16" s="179" t="s">
        <v>194</v>
      </c>
      <c r="E16" s="179" t="s">
        <v>205</v>
      </c>
      <c r="F16" s="179" t="s">
        <v>206</v>
      </c>
    </row>
    <row r="17" spans="3:6">
      <c r="C17" s="184"/>
      <c r="D17" s="226"/>
      <c r="E17" s="129"/>
      <c r="F17" s="129"/>
    </row>
    <row r="18" spans="3:6">
      <c r="C18" s="185"/>
      <c r="D18" s="181"/>
      <c r="E18" s="129"/>
      <c r="F18" s="129" t="str">
        <f t="shared" ref="F18:F21" si="0">IF(E18="", "",IF(E18="Equipo Calidad", "Analista de Calidad", "Analista de Sistemas"))</f>
        <v/>
      </c>
    </row>
    <row r="19" spans="3:6">
      <c r="C19" s="185"/>
      <c r="D19" s="181"/>
      <c r="E19" s="129"/>
      <c r="F19" s="129" t="str">
        <f t="shared" si="0"/>
        <v/>
      </c>
    </row>
    <row r="20" spans="3:6">
      <c r="C20" s="185"/>
      <c r="D20" s="181"/>
      <c r="E20" s="129"/>
      <c r="F20" s="129" t="str">
        <f t="shared" si="0"/>
        <v/>
      </c>
    </row>
    <row r="21" spans="3:6">
      <c r="C21" s="180"/>
      <c r="D21" s="181"/>
      <c r="E21" s="129"/>
      <c r="F21" s="129" t="str">
        <f t="shared" si="0"/>
        <v/>
      </c>
    </row>
  </sheetData>
  <mergeCells count="6">
    <mergeCell ref="C15:F15"/>
    <mergeCell ref="D2:E2"/>
    <mergeCell ref="C7:F7"/>
    <mergeCell ref="B2:B4"/>
    <mergeCell ref="C2:C4"/>
    <mergeCell ref="D3:E4"/>
  </mergeCells>
  <dataValidations count="2">
    <dataValidation type="list" allowBlank="1" showInputMessage="1" showErrorMessage="1" sqref="E18:E21">
      <formula1>Revisor</formula1>
    </dataValidation>
    <dataValidation type="list" allowBlank="1" showInputMessage="1" showErrorMessage="1" sqref="E9:E13">
      <formula1>Autor_Registro</formula1>
    </dataValidation>
  </dataValidations>
  <pageMargins left="0.7" right="0.7" top="0.75" bottom="0.75" header="0.3" footer="0.3"/>
  <ignoredErrors>
    <ignoredError sqref="F18:F21" unlockedFormula="1"/>
  </ignoredErrors>
  <drawing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Tablas!$H$9:$H$16</xm:f>
          </x14:formula1>
          <xm:sqref>E17</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2:I57"/>
  <sheetViews>
    <sheetView showGridLines="0" topLeftCell="A34" zoomScale="90" zoomScaleNormal="90" zoomScaleSheetLayoutView="100" zoomScalePageLayoutView="70" workbookViewId="0">
      <selection activeCell="H48" sqref="H48"/>
    </sheetView>
  </sheetViews>
  <sheetFormatPr baseColWidth="10" defaultColWidth="9.140625" defaultRowHeight="12.75"/>
  <cols>
    <col min="1" max="1" width="9.85546875" style="10" customWidth="1"/>
    <col min="2" max="2" width="40.28515625" style="10" customWidth="1"/>
    <col min="3" max="3" width="19.5703125" style="10" customWidth="1"/>
    <col min="4" max="4" width="12.7109375" style="10" bestFit="1" customWidth="1"/>
    <col min="5" max="5" width="15.7109375" style="10" customWidth="1"/>
    <col min="6" max="6" width="14.85546875" style="11" customWidth="1"/>
    <col min="7" max="7" width="14.85546875" style="10" customWidth="1"/>
    <col min="8" max="8" width="13.7109375" style="10" customWidth="1"/>
    <col min="9" max="16384" width="9.140625" style="10"/>
  </cols>
  <sheetData>
    <row r="2" spans="1:9" s="69" customFormat="1" ht="48.75" customHeight="1">
      <c r="A2" s="70"/>
      <c r="B2" s="71"/>
      <c r="C2" s="237" t="str">
        <f>Instructivo!$C$3</f>
        <v>DS.F.188  ICO-Plan de OT_INTEGRA</v>
      </c>
      <c r="D2" s="238"/>
      <c r="E2" s="239"/>
      <c r="F2" s="286"/>
      <c r="G2" s="286"/>
      <c r="H2" s="286"/>
      <c r="I2" s="134"/>
    </row>
    <row r="4" spans="1:9" ht="15.75">
      <c r="B4" s="17" t="s">
        <v>149</v>
      </c>
    </row>
    <row r="6" spans="1:9">
      <c r="B6" s="1" t="s">
        <v>27</v>
      </c>
      <c r="C6" s="22" t="s">
        <v>31</v>
      </c>
      <c r="D6" s="12"/>
      <c r="E6" s="60" t="s">
        <v>160</v>
      </c>
      <c r="F6" s="32" t="str">
        <f>IF(OR(C22&gt;TAB_MIN_ESFUERZO,$C$14=Tablas!$B$27),"SI","NO")</f>
        <v>SI</v>
      </c>
      <c r="G6" s="13" t="str">
        <f>IF(F6="SI","Esta OT debe ser enviada para revisión del Consultor","")</f>
        <v>Esta OT debe ser enviada para revisión del Consultor</v>
      </c>
    </row>
    <row r="7" spans="1:9">
      <c r="B7" s="1" t="s">
        <v>47</v>
      </c>
      <c r="C7" s="63" t="s">
        <v>52</v>
      </c>
      <c r="D7" s="12"/>
    </row>
    <row r="8" spans="1:9">
      <c r="B8" s="1" t="s">
        <v>14</v>
      </c>
      <c r="C8" s="225" t="s">
        <v>264</v>
      </c>
      <c r="D8" s="12"/>
    </row>
    <row r="9" spans="1:9">
      <c r="B9" s="1" t="s">
        <v>184</v>
      </c>
      <c r="C9" s="225" t="s">
        <v>265</v>
      </c>
      <c r="D9" s="12"/>
    </row>
    <row r="10" spans="1:9" ht="16.5" customHeight="1">
      <c r="B10" s="1" t="s">
        <v>6</v>
      </c>
      <c r="C10" s="297" t="s">
        <v>263</v>
      </c>
      <c r="D10" s="298"/>
    </row>
    <row r="11" spans="1:9">
      <c r="B11" s="1" t="s">
        <v>9</v>
      </c>
      <c r="C11" s="23" t="s">
        <v>21</v>
      </c>
      <c r="D11" s="12"/>
      <c r="F11" s="10"/>
      <c r="G11" s="11"/>
    </row>
    <row r="12" spans="1:9">
      <c r="F12" s="10"/>
      <c r="G12" s="11"/>
    </row>
    <row r="13" spans="1:9">
      <c r="B13" s="299" t="s">
        <v>43</v>
      </c>
      <c r="C13" s="288"/>
      <c r="D13" s="14"/>
      <c r="F13" s="10"/>
      <c r="G13" s="11"/>
    </row>
    <row r="14" spans="1:9" s="14" customFormat="1">
      <c r="B14" s="1" t="s">
        <v>48</v>
      </c>
      <c r="C14" s="23" t="s">
        <v>40</v>
      </c>
      <c r="D14" s="10"/>
      <c r="G14" s="15"/>
    </row>
    <row r="15" spans="1:9">
      <c r="B15" s="1" t="s">
        <v>44</v>
      </c>
      <c r="C15" s="23" t="s">
        <v>40</v>
      </c>
      <c r="F15" s="10"/>
      <c r="G15" s="11"/>
    </row>
    <row r="16" spans="1:9">
      <c r="B16" s="1" t="s">
        <v>28</v>
      </c>
      <c r="C16" s="23" t="s">
        <v>40</v>
      </c>
      <c r="F16" s="10"/>
      <c r="G16" s="11"/>
      <c r="I16" s="10">
        <v>2</v>
      </c>
    </row>
    <row r="17" spans="2:7" s="195" customFormat="1">
      <c r="B17" s="196"/>
      <c r="C17" s="194"/>
      <c r="G17" s="197"/>
    </row>
    <row r="18" spans="2:7" s="195" customFormat="1">
      <c r="B18" s="287" t="s">
        <v>215</v>
      </c>
      <c r="C18" s="288"/>
      <c r="G18" s="197"/>
    </row>
    <row r="19" spans="2:7" s="195" customFormat="1">
      <c r="B19" s="39" t="s">
        <v>216</v>
      </c>
      <c r="C19" s="23" t="s">
        <v>181</v>
      </c>
      <c r="G19" s="197"/>
    </row>
    <row r="20" spans="2:7">
      <c r="F20" s="10"/>
      <c r="G20" s="11"/>
    </row>
    <row r="21" spans="2:7" ht="28.5" customHeight="1">
      <c r="B21" s="26" t="s">
        <v>144</v>
      </c>
      <c r="C21" s="27" t="s">
        <v>143</v>
      </c>
      <c r="D21" s="27" t="s">
        <v>132</v>
      </c>
      <c r="E21" s="27" t="s">
        <v>133</v>
      </c>
      <c r="F21" s="10"/>
      <c r="G21" s="11"/>
    </row>
    <row r="22" spans="2:7" s="14" customFormat="1">
      <c r="B22" s="37" t="s">
        <v>37</v>
      </c>
      <c r="C22" s="28">
        <f>SUM(C23:C27)</f>
        <v>204.5</v>
      </c>
      <c r="D22" s="29">
        <f>MIN(D23:D27)</f>
        <v>44872</v>
      </c>
      <c r="E22" s="29">
        <f>MAX(E23:E27)</f>
        <v>44908</v>
      </c>
      <c r="G22" s="11"/>
    </row>
    <row r="23" spans="2:7" s="14" customFormat="1">
      <c r="B23" s="37" t="s">
        <v>255</v>
      </c>
      <c r="C23" s="24">
        <v>40</v>
      </c>
      <c r="D23" s="226">
        <v>44872</v>
      </c>
      <c r="E23" s="226">
        <v>44875</v>
      </c>
      <c r="G23" s="11"/>
    </row>
    <row r="24" spans="2:7">
      <c r="B24" s="1" t="s">
        <v>46</v>
      </c>
      <c r="C24" s="24">
        <v>139.5</v>
      </c>
      <c r="D24" s="226">
        <v>44876</v>
      </c>
      <c r="E24" s="226">
        <v>44902</v>
      </c>
      <c r="F24" s="10"/>
      <c r="G24" s="11"/>
    </row>
    <row r="25" spans="2:7">
      <c r="B25" s="37" t="s">
        <v>61</v>
      </c>
      <c r="C25" s="127">
        <v>7</v>
      </c>
      <c r="D25" s="226">
        <v>44907</v>
      </c>
      <c r="E25" s="226">
        <v>44907</v>
      </c>
      <c r="F25" s="10"/>
      <c r="G25" s="11"/>
    </row>
    <row r="26" spans="2:7">
      <c r="B26" s="37" t="s">
        <v>259</v>
      </c>
      <c r="C26" s="24">
        <v>11</v>
      </c>
      <c r="D26" s="226">
        <v>44900</v>
      </c>
      <c r="E26" s="226">
        <v>44900</v>
      </c>
      <c r="F26" s="10"/>
      <c r="G26" s="11"/>
    </row>
    <row r="27" spans="2:7">
      <c r="B27" s="37" t="s">
        <v>258</v>
      </c>
      <c r="C27" s="24">
        <v>7</v>
      </c>
      <c r="D27" s="226">
        <v>44908</v>
      </c>
      <c r="E27" s="226">
        <v>44908</v>
      </c>
      <c r="F27" s="10"/>
      <c r="G27" s="11"/>
    </row>
    <row r="28" spans="2:7">
      <c r="B28" s="13"/>
      <c r="C28" s="12"/>
      <c r="F28" s="10"/>
      <c r="G28" s="11"/>
    </row>
    <row r="29" spans="2:7">
      <c r="C29" s="12"/>
      <c r="F29" s="10"/>
      <c r="G29" s="11"/>
    </row>
    <row r="30" spans="2:7" ht="27.75" customHeight="1">
      <c r="B30" s="26" t="s">
        <v>134</v>
      </c>
      <c r="C30" s="27" t="s">
        <v>132</v>
      </c>
      <c r="D30" s="27" t="s">
        <v>133</v>
      </c>
      <c r="F30" s="10"/>
      <c r="G30" s="11"/>
    </row>
    <row r="31" spans="2:7" ht="15" customHeight="1">
      <c r="B31" s="38" t="s">
        <v>135</v>
      </c>
      <c r="C31" s="25"/>
      <c r="D31" s="25"/>
      <c r="F31" s="10"/>
      <c r="G31" s="11"/>
    </row>
    <row r="32" spans="2:7">
      <c r="B32" s="38" t="s">
        <v>136</v>
      </c>
      <c r="C32" s="226"/>
      <c r="D32" s="226"/>
      <c r="E32" s="19"/>
      <c r="F32" s="19"/>
      <c r="G32" s="11"/>
    </row>
    <row r="33" spans="2:8">
      <c r="C33" s="12"/>
      <c r="F33" s="10"/>
      <c r="G33" s="11"/>
    </row>
    <row r="34" spans="2:8" ht="26.25" customHeight="1">
      <c r="B34" s="39" t="s">
        <v>137</v>
      </c>
      <c r="C34" s="227">
        <f>horas/8</f>
        <v>25.5625</v>
      </c>
      <c r="D34" s="18"/>
      <c r="E34" s="20"/>
      <c r="F34" s="13" t="s">
        <v>261</v>
      </c>
      <c r="G34" s="11"/>
    </row>
    <row r="35" spans="2:8">
      <c r="C35" s="12"/>
      <c r="D35" s="16"/>
    </row>
    <row r="36" spans="2:8">
      <c r="C36" s="12"/>
    </row>
    <row r="37" spans="2:8">
      <c r="B37" s="30" t="s">
        <v>55</v>
      </c>
      <c r="C37" s="31"/>
      <c r="D37" s="14"/>
    </row>
    <row r="38" spans="2:8" s="14" customFormat="1">
      <c r="B38" s="1" t="s">
        <v>38</v>
      </c>
      <c r="C38" s="232" t="s">
        <v>226</v>
      </c>
      <c r="D38" s="10"/>
      <c r="E38" s="15"/>
      <c r="F38" s="15"/>
    </row>
    <row r="39" spans="2:8">
      <c r="B39" s="1" t="s">
        <v>113</v>
      </c>
      <c r="C39" s="200" t="s">
        <v>230</v>
      </c>
      <c r="E39" s="11"/>
    </row>
    <row r="40" spans="2:8">
      <c r="B40" s="1" t="s">
        <v>39</v>
      </c>
      <c r="C40" s="232" t="s">
        <v>226</v>
      </c>
      <c r="E40" s="11"/>
    </row>
    <row r="41" spans="2:8">
      <c r="B41" s="1" t="s">
        <v>49</v>
      </c>
      <c r="C41" s="232" t="s">
        <v>226</v>
      </c>
      <c r="E41" s="11"/>
    </row>
    <row r="42" spans="2:8">
      <c r="E42" s="11"/>
    </row>
    <row r="43" spans="2:8">
      <c r="F43" s="10"/>
    </row>
    <row r="44" spans="2:8">
      <c r="B44" s="7" t="s">
        <v>148</v>
      </c>
      <c r="F44" s="10"/>
    </row>
    <row r="45" spans="2:8">
      <c r="B45" s="21"/>
      <c r="C45" s="16"/>
      <c r="D45" s="16"/>
      <c r="F45" s="10"/>
    </row>
    <row r="47" spans="2:8" ht="14.25">
      <c r="B47" s="229" t="s">
        <v>256</v>
      </c>
      <c r="C47" s="295" t="s">
        <v>6</v>
      </c>
      <c r="D47" s="295"/>
      <c r="E47" s="295"/>
      <c r="F47" s="229" t="s">
        <v>257</v>
      </c>
      <c r="G47" s="229" t="s">
        <v>253</v>
      </c>
      <c r="H47" s="229" t="s">
        <v>8</v>
      </c>
    </row>
    <row r="48" spans="2:8">
      <c r="B48" s="230" t="s">
        <v>262</v>
      </c>
      <c r="C48" s="289" t="s">
        <v>260</v>
      </c>
      <c r="D48" s="290"/>
      <c r="E48" s="291"/>
      <c r="F48" s="24">
        <v>40</v>
      </c>
      <c r="G48" s="226">
        <v>44872</v>
      </c>
      <c r="H48" s="226">
        <v>44876</v>
      </c>
    </row>
    <row r="49" spans="2:8">
      <c r="B49" s="230" t="s">
        <v>262</v>
      </c>
      <c r="C49" s="292" t="s">
        <v>46</v>
      </c>
      <c r="D49" s="293"/>
      <c r="E49" s="294"/>
      <c r="F49" s="24">
        <v>139.5</v>
      </c>
      <c r="G49" s="226">
        <v>44876</v>
      </c>
      <c r="H49" s="226">
        <v>44902</v>
      </c>
    </row>
    <row r="50" spans="2:8">
      <c r="B50" s="230" t="s">
        <v>262</v>
      </c>
      <c r="C50" s="289" t="s">
        <v>61</v>
      </c>
      <c r="D50" s="290"/>
      <c r="E50" s="291"/>
      <c r="F50" s="24">
        <v>7</v>
      </c>
      <c r="G50" s="226">
        <v>44907</v>
      </c>
      <c r="H50" s="226">
        <v>44907</v>
      </c>
    </row>
    <row r="51" spans="2:8">
      <c r="B51" s="230" t="s">
        <v>262</v>
      </c>
      <c r="C51" s="289" t="s">
        <v>259</v>
      </c>
      <c r="D51" s="290"/>
      <c r="E51" s="291"/>
      <c r="F51" s="127">
        <v>11</v>
      </c>
      <c r="G51" s="226">
        <v>44900</v>
      </c>
      <c r="H51" s="226">
        <v>44900</v>
      </c>
    </row>
    <row r="52" spans="2:8">
      <c r="B52" s="230" t="s">
        <v>262</v>
      </c>
      <c r="C52" s="289" t="s">
        <v>258</v>
      </c>
      <c r="D52" s="290"/>
      <c r="E52" s="291"/>
      <c r="F52" s="24">
        <v>7</v>
      </c>
      <c r="G52" s="226">
        <v>44908</v>
      </c>
      <c r="H52" s="226">
        <v>44908</v>
      </c>
    </row>
    <row r="53" spans="2:8" ht="15">
      <c r="C53" s="296" t="s">
        <v>254</v>
      </c>
      <c r="D53" s="296"/>
      <c r="E53" s="296"/>
      <c r="F53" s="231">
        <f>SUM(F48:F52)</f>
        <v>204.5</v>
      </c>
    </row>
    <row r="57" spans="2:8">
      <c r="C57" s="12"/>
    </row>
  </sheetData>
  <dataConsolidate/>
  <mergeCells count="12">
    <mergeCell ref="C50:E50"/>
    <mergeCell ref="C53:E53"/>
    <mergeCell ref="C10:D10"/>
    <mergeCell ref="B13:C13"/>
    <mergeCell ref="C51:E51"/>
    <mergeCell ref="C52:E52"/>
    <mergeCell ref="F2:H2"/>
    <mergeCell ref="C2:E2"/>
    <mergeCell ref="B18:C18"/>
    <mergeCell ref="C48:E48"/>
    <mergeCell ref="C49:E49"/>
    <mergeCell ref="C47:E47"/>
  </mergeCells>
  <phoneticPr fontId="5" type="noConversion"/>
  <conditionalFormatting sqref="F6">
    <cfRule type="cellIs" dxfId="28" priority="2" stopIfTrue="1" operator="equal">
      <formula>"SI"</formula>
    </cfRule>
  </conditionalFormatting>
  <conditionalFormatting sqref="F13:F14">
    <cfRule type="colorScale" priority="1">
      <colorScale>
        <cfvo type="min"/>
        <cfvo type="percentile" val="50"/>
        <cfvo type="max"/>
        <color rgb="FF63BE7B"/>
        <color rgb="FFFFEB84"/>
        <color rgb="FFF8696B"/>
      </colorScale>
    </cfRule>
  </conditionalFormatting>
  <dataValidations count="6">
    <dataValidation type="list" allowBlank="1" showInputMessage="1" showErrorMessage="1" sqref="C39">
      <formula1>Jefe_de_Fábrica</formula1>
    </dataValidation>
    <dataValidation type="list" allowBlank="1" showInputMessage="1" showErrorMessage="1" sqref="C11">
      <formula1>TAB_PRIORIDAD</formula1>
    </dataValidation>
    <dataValidation type="list" allowBlank="1" showInputMessage="1" showErrorMessage="1" sqref="C6">
      <formula1>TAB_LINEA</formula1>
    </dataValidation>
    <dataValidation type="list" allowBlank="1" showInputMessage="1" showErrorMessage="1" sqref="C14:C17">
      <formula1>TAB_SOLICITUD</formula1>
    </dataValidation>
    <dataValidation type="list" allowBlank="1" showInputMessage="1" showErrorMessage="1" sqref="C7">
      <formula1>TAB_TIPO_OT</formula1>
    </dataValidation>
    <dataValidation type="list" allowBlank="1" showInputMessage="1" showErrorMessage="1" sqref="C19">
      <formula1>"Sí, No"</formula1>
    </dataValidation>
  </dataValidations>
  <pageMargins left="0.5" right="0.15748031496062992" top="1.19" bottom="0.98425196850393704" header="0.31496062992125984" footer="0.51181102362204722"/>
  <pageSetup paperSize="9" scale="13" orientation="portrait" r:id="rId1"/>
  <headerFooter scaleWithDoc="0" alignWithMargins="0">
    <oddHeader>&amp;C&amp;F&amp;D</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5175" r:id="rId4" name="Button 55">
              <controlPr defaultSize="0" print="0" autoFill="0" autoPict="0" macro="[0]!Button55_Click">
                <anchor>
                  <from>
                    <xdr:col>3</xdr:col>
                    <xdr:colOff>28575</xdr:colOff>
                    <xdr:row>13</xdr:row>
                    <xdr:rowOff>9525</xdr:rowOff>
                  </from>
                  <to>
                    <xdr:col>4</xdr:col>
                    <xdr:colOff>361950</xdr:colOff>
                    <xdr:row>15</xdr:row>
                    <xdr:rowOff>57150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Tablas!$D$9:$D$22</xm:f>
          </x14:formula1>
          <xm:sqref>C38 C40:C41</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2:H8"/>
  <sheetViews>
    <sheetView showGridLines="0" workbookViewId="0">
      <selection activeCell="D8" sqref="D8"/>
    </sheetView>
  </sheetViews>
  <sheetFormatPr baseColWidth="10" defaultColWidth="11.42578125" defaultRowHeight="12.75"/>
  <cols>
    <col min="1" max="1" width="4.7109375" customWidth="1"/>
    <col min="2" max="2" width="23.7109375" customWidth="1"/>
    <col min="8" max="8" width="17.28515625" customWidth="1"/>
  </cols>
  <sheetData>
    <row r="2" spans="2:8" s="215" customFormat="1" ht="15.75" customHeight="1">
      <c r="B2" s="268"/>
      <c r="C2" s="267" t="s">
        <v>244</v>
      </c>
      <c r="D2" s="267"/>
      <c r="E2" s="267"/>
      <c r="F2" s="267"/>
      <c r="G2" s="267"/>
      <c r="H2" s="213" t="s">
        <v>245</v>
      </c>
    </row>
    <row r="3" spans="2:8" s="215" customFormat="1" ht="15.75" customHeight="1">
      <c r="B3" s="269"/>
      <c r="C3" s="282" t="str">
        <f>Instructivo!C3</f>
        <v>DS.F.188  ICO-Plan de OT_INTEGRA</v>
      </c>
      <c r="D3" s="301"/>
      <c r="E3" s="301"/>
      <c r="F3" s="301"/>
      <c r="G3" s="283"/>
      <c r="H3" s="216" t="str">
        <f>Instructivo!H3</f>
        <v>Versión: 2.0</v>
      </c>
    </row>
    <row r="4" spans="2:8" s="215" customFormat="1">
      <c r="B4" s="270"/>
      <c r="C4" s="284"/>
      <c r="D4" s="302"/>
      <c r="E4" s="302"/>
      <c r="F4" s="302"/>
      <c r="G4" s="285"/>
      <c r="H4" s="216" t="str">
        <f>Instructivo!H4</f>
        <v>Fecha:  07/05/2019</v>
      </c>
    </row>
    <row r="6" spans="2:8" ht="15.75">
      <c r="B6" s="300" t="s">
        <v>217</v>
      </c>
      <c r="C6" s="300"/>
      <c r="D6" s="300"/>
    </row>
    <row r="8" spans="2:8">
      <c r="B8" s="198" t="s">
        <v>251</v>
      </c>
    </row>
  </sheetData>
  <mergeCells count="4">
    <mergeCell ref="B6:D6"/>
    <mergeCell ref="B2:B4"/>
    <mergeCell ref="C2:G2"/>
    <mergeCell ref="C3:G4"/>
  </mergeCell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2:J25"/>
  <sheetViews>
    <sheetView showGridLines="0" topLeftCell="A7" zoomScale="75" workbookViewId="0">
      <selection activeCell="I13" sqref="I13"/>
    </sheetView>
  </sheetViews>
  <sheetFormatPr baseColWidth="10" defaultColWidth="11.42578125" defaultRowHeight="25.5"/>
  <cols>
    <col min="1" max="1" width="2.140625" style="47" customWidth="1"/>
    <col min="2" max="2" width="32.5703125" style="47" customWidth="1"/>
    <col min="3" max="3" width="13.7109375" style="57" customWidth="1"/>
    <col min="4" max="4" width="16.42578125" style="58" hidden="1" customWidth="1"/>
    <col min="5" max="5" width="12.140625" style="58" customWidth="1"/>
    <col min="6" max="6" width="15.42578125" style="58" bestFit="1" customWidth="1"/>
    <col min="7" max="7" width="16.5703125" style="58" bestFit="1" customWidth="1"/>
    <col min="8" max="8" width="14" style="57" bestFit="1" customWidth="1"/>
    <col min="9" max="9" width="19" style="47" customWidth="1"/>
    <col min="10" max="10" width="35.28515625" style="47" customWidth="1"/>
    <col min="11" max="16384" width="11.42578125" style="47"/>
  </cols>
  <sheetData>
    <row r="2" spans="1:10" s="215" customFormat="1" ht="15.75" customHeight="1">
      <c r="B2" s="268"/>
      <c r="C2" s="267" t="s">
        <v>244</v>
      </c>
      <c r="D2" s="267"/>
      <c r="E2" s="267"/>
      <c r="F2" s="267"/>
      <c r="G2" s="267"/>
      <c r="H2" s="267"/>
      <c r="I2" s="267"/>
      <c r="J2" s="213" t="s">
        <v>245</v>
      </c>
    </row>
    <row r="3" spans="1:10" s="215" customFormat="1" ht="15.75" customHeight="1">
      <c r="B3" s="269"/>
      <c r="C3" s="267" t="str">
        <f>'Historial de Revisiones'!D3</f>
        <v>DS.F.188  ICO-Plan de OT_INTEGRA</v>
      </c>
      <c r="D3" s="267"/>
      <c r="E3" s="267"/>
      <c r="F3" s="267"/>
      <c r="G3" s="267"/>
      <c r="H3" s="267"/>
      <c r="I3" s="267"/>
      <c r="J3" s="216" t="str">
        <f>Instructivo!H3</f>
        <v>Versión: 2.0</v>
      </c>
    </row>
    <row r="4" spans="1:10" s="215" customFormat="1" ht="12.75">
      <c r="B4" s="270"/>
      <c r="C4" s="267"/>
      <c r="D4" s="267"/>
      <c r="E4" s="267"/>
      <c r="F4" s="267"/>
      <c r="G4" s="267"/>
      <c r="H4" s="267"/>
      <c r="I4" s="267"/>
      <c r="J4" s="216" t="str">
        <f>Instructivo!H4</f>
        <v>Fecha:  07/05/2019</v>
      </c>
    </row>
    <row r="5" spans="1:10" s="210" customFormat="1" ht="12" customHeight="1">
      <c r="A5" s="208"/>
      <c r="B5" s="209"/>
      <c r="C5" s="134"/>
      <c r="D5" s="134"/>
      <c r="E5" s="134"/>
      <c r="F5" s="134"/>
      <c r="G5" s="134"/>
      <c r="H5" s="134"/>
      <c r="I5" s="134"/>
      <c r="J5" s="134"/>
    </row>
    <row r="7" spans="1:10" ht="12.75">
      <c r="B7" s="43" t="s">
        <v>74</v>
      </c>
      <c r="C7" s="44"/>
      <c r="D7" s="45"/>
      <c r="E7" s="45"/>
      <c r="F7" s="45"/>
      <c r="G7" s="45"/>
      <c r="H7" s="45"/>
      <c r="I7" s="46"/>
      <c r="J7" s="46"/>
    </row>
    <row r="8" spans="1:10" ht="12.75">
      <c r="B8" s="46"/>
      <c r="C8" s="45"/>
      <c r="D8" s="45"/>
      <c r="E8" s="45"/>
      <c r="F8" s="45"/>
      <c r="G8" s="45"/>
      <c r="H8" s="45"/>
      <c r="I8" s="46"/>
      <c r="J8" s="46"/>
    </row>
    <row r="9" spans="1:10" s="49" customFormat="1" ht="12.75" customHeight="1">
      <c r="B9" s="303" t="s">
        <v>71</v>
      </c>
      <c r="C9" s="303" t="s">
        <v>124</v>
      </c>
      <c r="D9" s="306" t="s">
        <v>115</v>
      </c>
      <c r="E9" s="306" t="s">
        <v>52</v>
      </c>
      <c r="F9" s="306"/>
      <c r="G9" s="306"/>
      <c r="H9" s="307" t="s">
        <v>96</v>
      </c>
      <c r="I9" s="303" t="s">
        <v>103</v>
      </c>
      <c r="J9" s="303" t="s">
        <v>127</v>
      </c>
    </row>
    <row r="10" spans="1:10" s="50" customFormat="1">
      <c r="B10" s="305"/>
      <c r="C10" s="305"/>
      <c r="D10" s="303"/>
      <c r="E10" s="48" t="s">
        <v>120</v>
      </c>
      <c r="F10" s="48" t="s">
        <v>121</v>
      </c>
      <c r="G10" s="48" t="s">
        <v>122</v>
      </c>
      <c r="H10" s="308"/>
      <c r="I10" s="304"/>
      <c r="J10" s="304"/>
    </row>
    <row r="11" spans="1:10" ht="27.75" hidden="1" customHeight="1">
      <c r="B11" s="51" t="s">
        <v>114</v>
      </c>
      <c r="C11" s="126" t="s">
        <v>181</v>
      </c>
      <c r="D11" s="53" t="s">
        <v>111</v>
      </c>
      <c r="E11" s="53"/>
      <c r="F11" s="53"/>
      <c r="G11" s="53"/>
      <c r="H11" s="54" t="s">
        <v>98</v>
      </c>
      <c r="I11" s="55" t="s">
        <v>39</v>
      </c>
      <c r="J11" s="52" t="s">
        <v>105</v>
      </c>
    </row>
    <row r="12" spans="1:10" ht="27.75" customHeight="1">
      <c r="B12" s="61" t="s">
        <v>234</v>
      </c>
      <c r="C12" s="139" t="s">
        <v>179</v>
      </c>
      <c r="D12" s="204" t="s">
        <v>232</v>
      </c>
      <c r="E12" s="53" t="s">
        <v>111</v>
      </c>
      <c r="F12" s="53" t="s">
        <v>111</v>
      </c>
      <c r="G12" s="53" t="s">
        <v>111</v>
      </c>
      <c r="H12" s="54" t="s">
        <v>98</v>
      </c>
      <c r="I12" s="55" t="s">
        <v>39</v>
      </c>
      <c r="J12" s="52" t="s">
        <v>105</v>
      </c>
    </row>
    <row r="13" spans="1:10" ht="42" customHeight="1">
      <c r="B13" s="61" t="s">
        <v>235</v>
      </c>
      <c r="C13" s="139" t="s">
        <v>179</v>
      </c>
      <c r="D13" s="204" t="s">
        <v>232</v>
      </c>
      <c r="E13" s="53" t="s">
        <v>111</v>
      </c>
      <c r="F13" s="53" t="s">
        <v>111</v>
      </c>
      <c r="G13" s="53" t="s">
        <v>111</v>
      </c>
      <c r="H13" s="54" t="s">
        <v>98</v>
      </c>
      <c r="I13" s="55" t="s">
        <v>39</v>
      </c>
      <c r="J13" s="52" t="s">
        <v>105</v>
      </c>
    </row>
    <row r="14" spans="1:10" ht="42" customHeight="1">
      <c r="B14" s="203" t="s">
        <v>243</v>
      </c>
      <c r="C14" s="202" t="s">
        <v>181</v>
      </c>
      <c r="D14" s="204" t="s">
        <v>232</v>
      </c>
      <c r="E14" s="204" t="s">
        <v>112</v>
      </c>
      <c r="F14" s="204" t="s">
        <v>112</v>
      </c>
      <c r="G14" s="204" t="s">
        <v>112</v>
      </c>
      <c r="H14" s="205" t="s">
        <v>99</v>
      </c>
      <c r="I14" s="206" t="s">
        <v>39</v>
      </c>
      <c r="J14" s="206" t="s">
        <v>231</v>
      </c>
    </row>
    <row r="15" spans="1:10" ht="27.75" customHeight="1">
      <c r="B15" s="61" t="s">
        <v>236</v>
      </c>
      <c r="C15" s="42" t="s">
        <v>181</v>
      </c>
      <c r="D15" s="204" t="s">
        <v>232</v>
      </c>
      <c r="E15" s="204" t="s">
        <v>232</v>
      </c>
      <c r="F15" s="204" t="s">
        <v>232</v>
      </c>
      <c r="G15" s="53" t="s">
        <v>112</v>
      </c>
      <c r="H15" s="54" t="s">
        <v>99</v>
      </c>
      <c r="I15" s="55" t="s">
        <v>39</v>
      </c>
      <c r="J15" s="55" t="s">
        <v>125</v>
      </c>
    </row>
    <row r="16" spans="1:10" ht="66.75" customHeight="1">
      <c r="B16" s="61" t="s">
        <v>233</v>
      </c>
      <c r="C16" s="139" t="s">
        <v>179</v>
      </c>
      <c r="D16" s="53" t="s">
        <v>111</v>
      </c>
      <c r="E16" s="53" t="s">
        <v>111</v>
      </c>
      <c r="F16" s="53" t="s">
        <v>111</v>
      </c>
      <c r="G16" s="53" t="s">
        <v>111</v>
      </c>
      <c r="H16" s="54" t="s">
        <v>100</v>
      </c>
      <c r="I16" s="55" t="s">
        <v>39</v>
      </c>
      <c r="J16" s="55" t="s">
        <v>125</v>
      </c>
    </row>
    <row r="17" spans="2:10" ht="45" customHeight="1">
      <c r="B17" s="61" t="s">
        <v>237</v>
      </c>
      <c r="C17" s="42" t="s">
        <v>181</v>
      </c>
      <c r="D17" s="204" t="s">
        <v>232</v>
      </c>
      <c r="E17" s="204" t="s">
        <v>232</v>
      </c>
      <c r="F17" s="53" t="s">
        <v>112</v>
      </c>
      <c r="G17" s="53" t="s">
        <v>112</v>
      </c>
      <c r="H17" s="54" t="s">
        <v>100</v>
      </c>
      <c r="I17" s="55" t="s">
        <v>39</v>
      </c>
      <c r="J17" s="55" t="s">
        <v>125</v>
      </c>
    </row>
    <row r="18" spans="2:10" ht="38.25">
      <c r="B18" s="61" t="s">
        <v>238</v>
      </c>
      <c r="C18" s="139" t="s">
        <v>179</v>
      </c>
      <c r="D18" s="53" t="s">
        <v>111</v>
      </c>
      <c r="E18" s="53" t="s">
        <v>111</v>
      </c>
      <c r="F18" s="53" t="s">
        <v>111</v>
      </c>
      <c r="G18" s="53" t="s">
        <v>111</v>
      </c>
      <c r="H18" s="54" t="s">
        <v>101</v>
      </c>
      <c r="I18" s="55" t="s">
        <v>39</v>
      </c>
      <c r="J18" s="55" t="s">
        <v>126</v>
      </c>
    </row>
    <row r="19" spans="2:10" ht="27.75" customHeight="1">
      <c r="B19" s="61" t="s">
        <v>249</v>
      </c>
      <c r="C19" s="139" t="s">
        <v>181</v>
      </c>
      <c r="D19" s="53" t="s">
        <v>112</v>
      </c>
      <c r="E19" s="53" t="s">
        <v>112</v>
      </c>
      <c r="F19" s="53" t="s">
        <v>112</v>
      </c>
      <c r="G19" s="53" t="s">
        <v>112</v>
      </c>
      <c r="H19" s="54" t="s">
        <v>101</v>
      </c>
      <c r="I19" s="55" t="s">
        <v>102</v>
      </c>
      <c r="J19" s="55" t="s">
        <v>125</v>
      </c>
    </row>
    <row r="20" spans="2:10" ht="27.75" customHeight="1">
      <c r="B20" s="61" t="s">
        <v>239</v>
      </c>
      <c r="C20" s="52" t="s">
        <v>179</v>
      </c>
      <c r="D20" s="53" t="s">
        <v>111</v>
      </c>
      <c r="E20" s="53" t="s">
        <v>111</v>
      </c>
      <c r="F20" s="53" t="s">
        <v>111</v>
      </c>
      <c r="G20" s="53" t="s">
        <v>111</v>
      </c>
      <c r="H20" s="54" t="s">
        <v>101</v>
      </c>
      <c r="I20" s="55" t="s">
        <v>102</v>
      </c>
      <c r="J20" s="55" t="s">
        <v>125</v>
      </c>
    </row>
    <row r="21" spans="2:10" ht="43.5" customHeight="1">
      <c r="B21" s="61" t="s">
        <v>240</v>
      </c>
      <c r="C21" s="42" t="s">
        <v>181</v>
      </c>
      <c r="D21" s="204" t="s">
        <v>232</v>
      </c>
      <c r="E21" s="53" t="s">
        <v>112</v>
      </c>
      <c r="F21" s="53" t="s">
        <v>112</v>
      </c>
      <c r="G21" s="53" t="s">
        <v>112</v>
      </c>
      <c r="H21" s="54" t="s">
        <v>101</v>
      </c>
      <c r="I21" s="55" t="s">
        <v>102</v>
      </c>
      <c r="J21" s="55" t="s">
        <v>128</v>
      </c>
    </row>
    <row r="22" spans="2:10" ht="39.75" customHeight="1">
      <c r="B22" s="61" t="s">
        <v>248</v>
      </c>
      <c r="C22" s="42" t="s">
        <v>181</v>
      </c>
      <c r="D22" s="204" t="s">
        <v>232</v>
      </c>
      <c r="E22" s="53" t="s">
        <v>112</v>
      </c>
      <c r="F22" s="53" t="s">
        <v>112</v>
      </c>
      <c r="G22" s="53" t="s">
        <v>112</v>
      </c>
      <c r="H22" s="54" t="s">
        <v>101</v>
      </c>
      <c r="I22" s="55" t="s">
        <v>102</v>
      </c>
      <c r="J22" s="55" t="s">
        <v>128</v>
      </c>
    </row>
    <row r="23" spans="2:10" ht="51" customHeight="1">
      <c r="B23" s="61" t="s">
        <v>241</v>
      </c>
      <c r="C23" s="42" t="s">
        <v>181</v>
      </c>
      <c r="D23" s="204" t="s">
        <v>232</v>
      </c>
      <c r="E23" s="53" t="s">
        <v>112</v>
      </c>
      <c r="F23" s="53" t="s">
        <v>112</v>
      </c>
      <c r="G23" s="53" t="s">
        <v>112</v>
      </c>
      <c r="H23" s="54" t="s">
        <v>101</v>
      </c>
      <c r="I23" s="55" t="s">
        <v>102</v>
      </c>
      <c r="J23" s="55" t="s">
        <v>128</v>
      </c>
    </row>
    <row r="24" spans="2:10" ht="38.25">
      <c r="B24" s="61" t="s">
        <v>242</v>
      </c>
      <c r="C24" s="52" t="s">
        <v>179</v>
      </c>
      <c r="D24" s="53" t="s">
        <v>111</v>
      </c>
      <c r="E24" s="53" t="s">
        <v>111</v>
      </c>
      <c r="F24" s="53" t="s">
        <v>111</v>
      </c>
      <c r="G24" s="53" t="s">
        <v>111</v>
      </c>
      <c r="H24" s="54" t="s">
        <v>61</v>
      </c>
      <c r="I24" s="55" t="s">
        <v>102</v>
      </c>
      <c r="J24" s="55" t="s">
        <v>153</v>
      </c>
    </row>
    <row r="25" spans="2:10">
      <c r="B25" s="56"/>
    </row>
  </sheetData>
  <sheetProtection selectLockedCells="1"/>
  <protectedRanges>
    <protectedRange sqref="C11:C24" name="Range1"/>
  </protectedRanges>
  <mergeCells count="10">
    <mergeCell ref="B2:B4"/>
    <mergeCell ref="C2:I2"/>
    <mergeCell ref="C3:I4"/>
    <mergeCell ref="J9:J10"/>
    <mergeCell ref="I9:I10"/>
    <mergeCell ref="B9:B10"/>
    <mergeCell ref="D9:D10"/>
    <mergeCell ref="E9:G9"/>
    <mergeCell ref="H9:H10"/>
    <mergeCell ref="C9:C10"/>
  </mergeCells>
  <phoneticPr fontId="5" type="noConversion"/>
  <conditionalFormatting sqref="J23:J24 J11:J21">
    <cfRule type="expression" dxfId="27" priority="38" stopIfTrue="1">
      <formula>#REF!&lt;&gt;""</formula>
    </cfRule>
  </conditionalFormatting>
  <conditionalFormatting sqref="D11:D18 D23:D24 D20:D21">
    <cfRule type="expression" dxfId="26" priority="39" stopIfTrue="1">
      <formula>AND(TipoOt="Correctiva")</formula>
    </cfRule>
  </conditionalFormatting>
  <conditionalFormatting sqref="E11:E14 E16 E18 E23:E24 E20:E21">
    <cfRule type="expression" dxfId="25" priority="40" stopIfTrue="1">
      <formula>AND(TipoOt="Evolutiva",AND(horas&gt;=0.0001,horas&lt;=32))</formula>
    </cfRule>
    <cfRule type="expression" dxfId="24" priority="41" stopIfTrue="1">
      <formula>AND(TipoOt="Extracción de Datos",AND(horas&gt;=0.0001,horas&lt;=32))</formula>
    </cfRule>
  </conditionalFormatting>
  <conditionalFormatting sqref="F11:F14 F16:F18 F23:F24 F20:F21">
    <cfRule type="expression" dxfId="23" priority="42" stopIfTrue="1">
      <formula>AND(TipoOt="Evolutiva",AND(horas&gt;=33,horas&lt;=176))</formula>
    </cfRule>
    <cfRule type="expression" dxfId="22" priority="43" stopIfTrue="1">
      <formula>AND(TipoOt="Extracción de Datos",AND(horas&gt;=33,horas&lt;=176))</formula>
    </cfRule>
  </conditionalFormatting>
  <conditionalFormatting sqref="G11:G18 G23:G24 G20:G21">
    <cfRule type="expression" dxfId="21" priority="44" stopIfTrue="1">
      <formula>AND(TipoOt="Evolutiva",AND(horas&gt;=177,horas&lt;=352))</formula>
    </cfRule>
    <cfRule type="expression" dxfId="20" priority="45" stopIfTrue="1">
      <formula>AND(TipoOt="Extracción de Datos",AND(horas&gt;=177,horas&lt;=352))</formula>
    </cfRule>
  </conditionalFormatting>
  <conditionalFormatting sqref="E15">
    <cfRule type="expression" dxfId="19" priority="20" stopIfTrue="1">
      <formula>AND(TipoOt="Correctiva")</formula>
    </cfRule>
  </conditionalFormatting>
  <conditionalFormatting sqref="F15">
    <cfRule type="expression" dxfId="18" priority="19" stopIfTrue="1">
      <formula>AND(TipoOt="Correctiva")</formula>
    </cfRule>
  </conditionalFormatting>
  <conditionalFormatting sqref="E17">
    <cfRule type="expression" dxfId="17" priority="17" stopIfTrue="1">
      <formula>AND(TipoOt="Evolutiva",AND(horas&gt;=33,horas&lt;=176))</formula>
    </cfRule>
    <cfRule type="expression" dxfId="16" priority="18" stopIfTrue="1">
      <formula>AND(TipoOt="Extracción de Datos",AND(horas&gt;=33,horas&lt;=176))</formula>
    </cfRule>
  </conditionalFormatting>
  <conditionalFormatting sqref="J22">
    <cfRule type="expression" dxfId="15" priority="9" stopIfTrue="1">
      <formula>#REF!&lt;&gt;""</formula>
    </cfRule>
  </conditionalFormatting>
  <conditionalFormatting sqref="D22">
    <cfRule type="expression" dxfId="14" priority="10" stopIfTrue="1">
      <formula>AND(TipoOt="Correctiva")</formula>
    </cfRule>
  </conditionalFormatting>
  <conditionalFormatting sqref="E22">
    <cfRule type="expression" dxfId="13" priority="11" stopIfTrue="1">
      <formula>AND(TipoOt="Evolutiva",AND(horas&gt;=0.0001,horas&lt;=32))</formula>
    </cfRule>
    <cfRule type="expression" dxfId="12" priority="12" stopIfTrue="1">
      <formula>AND(TipoOt="Extracción de Datos",AND(horas&gt;=0.0001,horas&lt;=32))</formula>
    </cfRule>
  </conditionalFormatting>
  <conditionalFormatting sqref="F22">
    <cfRule type="expression" dxfId="11" priority="13" stopIfTrue="1">
      <formula>AND(TipoOt="Evolutiva",AND(horas&gt;=33,horas&lt;=176))</formula>
    </cfRule>
    <cfRule type="expression" dxfId="10" priority="14" stopIfTrue="1">
      <formula>AND(TipoOt="Extracción de Datos",AND(horas&gt;=33,horas&lt;=176))</formula>
    </cfRule>
  </conditionalFormatting>
  <conditionalFormatting sqref="G22">
    <cfRule type="expression" dxfId="9" priority="15" stopIfTrue="1">
      <formula>AND(TipoOt="Evolutiva",AND(horas&gt;=177,horas&lt;=352))</formula>
    </cfRule>
    <cfRule type="expression" dxfId="8" priority="16" stopIfTrue="1">
      <formula>AND(TipoOt="Extracción de Datos",AND(horas&gt;=177,horas&lt;=352))</formula>
    </cfRule>
  </conditionalFormatting>
  <conditionalFormatting sqref="F19">
    <cfRule type="expression" dxfId="7" priority="5" stopIfTrue="1">
      <formula>AND(TipoOt="Evolutiva",AND(horas&gt;=33,horas&lt;=176))</formula>
    </cfRule>
    <cfRule type="expression" dxfId="6" priority="6" stopIfTrue="1">
      <formula>AND(TipoOt="Extracción de Datos",AND(horas&gt;=33,horas&lt;=176))</formula>
    </cfRule>
  </conditionalFormatting>
  <conditionalFormatting sqref="G19">
    <cfRule type="expression" dxfId="5" priority="7" stopIfTrue="1">
      <formula>AND(TipoOt="Evolutiva",AND(horas&gt;=177,horas&lt;=352))</formula>
    </cfRule>
    <cfRule type="expression" dxfId="4" priority="8" stopIfTrue="1">
      <formula>AND(TipoOt="Extracción de Datos",AND(horas&gt;=177,horas&lt;=352))</formula>
    </cfRule>
  </conditionalFormatting>
  <conditionalFormatting sqref="E19">
    <cfRule type="expression" dxfId="3" priority="3" stopIfTrue="1">
      <formula>AND(TipoOt="Evolutiva",AND(horas&gt;=33,horas&lt;=176))</formula>
    </cfRule>
    <cfRule type="expression" dxfId="2" priority="4" stopIfTrue="1">
      <formula>AND(TipoOt="Extracción de Datos",AND(horas&gt;=33,horas&lt;=176))</formula>
    </cfRule>
  </conditionalFormatting>
  <conditionalFormatting sqref="D19">
    <cfRule type="expression" dxfId="1" priority="1" stopIfTrue="1">
      <formula>AND(TipoOt="Evolutiva",AND(horas&gt;=33,horas&lt;=176))</formula>
    </cfRule>
    <cfRule type="expression" dxfId="0" priority="2" stopIfTrue="1">
      <formula>AND(TipoOt="Extracción de Datos",AND(horas&gt;=33,horas&lt;=176))</formula>
    </cfRule>
  </conditionalFormatting>
  <dataValidations count="2">
    <dataValidation type="list" allowBlank="1" showInputMessage="1" showErrorMessage="1" sqref="I11:I24">
      <formula1>Rol</formula1>
    </dataValidation>
    <dataValidation type="list" allowBlank="1" showInputMessage="1" showErrorMessage="1" sqref="C11:C24">
      <formula1>"Si,No"</formula1>
    </dataValidation>
  </dataValidations>
  <pageMargins left="1.47" right="0.75" top="1" bottom="1" header="0.5" footer="0.5"/>
  <pageSetup paperSize="9" orientation="landscape" r:id="rId1"/>
  <headerFooter alignWithMargins="0"/>
  <drawing r:id="rId2"/>
  <legacy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2:J38"/>
  <sheetViews>
    <sheetView showGridLines="0" workbookViewId="0">
      <pane ySplit="9" topLeftCell="A10" activePane="bottomLeft" state="frozen"/>
      <selection pane="bottomLeft" activeCell="C10" sqref="C10"/>
    </sheetView>
  </sheetViews>
  <sheetFormatPr baseColWidth="10" defaultColWidth="9.140625" defaultRowHeight="12.75"/>
  <cols>
    <col min="1" max="1" width="3.140625" customWidth="1"/>
    <col min="2" max="2" width="6" customWidth="1"/>
    <col min="3" max="3" width="24" customWidth="1"/>
    <col min="4" max="4" width="47.28515625" customWidth="1"/>
    <col min="5" max="5" width="23.7109375" customWidth="1"/>
  </cols>
  <sheetData>
    <row r="2" spans="1:10" s="215" customFormat="1" ht="15.75" customHeight="1">
      <c r="B2" s="313"/>
      <c r="C2" s="313"/>
      <c r="D2" s="218" t="s">
        <v>244</v>
      </c>
      <c r="E2" s="220" t="s">
        <v>245</v>
      </c>
      <c r="F2" s="219"/>
      <c r="G2" s="219"/>
    </row>
    <row r="3" spans="1:10" s="215" customFormat="1" ht="15.75" customHeight="1">
      <c r="B3" s="313"/>
      <c r="C3" s="313"/>
      <c r="D3" s="267" t="str">
        <f>Instructivo!C3</f>
        <v>DS.F.188  ICO-Plan de OT_INTEGRA</v>
      </c>
      <c r="E3" s="214" t="str">
        <f>Instructivo!H3</f>
        <v>Versión: 2.0</v>
      </c>
      <c r="F3" s="219"/>
      <c r="G3" s="219"/>
    </row>
    <row r="4" spans="1:10" s="215" customFormat="1">
      <c r="B4" s="313"/>
      <c r="C4" s="313"/>
      <c r="D4" s="267"/>
      <c r="E4" s="214" t="str">
        <f>Instructivo!H4</f>
        <v>Fecha:  07/05/2019</v>
      </c>
      <c r="F4" s="219"/>
      <c r="G4" s="219"/>
    </row>
    <row r="5" spans="1:10" s="210" customFormat="1" ht="12">
      <c r="A5" s="208"/>
      <c r="B5" s="209"/>
      <c r="C5" s="209"/>
      <c r="D5" s="207"/>
      <c r="E5" s="134"/>
      <c r="F5" s="134"/>
      <c r="G5" s="134"/>
      <c r="H5" s="134"/>
      <c r="I5" s="134"/>
      <c r="J5" s="134"/>
    </row>
    <row r="7" spans="1:10">
      <c r="B7" s="4" t="s">
        <v>75</v>
      </c>
    </row>
    <row r="8" spans="1:10">
      <c r="B8" s="5"/>
    </row>
    <row r="9" spans="1:10">
      <c r="B9" s="131" t="s">
        <v>5</v>
      </c>
      <c r="C9" s="131" t="s">
        <v>40</v>
      </c>
      <c r="D9" s="309" t="s">
        <v>62</v>
      </c>
      <c r="E9" s="310"/>
    </row>
    <row r="10" spans="1:10">
      <c r="B10" s="40">
        <v>1</v>
      </c>
      <c r="C10" s="33" t="s">
        <v>40</v>
      </c>
      <c r="D10" s="311"/>
      <c r="E10" s="312"/>
    </row>
    <row r="11" spans="1:10">
      <c r="B11" s="40">
        <f>+B10+1</f>
        <v>2</v>
      </c>
      <c r="C11" s="33" t="s">
        <v>40</v>
      </c>
      <c r="D11" s="311"/>
      <c r="E11" s="312"/>
    </row>
    <row r="12" spans="1:10">
      <c r="B12" s="40">
        <f t="shared" ref="B12:B19" si="0">+B11+1</f>
        <v>3</v>
      </c>
      <c r="C12" s="33" t="s">
        <v>40</v>
      </c>
      <c r="D12" s="311"/>
      <c r="E12" s="312"/>
    </row>
    <row r="13" spans="1:10">
      <c r="B13" s="40">
        <f t="shared" si="0"/>
        <v>4</v>
      </c>
      <c r="C13" s="33" t="s">
        <v>40</v>
      </c>
      <c r="D13" s="311"/>
      <c r="E13" s="312"/>
    </row>
    <row r="14" spans="1:10">
      <c r="B14" s="41">
        <f t="shared" si="0"/>
        <v>5</v>
      </c>
      <c r="C14" s="33" t="s">
        <v>40</v>
      </c>
      <c r="D14" s="311"/>
      <c r="E14" s="312"/>
    </row>
    <row r="15" spans="1:10">
      <c r="B15" s="41">
        <f t="shared" si="0"/>
        <v>6</v>
      </c>
      <c r="C15" s="33" t="s">
        <v>41</v>
      </c>
      <c r="D15" s="311"/>
      <c r="E15" s="312"/>
    </row>
    <row r="16" spans="1:10">
      <c r="B16" s="40">
        <f t="shared" si="0"/>
        <v>7</v>
      </c>
      <c r="C16" s="33" t="s">
        <v>41</v>
      </c>
      <c r="D16" s="311"/>
      <c r="E16" s="312"/>
    </row>
    <row r="17" spans="2:5">
      <c r="B17" s="40">
        <f t="shared" si="0"/>
        <v>8</v>
      </c>
      <c r="C17" s="33" t="s">
        <v>41</v>
      </c>
      <c r="D17" s="311"/>
      <c r="E17" s="312"/>
    </row>
    <row r="18" spans="2:5">
      <c r="B18" s="40">
        <f t="shared" si="0"/>
        <v>9</v>
      </c>
      <c r="C18" s="33" t="s">
        <v>41</v>
      </c>
      <c r="D18" s="311"/>
      <c r="E18" s="312"/>
    </row>
    <row r="19" spans="2:5">
      <c r="B19" s="41">
        <f t="shared" si="0"/>
        <v>10</v>
      </c>
      <c r="C19" s="33" t="s">
        <v>41</v>
      </c>
      <c r="D19" s="311"/>
      <c r="E19" s="312"/>
    </row>
    <row r="21" spans="2:5">
      <c r="B21" s="5"/>
    </row>
    <row r="22" spans="2:5">
      <c r="B22" s="5"/>
    </row>
    <row r="23" spans="2:5">
      <c r="B23" s="5"/>
    </row>
    <row r="24" spans="2:5">
      <c r="B24" s="5"/>
    </row>
    <row r="25" spans="2:5">
      <c r="B25" s="5"/>
    </row>
    <row r="31" spans="2:5">
      <c r="B31" s="5"/>
    </row>
    <row r="32" spans="2:5">
      <c r="B32" s="5"/>
    </row>
    <row r="35" spans="2:2">
      <c r="B35" s="5"/>
    </row>
    <row r="36" spans="2:2">
      <c r="B36" s="5"/>
    </row>
    <row r="37" spans="2:2">
      <c r="B37" s="5"/>
    </row>
    <row r="38" spans="2:2">
      <c r="B38" s="5"/>
    </row>
  </sheetData>
  <mergeCells count="13">
    <mergeCell ref="D18:E18"/>
    <mergeCell ref="D19:E19"/>
    <mergeCell ref="D12:E12"/>
    <mergeCell ref="D13:E13"/>
    <mergeCell ref="D14:E14"/>
    <mergeCell ref="D15:E15"/>
    <mergeCell ref="D16:E16"/>
    <mergeCell ref="D17:E17"/>
    <mergeCell ref="D9:E9"/>
    <mergeCell ref="D10:E10"/>
    <mergeCell ref="D11:E11"/>
    <mergeCell ref="B2:C4"/>
    <mergeCell ref="D3:D4"/>
  </mergeCells>
  <phoneticPr fontId="5" type="noConversion"/>
  <dataValidations count="1">
    <dataValidation type="list" allowBlank="1" showInputMessage="1" showErrorMessage="1" sqref="C10:E19">
      <formula1>TAB_SOLICITUD</formula1>
    </dataValidation>
  </dataValidations>
  <pageMargins left="1.07" right="0.75" top="1" bottom="1" header="0.5" footer="0.5"/>
  <pageSetup paperSize="9" orientation="portrait" verticalDpi="0"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B2:H37"/>
  <sheetViews>
    <sheetView showGridLines="0" workbookViewId="0">
      <pane ySplit="9" topLeftCell="A10" activePane="bottomLeft" state="frozen"/>
      <selection pane="bottomLeft" activeCell="E12" sqref="E12"/>
    </sheetView>
  </sheetViews>
  <sheetFormatPr baseColWidth="10" defaultColWidth="9.140625" defaultRowHeight="12.75"/>
  <cols>
    <col min="1" max="1" width="3.140625" customWidth="1"/>
    <col min="2" max="2" width="3.7109375" customWidth="1"/>
    <col min="3" max="3" width="24.42578125" customWidth="1"/>
    <col min="4" max="4" width="36.5703125" customWidth="1"/>
    <col min="5" max="5" width="18.5703125" customWidth="1"/>
    <col min="6" max="7" width="11.7109375" bestFit="1" customWidth="1"/>
    <col min="8" max="8" width="11.140625" bestFit="1" customWidth="1"/>
  </cols>
  <sheetData>
    <row r="2" spans="2:8" s="215" customFormat="1" ht="15.75" customHeight="1">
      <c r="B2" s="313"/>
      <c r="C2" s="313"/>
      <c r="D2" s="267" t="s">
        <v>244</v>
      </c>
      <c r="E2" s="267"/>
      <c r="F2" s="267"/>
      <c r="G2" s="317" t="s">
        <v>245</v>
      </c>
      <c r="H2" s="317"/>
    </row>
    <row r="3" spans="2:8" s="215" customFormat="1" ht="15.75" customHeight="1">
      <c r="B3" s="313"/>
      <c r="C3" s="313"/>
      <c r="D3" s="267" t="str">
        <f>Instructivo!C3</f>
        <v>DS.F.188  ICO-Plan de OT_INTEGRA</v>
      </c>
      <c r="E3" s="267"/>
      <c r="F3" s="267"/>
      <c r="G3" s="316" t="str">
        <f>Instructivo!H3</f>
        <v>Versión: 2.0</v>
      </c>
      <c r="H3" s="316"/>
    </row>
    <row r="4" spans="2:8" s="215" customFormat="1">
      <c r="B4" s="313"/>
      <c r="C4" s="313"/>
      <c r="D4" s="267"/>
      <c r="E4" s="267"/>
      <c r="F4" s="267"/>
      <c r="G4" s="316" t="str">
        <f>Instructivo!H4</f>
        <v>Fecha:  07/05/2019</v>
      </c>
      <c r="H4" s="316"/>
    </row>
    <row r="5" spans="2:8" s="215" customFormat="1">
      <c r="B5" s="222"/>
      <c r="C5" s="222"/>
      <c r="D5" s="223"/>
      <c r="E5" s="224"/>
      <c r="F5" s="219"/>
      <c r="G5" s="219"/>
    </row>
    <row r="6" spans="2:8">
      <c r="B6" s="4" t="s">
        <v>76</v>
      </c>
    </row>
    <row r="7" spans="2:8">
      <c r="B7" s="5"/>
    </row>
    <row r="8" spans="2:8">
      <c r="B8" s="34">
        <f>MAX(B10:B47)</f>
        <v>2</v>
      </c>
      <c r="F8" s="314" t="s">
        <v>26</v>
      </c>
      <c r="G8" s="315"/>
    </row>
    <row r="9" spans="2:8">
      <c r="B9" s="132" t="s">
        <v>5</v>
      </c>
      <c r="C9" s="132" t="s">
        <v>45</v>
      </c>
      <c r="D9" s="132" t="s">
        <v>23</v>
      </c>
      <c r="E9" s="132" t="s">
        <v>24</v>
      </c>
      <c r="F9" s="132" t="s">
        <v>7</v>
      </c>
      <c r="G9" s="132" t="s">
        <v>8</v>
      </c>
      <c r="H9" s="132" t="s">
        <v>25</v>
      </c>
    </row>
    <row r="10" spans="2:8">
      <c r="B10" s="128">
        <v>1</v>
      </c>
      <c r="C10" s="33"/>
      <c r="D10" s="33"/>
      <c r="E10" s="33"/>
      <c r="F10" s="35"/>
      <c r="G10" s="35"/>
      <c r="H10" s="33"/>
    </row>
    <row r="11" spans="2:8">
      <c r="B11" s="128">
        <v>2</v>
      </c>
      <c r="C11" s="33"/>
      <c r="D11" s="33"/>
      <c r="E11" s="33"/>
      <c r="F11" s="33"/>
      <c r="G11" s="33"/>
      <c r="H11" s="33"/>
    </row>
    <row r="12" spans="2:8">
      <c r="B12" s="128"/>
      <c r="C12" s="33"/>
      <c r="D12" s="33"/>
      <c r="E12" s="33"/>
      <c r="F12" s="33"/>
      <c r="G12" s="33"/>
      <c r="H12" s="33"/>
    </row>
    <row r="13" spans="2:8">
      <c r="B13" s="128"/>
      <c r="C13" s="33"/>
      <c r="D13" s="33"/>
      <c r="E13" s="33"/>
      <c r="F13" s="33"/>
      <c r="G13" s="33"/>
      <c r="H13" s="33"/>
    </row>
    <row r="14" spans="2:8">
      <c r="B14" s="128"/>
      <c r="C14" s="33"/>
      <c r="D14" s="33"/>
      <c r="E14" s="33"/>
      <c r="F14" s="33"/>
      <c r="G14" s="33"/>
      <c r="H14" s="33"/>
    </row>
    <row r="15" spans="2:8">
      <c r="B15" s="128"/>
      <c r="C15" s="33"/>
      <c r="D15" s="33"/>
      <c r="E15" s="33"/>
      <c r="F15" s="33"/>
      <c r="G15" s="33"/>
      <c r="H15" s="33"/>
    </row>
    <row r="16" spans="2:8">
      <c r="B16" s="128"/>
      <c r="C16" s="33"/>
      <c r="D16" s="33"/>
      <c r="E16" s="33"/>
      <c r="F16" s="33"/>
      <c r="G16" s="33"/>
      <c r="H16" s="33"/>
    </row>
    <row r="17" spans="2:8">
      <c r="B17" s="128"/>
      <c r="C17" s="33"/>
      <c r="D17" s="33"/>
      <c r="E17" s="33"/>
      <c r="F17" s="33"/>
      <c r="G17" s="33"/>
      <c r="H17" s="33"/>
    </row>
    <row r="20" spans="2:8">
      <c r="B20" s="5"/>
    </row>
    <row r="21" spans="2:8">
      <c r="B21" s="5"/>
    </row>
    <row r="22" spans="2:8">
      <c r="B22" s="5"/>
    </row>
    <row r="23" spans="2:8">
      <c r="B23" s="5"/>
    </row>
    <row r="24" spans="2:8">
      <c r="B24" s="5"/>
    </row>
    <row r="30" spans="2:8">
      <c r="B30" s="5"/>
    </row>
    <row r="31" spans="2:8">
      <c r="B31" s="5"/>
    </row>
    <row r="34" spans="2:2">
      <c r="B34" s="5"/>
    </row>
    <row r="35" spans="2:2">
      <c r="B35" s="5"/>
    </row>
    <row r="36" spans="2:2">
      <c r="B36" s="5"/>
    </row>
    <row r="37" spans="2:2">
      <c r="B37" s="5"/>
    </row>
  </sheetData>
  <mergeCells count="7">
    <mergeCell ref="F8:G8"/>
    <mergeCell ref="G3:H3"/>
    <mergeCell ref="B2:C4"/>
    <mergeCell ref="G2:H2"/>
    <mergeCell ref="G4:H4"/>
    <mergeCell ref="D2:F2"/>
    <mergeCell ref="D3:F4"/>
  </mergeCells>
  <phoneticPr fontId="5" type="noConversion"/>
  <pageMargins left="1.35" right="0.75" top="1.47" bottom="1" header="0.5" footer="0.5"/>
  <pageSetup paperSize="9" orientation="landscape" verticalDpi="0"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2:J39"/>
  <sheetViews>
    <sheetView showGridLines="0" tabSelected="1" workbookViewId="0">
      <pane ySplit="10" topLeftCell="A11" activePane="bottomLeft" state="frozen"/>
      <selection pane="bottomLeft" activeCell="D22" sqref="D22"/>
    </sheetView>
  </sheetViews>
  <sheetFormatPr baseColWidth="10" defaultColWidth="9.140625" defaultRowHeight="12.75"/>
  <cols>
    <col min="1" max="1" width="3.140625" customWidth="1"/>
    <col min="2" max="2" width="14.5703125" customWidth="1"/>
    <col min="3" max="3" width="13.42578125" customWidth="1"/>
    <col min="4" max="4" width="49.28515625" customWidth="1"/>
    <col min="5" max="5" width="17.85546875" customWidth="1"/>
  </cols>
  <sheetData>
    <row r="2" spans="1:10" s="215" customFormat="1" ht="15.75" customHeight="1">
      <c r="B2" s="268"/>
      <c r="C2" s="267" t="s">
        <v>244</v>
      </c>
      <c r="D2" s="267"/>
      <c r="E2" s="220" t="s">
        <v>245</v>
      </c>
      <c r="F2" s="219"/>
      <c r="G2" s="219"/>
      <c r="H2" s="219"/>
      <c r="I2" s="219"/>
    </row>
    <row r="3" spans="1:10" s="215" customFormat="1" ht="15.75" customHeight="1">
      <c r="B3" s="269"/>
      <c r="C3" s="267" t="str">
        <f>'Historial de Revisiones'!D3</f>
        <v>DS.F.188  ICO-Plan de OT_INTEGRA</v>
      </c>
      <c r="D3" s="267"/>
      <c r="E3" s="214" t="str">
        <f>Instructivo!H3</f>
        <v>Versión: 2.0</v>
      </c>
      <c r="F3" s="219"/>
      <c r="G3" s="219"/>
      <c r="H3" s="219"/>
      <c r="I3" s="219"/>
    </row>
    <row r="4" spans="1:10" s="215" customFormat="1">
      <c r="B4" s="270"/>
      <c r="C4" s="267"/>
      <c r="D4" s="267"/>
      <c r="E4" s="214" t="str">
        <f>Instructivo!H4</f>
        <v>Fecha:  07/05/2019</v>
      </c>
      <c r="F4" s="219"/>
      <c r="G4" s="219"/>
      <c r="H4" s="219"/>
      <c r="I4" s="219"/>
    </row>
    <row r="5" spans="1:10" s="210" customFormat="1" ht="12">
      <c r="A5" s="208"/>
      <c r="B5" s="209"/>
      <c r="C5" s="209"/>
      <c r="D5" s="207"/>
      <c r="E5" s="134"/>
      <c r="F5" s="134"/>
      <c r="G5" s="134"/>
      <c r="H5" s="134"/>
      <c r="I5" s="134"/>
      <c r="J5" s="134"/>
    </row>
    <row r="7" spans="1:10">
      <c r="B7" s="4" t="s">
        <v>77</v>
      </c>
      <c r="C7" s="4"/>
      <c r="D7" s="4"/>
    </row>
    <row r="9" spans="1:10">
      <c r="B9" s="34">
        <f>MAX(B11:B57)</f>
        <v>3</v>
      </c>
      <c r="C9" s="140"/>
      <c r="D9" s="140"/>
      <c r="E9" s="186"/>
    </row>
    <row r="10" spans="1:10" ht="12.75" customHeight="1">
      <c r="B10" s="187" t="s">
        <v>5</v>
      </c>
      <c r="C10" s="321" t="s">
        <v>18</v>
      </c>
      <c r="D10" s="322"/>
      <c r="E10" s="323"/>
    </row>
    <row r="11" spans="1:10">
      <c r="B11" s="188">
        <v>1</v>
      </c>
      <c r="C11" s="318"/>
      <c r="D11" s="319"/>
      <c r="E11" s="320"/>
    </row>
    <row r="12" spans="1:10">
      <c r="B12" s="188">
        <v>2</v>
      </c>
      <c r="C12" s="318"/>
      <c r="D12" s="319"/>
      <c r="E12" s="320"/>
    </row>
    <row r="13" spans="1:10">
      <c r="B13" s="188">
        <v>3</v>
      </c>
      <c r="C13" s="318"/>
      <c r="D13" s="319"/>
      <c r="E13" s="320"/>
    </row>
    <row r="14" spans="1:10">
      <c r="B14" s="188"/>
      <c r="C14" s="318"/>
      <c r="D14" s="319"/>
      <c r="E14" s="320"/>
    </row>
    <row r="17" spans="2:5">
      <c r="B17" s="5"/>
      <c r="C17" s="5"/>
      <c r="D17" s="5"/>
    </row>
    <row r="18" spans="2:5">
      <c r="B18" s="5"/>
      <c r="C18" s="5"/>
      <c r="D18" s="5"/>
    </row>
    <row r="19" spans="2:5">
      <c r="B19" s="5"/>
      <c r="C19" s="5"/>
      <c r="D19" s="5"/>
    </row>
    <row r="20" spans="2:5">
      <c r="E20" s="212"/>
    </row>
    <row r="22" spans="2:5">
      <c r="B22" s="5"/>
      <c r="C22" s="5"/>
      <c r="D22" s="5"/>
    </row>
    <row r="23" spans="2:5">
      <c r="B23" s="5"/>
      <c r="C23" s="5"/>
      <c r="D23" s="5"/>
    </row>
    <row r="24" spans="2:5">
      <c r="B24" s="5"/>
      <c r="C24" s="5"/>
      <c r="D24" s="5"/>
    </row>
    <row r="25" spans="2:5">
      <c r="B25" s="5"/>
      <c r="C25" s="5"/>
      <c r="D25" s="5"/>
    </row>
    <row r="26" spans="2:5">
      <c r="B26" s="5"/>
      <c r="C26" s="5"/>
      <c r="D26" s="5"/>
    </row>
    <row r="32" spans="2:5">
      <c r="B32" s="5"/>
      <c r="C32" s="5"/>
      <c r="D32" s="5"/>
    </row>
    <row r="33" spans="2:4">
      <c r="B33" s="5"/>
      <c r="C33" s="5"/>
      <c r="D33" s="5"/>
    </row>
    <row r="36" spans="2:4">
      <c r="B36" s="5"/>
      <c r="C36" s="5"/>
      <c r="D36" s="5"/>
    </row>
    <row r="37" spans="2:4">
      <c r="B37" s="5"/>
      <c r="C37" s="5"/>
      <c r="D37" s="5"/>
    </row>
    <row r="38" spans="2:4">
      <c r="B38" s="5"/>
      <c r="C38" s="5"/>
      <c r="D38" s="5"/>
    </row>
    <row r="39" spans="2:4">
      <c r="B39" s="5"/>
      <c r="C39" s="5"/>
      <c r="D39" s="5"/>
    </row>
  </sheetData>
  <mergeCells count="8">
    <mergeCell ref="B2:B4"/>
    <mergeCell ref="C2:D2"/>
    <mergeCell ref="C3:D4"/>
    <mergeCell ref="C14:E14"/>
    <mergeCell ref="C10:E10"/>
    <mergeCell ref="C11:E11"/>
    <mergeCell ref="C12:E12"/>
    <mergeCell ref="C13:E13"/>
  </mergeCells>
  <phoneticPr fontId="5" type="noConversion"/>
  <pageMargins left="1.23" right="0.75" top="1" bottom="1" header="0.5" footer="0.5"/>
  <pageSetup paperSize="9" orientation="portrait" verticalDpi="0"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rgb="FFFFC000"/>
    <pageSetUpPr fitToPage="1"/>
  </sheetPr>
  <dimension ref="B2:O176"/>
  <sheetViews>
    <sheetView showGridLines="0" zoomScale="70" zoomScaleNormal="70" workbookViewId="0">
      <selection activeCell="J12" sqref="J12"/>
    </sheetView>
  </sheetViews>
  <sheetFormatPr baseColWidth="10" defaultColWidth="11.42578125" defaultRowHeight="12.75"/>
  <cols>
    <col min="1" max="1" width="2.7109375" customWidth="1"/>
    <col min="2" max="2" width="26.7109375" customWidth="1"/>
    <col min="3" max="3" width="9.140625"/>
    <col min="4" max="4" width="41.42578125" customWidth="1"/>
    <col min="6" max="6" width="15" bestFit="1" customWidth="1"/>
    <col min="7" max="7" width="5.5703125" customWidth="1"/>
    <col min="8" max="8" width="28.28515625" customWidth="1"/>
    <col min="9" max="9" width="5.28515625" customWidth="1"/>
    <col min="10" max="10" width="16.42578125" bestFit="1" customWidth="1"/>
    <col min="12" max="12" width="40" bestFit="1" customWidth="1"/>
    <col min="14" max="14" width="24" bestFit="1" customWidth="1"/>
    <col min="15" max="15" width="16.85546875" customWidth="1"/>
  </cols>
  <sheetData>
    <row r="2" spans="2:15">
      <c r="B2" s="4" t="s">
        <v>78</v>
      </c>
    </row>
    <row r="3" spans="2:15">
      <c r="B3" s="5"/>
    </row>
    <row r="4" spans="2:15">
      <c r="B4" s="36" t="s">
        <v>83</v>
      </c>
      <c r="C4" s="6">
        <v>5</v>
      </c>
    </row>
    <row r="5" spans="2:15">
      <c r="B5" s="36" t="s">
        <v>84</v>
      </c>
      <c r="C5" s="6">
        <v>40</v>
      </c>
    </row>
    <row r="6" spans="2:15">
      <c r="B6" s="5"/>
    </row>
    <row r="7" spans="2:15">
      <c r="B7" s="5"/>
    </row>
    <row r="8" spans="2:15">
      <c r="B8" s="36" t="s">
        <v>20</v>
      </c>
      <c r="D8" s="36" t="s">
        <v>38</v>
      </c>
      <c r="F8" s="36" t="s">
        <v>39</v>
      </c>
      <c r="H8" s="137" t="s">
        <v>187</v>
      </c>
      <c r="J8" s="137" t="s">
        <v>187</v>
      </c>
      <c r="L8" s="324" t="s">
        <v>104</v>
      </c>
      <c r="N8" s="36" t="s">
        <v>159</v>
      </c>
      <c r="O8" s="36" t="s">
        <v>113</v>
      </c>
    </row>
    <row r="9" spans="2:15">
      <c r="B9" s="6" t="s">
        <v>21</v>
      </c>
      <c r="D9" s="136" t="s">
        <v>155</v>
      </c>
      <c r="F9" s="135" t="s">
        <v>158</v>
      </c>
      <c r="H9" s="135" t="s">
        <v>208</v>
      </c>
      <c r="J9" s="135" t="s">
        <v>188</v>
      </c>
      <c r="L9" s="324"/>
      <c r="N9" s="59" t="s">
        <v>161</v>
      </c>
      <c r="O9" s="59" t="s">
        <v>230</v>
      </c>
    </row>
    <row r="10" spans="2:15">
      <c r="B10" s="6" t="s">
        <v>22</v>
      </c>
      <c r="D10" s="136" t="s">
        <v>185</v>
      </c>
      <c r="F10" s="135" t="s">
        <v>189</v>
      </c>
      <c r="H10" s="135" t="s">
        <v>158</v>
      </c>
      <c r="J10" s="135" t="s">
        <v>158</v>
      </c>
      <c r="L10" s="3" t="s">
        <v>97</v>
      </c>
      <c r="N10" s="59"/>
    </row>
    <row r="11" spans="2:15">
      <c r="B11" s="6"/>
      <c r="D11" s="136" t="s">
        <v>223</v>
      </c>
      <c r="F11" s="228" t="s">
        <v>252</v>
      </c>
      <c r="H11" s="135" t="s">
        <v>189</v>
      </c>
      <c r="J11" s="135" t="s">
        <v>189</v>
      </c>
      <c r="L11" s="3" t="s">
        <v>39</v>
      </c>
    </row>
    <row r="12" spans="2:15">
      <c r="B12" s="138"/>
      <c r="D12" s="136" t="s">
        <v>156</v>
      </c>
      <c r="F12" s="135" t="s">
        <v>190</v>
      </c>
      <c r="H12" s="228" t="s">
        <v>252</v>
      </c>
      <c r="J12" s="228" t="s">
        <v>252</v>
      </c>
      <c r="L12" s="3" t="s">
        <v>107</v>
      </c>
    </row>
    <row r="13" spans="2:15">
      <c r="B13" s="5"/>
      <c r="D13" s="136" t="s">
        <v>212</v>
      </c>
      <c r="F13" s="136" t="s">
        <v>225</v>
      </c>
      <c r="H13" s="135" t="s">
        <v>190</v>
      </c>
      <c r="J13" s="135" t="s">
        <v>190</v>
      </c>
      <c r="L13" s="3" t="s">
        <v>102</v>
      </c>
    </row>
    <row r="14" spans="2:15">
      <c r="B14" s="36" t="s">
        <v>60</v>
      </c>
      <c r="D14" s="136" t="s">
        <v>154</v>
      </c>
      <c r="F14" s="136" t="s">
        <v>227</v>
      </c>
      <c r="H14" s="136" t="s">
        <v>225</v>
      </c>
      <c r="J14" s="136" t="s">
        <v>225</v>
      </c>
      <c r="L14" s="3" t="s">
        <v>106</v>
      </c>
    </row>
    <row r="15" spans="2:15">
      <c r="B15" s="2" t="s">
        <v>30</v>
      </c>
      <c r="D15" s="136" t="s">
        <v>213</v>
      </c>
      <c r="F15" s="136" t="s">
        <v>230</v>
      </c>
      <c r="H15" s="136" t="s">
        <v>227</v>
      </c>
      <c r="J15" s="136" t="s">
        <v>227</v>
      </c>
      <c r="L15" s="3" t="s">
        <v>108</v>
      </c>
      <c r="N15" s="191"/>
    </row>
    <row r="16" spans="2:15">
      <c r="B16" s="6" t="s">
        <v>31</v>
      </c>
      <c r="D16" s="136" t="s">
        <v>214</v>
      </c>
      <c r="H16" s="136" t="s">
        <v>230</v>
      </c>
      <c r="J16" s="136" t="s">
        <v>230</v>
      </c>
      <c r="L16" s="3" t="s">
        <v>109</v>
      </c>
    </row>
    <row r="17" spans="2:12">
      <c r="B17" s="6" t="s">
        <v>32</v>
      </c>
      <c r="D17" s="136" t="s">
        <v>222</v>
      </c>
      <c r="F17" s="190"/>
      <c r="L17" s="3" t="s">
        <v>110</v>
      </c>
    </row>
    <row r="18" spans="2:12">
      <c r="B18" s="6" t="s">
        <v>33</v>
      </c>
      <c r="D18" s="136" t="s">
        <v>224</v>
      </c>
      <c r="L18" s="2"/>
    </row>
    <row r="19" spans="2:12" ht="13.5" customHeight="1">
      <c r="B19" s="6" t="s">
        <v>33</v>
      </c>
      <c r="D19" s="136" t="s">
        <v>226</v>
      </c>
      <c r="L19" s="2"/>
    </row>
    <row r="20" spans="2:12" ht="13.5" customHeight="1">
      <c r="B20" s="2" t="s">
        <v>34</v>
      </c>
      <c r="D20" s="135" t="s">
        <v>189</v>
      </c>
      <c r="H20" s="190"/>
      <c r="J20" s="190"/>
      <c r="L20" s="2"/>
    </row>
    <row r="21" spans="2:12" ht="13.5" customHeight="1">
      <c r="B21" s="2" t="s">
        <v>35</v>
      </c>
      <c r="D21" s="201" t="s">
        <v>228</v>
      </c>
      <c r="H21" s="190"/>
      <c r="J21" s="190"/>
    </row>
    <row r="22" spans="2:12">
      <c r="B22" s="2"/>
      <c r="D22" s="201" t="s">
        <v>229</v>
      </c>
      <c r="H22" s="189"/>
      <c r="J22" s="189"/>
    </row>
    <row r="23" spans="2:12">
      <c r="B23" s="2"/>
      <c r="D23" s="136"/>
    </row>
    <row r="24" spans="2:12">
      <c r="B24" s="2"/>
    </row>
    <row r="25" spans="2:12">
      <c r="B25" s="5"/>
    </row>
    <row r="26" spans="2:12">
      <c r="B26" s="36" t="s">
        <v>42</v>
      </c>
    </row>
    <row r="27" spans="2:12">
      <c r="B27" s="6" t="s">
        <v>40</v>
      </c>
    </row>
    <row r="28" spans="2:12">
      <c r="B28" s="6" t="s">
        <v>41</v>
      </c>
    </row>
    <row r="29" spans="2:12">
      <c r="B29" s="5"/>
    </row>
    <row r="30" spans="2:12">
      <c r="B30" s="36" t="s">
        <v>47</v>
      </c>
    </row>
    <row r="31" spans="2:12">
      <c r="B31" s="2" t="s">
        <v>52</v>
      </c>
    </row>
    <row r="32" spans="2:12">
      <c r="B32" s="2" t="s">
        <v>129</v>
      </c>
    </row>
    <row r="33" spans="2:2">
      <c r="B33" s="2" t="s">
        <v>48</v>
      </c>
    </row>
    <row r="34" spans="2:2">
      <c r="B34" s="2" t="s">
        <v>105</v>
      </c>
    </row>
    <row r="35" spans="2:2">
      <c r="B35" s="2" t="s">
        <v>105</v>
      </c>
    </row>
    <row r="36" spans="2:2">
      <c r="B36" s="2" t="s">
        <v>105</v>
      </c>
    </row>
    <row r="37" spans="2:2">
      <c r="B37" s="2" t="s">
        <v>105</v>
      </c>
    </row>
    <row r="38" spans="2:2">
      <c r="B38" s="62"/>
    </row>
    <row r="39" spans="2:2">
      <c r="B39" s="62"/>
    </row>
    <row r="40" spans="2:2">
      <c r="B40" s="62"/>
    </row>
    <row r="41" spans="2:2">
      <c r="B41" s="62"/>
    </row>
    <row r="59" spans="2:2">
      <c r="B59" s="36" t="s">
        <v>183</v>
      </c>
    </row>
    <row r="60" spans="2:2">
      <c r="B60" s="3" t="s">
        <v>111</v>
      </c>
    </row>
    <row r="61" spans="2:2">
      <c r="B61" s="3" t="s">
        <v>112</v>
      </c>
    </row>
    <row r="62" spans="2:2">
      <c r="B62" s="3" t="s">
        <v>105</v>
      </c>
    </row>
    <row r="63" spans="2:2">
      <c r="B63" s="5"/>
    </row>
    <row r="64" spans="2:2">
      <c r="B64" s="36" t="s">
        <v>130</v>
      </c>
    </row>
    <row r="65" spans="2:2">
      <c r="B65" s="8">
        <v>1</v>
      </c>
    </row>
    <row r="66" spans="2:2">
      <c r="B66" s="8">
        <v>2</v>
      </c>
    </row>
    <row r="67" spans="2:2">
      <c r="B67" s="8">
        <v>3</v>
      </c>
    </row>
    <row r="68" spans="2:2">
      <c r="B68" s="8">
        <v>4</v>
      </c>
    </row>
    <row r="69" spans="2:2">
      <c r="B69" s="8">
        <v>5</v>
      </c>
    </row>
    <row r="70" spans="2:2">
      <c r="B70" s="8">
        <v>6</v>
      </c>
    </row>
    <row r="71" spans="2:2">
      <c r="B71" s="8">
        <v>7</v>
      </c>
    </row>
    <row r="72" spans="2:2">
      <c r="B72" s="8">
        <v>8</v>
      </c>
    </row>
    <row r="73" spans="2:2">
      <c r="B73" s="8">
        <v>9</v>
      </c>
    </row>
    <row r="74" spans="2:2">
      <c r="B74" s="8">
        <v>10</v>
      </c>
    </row>
    <row r="76" spans="2:2">
      <c r="B76" s="36" t="s">
        <v>131</v>
      </c>
    </row>
    <row r="77" spans="2:2">
      <c r="B77" s="9">
        <v>0.01</v>
      </c>
    </row>
    <row r="78" spans="2:2">
      <c r="B78" s="9">
        <v>0.02</v>
      </c>
    </row>
    <row r="79" spans="2:2">
      <c r="B79" s="9">
        <v>0.03</v>
      </c>
    </row>
    <row r="80" spans="2:2">
      <c r="B80" s="9">
        <v>0.04</v>
      </c>
    </row>
    <row r="81" spans="2:2">
      <c r="B81" s="9">
        <v>0.05</v>
      </c>
    </row>
    <row r="82" spans="2:2">
      <c r="B82" s="9">
        <v>0.06</v>
      </c>
    </row>
    <row r="83" spans="2:2">
      <c r="B83" s="9">
        <v>7.0000000000000007E-2</v>
      </c>
    </row>
    <row r="84" spans="2:2">
      <c r="B84" s="9">
        <v>0.08</v>
      </c>
    </row>
    <row r="85" spans="2:2">
      <c r="B85" s="9">
        <v>0.09</v>
      </c>
    </row>
    <row r="86" spans="2:2">
      <c r="B86" s="9">
        <v>0.1</v>
      </c>
    </row>
    <row r="87" spans="2:2">
      <c r="B87" s="9">
        <v>0.11</v>
      </c>
    </row>
    <row r="88" spans="2:2">
      <c r="B88" s="9">
        <v>0.12</v>
      </c>
    </row>
    <row r="89" spans="2:2">
      <c r="B89" s="9">
        <v>0.13</v>
      </c>
    </row>
    <row r="90" spans="2:2">
      <c r="B90" s="9">
        <v>0.14000000000000001</v>
      </c>
    </row>
    <row r="91" spans="2:2">
      <c r="B91" s="9">
        <v>0.15</v>
      </c>
    </row>
    <row r="92" spans="2:2">
      <c r="B92" s="9">
        <v>0.16</v>
      </c>
    </row>
    <row r="93" spans="2:2">
      <c r="B93" s="9">
        <v>0.17</v>
      </c>
    </row>
    <row r="94" spans="2:2">
      <c r="B94" s="9">
        <v>0.18</v>
      </c>
    </row>
    <row r="95" spans="2:2">
      <c r="B95" s="9">
        <v>0.19</v>
      </c>
    </row>
    <row r="96" spans="2:2">
      <c r="B96" s="9">
        <v>0.2</v>
      </c>
    </row>
    <row r="97" spans="2:2">
      <c r="B97" s="9">
        <v>0.21</v>
      </c>
    </row>
    <row r="98" spans="2:2">
      <c r="B98" s="9">
        <v>0.22</v>
      </c>
    </row>
    <row r="99" spans="2:2">
      <c r="B99" s="9">
        <v>0.23</v>
      </c>
    </row>
    <row r="100" spans="2:2">
      <c r="B100" s="9">
        <v>0.24</v>
      </c>
    </row>
    <row r="101" spans="2:2">
      <c r="B101" s="9">
        <v>0.25</v>
      </c>
    </row>
    <row r="102" spans="2:2">
      <c r="B102" s="9">
        <v>0.26</v>
      </c>
    </row>
    <row r="103" spans="2:2">
      <c r="B103" s="9">
        <v>0.27</v>
      </c>
    </row>
    <row r="104" spans="2:2">
      <c r="B104" s="9">
        <v>0.28000000000000003</v>
      </c>
    </row>
    <row r="105" spans="2:2">
      <c r="B105" s="9">
        <v>0.28999999999999998</v>
      </c>
    </row>
    <row r="106" spans="2:2">
      <c r="B106" s="9">
        <v>0.3</v>
      </c>
    </row>
    <row r="107" spans="2:2">
      <c r="B107" s="9">
        <v>0.31</v>
      </c>
    </row>
    <row r="108" spans="2:2">
      <c r="B108" s="9">
        <v>0.32</v>
      </c>
    </row>
    <row r="109" spans="2:2">
      <c r="B109" s="9">
        <v>0.33</v>
      </c>
    </row>
    <row r="110" spans="2:2">
      <c r="B110" s="9">
        <v>0.34</v>
      </c>
    </row>
    <row r="111" spans="2:2">
      <c r="B111" s="9">
        <v>0.35</v>
      </c>
    </row>
    <row r="112" spans="2:2">
      <c r="B112" s="9">
        <v>0.36</v>
      </c>
    </row>
    <row r="113" spans="2:2">
      <c r="B113" s="9">
        <v>0.37</v>
      </c>
    </row>
    <row r="114" spans="2:2">
      <c r="B114" s="9">
        <v>0.38</v>
      </c>
    </row>
    <row r="115" spans="2:2">
      <c r="B115" s="9">
        <v>0.39</v>
      </c>
    </row>
    <row r="116" spans="2:2">
      <c r="B116" s="9">
        <v>0.4</v>
      </c>
    </row>
    <row r="117" spans="2:2">
      <c r="B117" s="9">
        <v>0.41</v>
      </c>
    </row>
    <row r="118" spans="2:2">
      <c r="B118" s="9">
        <v>0.42</v>
      </c>
    </row>
    <row r="119" spans="2:2">
      <c r="B119" s="9">
        <v>0.43</v>
      </c>
    </row>
    <row r="120" spans="2:2">
      <c r="B120" s="9">
        <v>0.44</v>
      </c>
    </row>
    <row r="121" spans="2:2">
      <c r="B121" s="9">
        <v>0.45</v>
      </c>
    </row>
    <row r="122" spans="2:2">
      <c r="B122" s="9">
        <v>0.46</v>
      </c>
    </row>
    <row r="123" spans="2:2">
      <c r="B123" s="9">
        <v>0.47</v>
      </c>
    </row>
    <row r="124" spans="2:2">
      <c r="B124" s="9">
        <v>0.48</v>
      </c>
    </row>
    <row r="125" spans="2:2">
      <c r="B125" s="9">
        <v>0.49</v>
      </c>
    </row>
    <row r="126" spans="2:2">
      <c r="B126" s="9">
        <v>0.5</v>
      </c>
    </row>
    <row r="127" spans="2:2">
      <c r="B127" s="9">
        <v>0.51</v>
      </c>
    </row>
    <row r="128" spans="2:2">
      <c r="B128" s="9">
        <v>0.52</v>
      </c>
    </row>
    <row r="129" spans="2:2">
      <c r="B129" s="9">
        <v>0.53</v>
      </c>
    </row>
    <row r="130" spans="2:2">
      <c r="B130" s="9">
        <v>0.54</v>
      </c>
    </row>
    <row r="131" spans="2:2">
      <c r="B131" s="9">
        <v>0.55000000000000004</v>
      </c>
    </row>
    <row r="132" spans="2:2">
      <c r="B132" s="9">
        <v>0.56000000000000005</v>
      </c>
    </row>
    <row r="133" spans="2:2">
      <c r="B133" s="9">
        <v>0.56999999999999995</v>
      </c>
    </row>
    <row r="134" spans="2:2">
      <c r="B134" s="9">
        <v>0.57999999999999996</v>
      </c>
    </row>
    <row r="135" spans="2:2">
      <c r="B135" s="9">
        <v>0.59</v>
      </c>
    </row>
    <row r="136" spans="2:2">
      <c r="B136" s="9">
        <v>0.6</v>
      </c>
    </row>
    <row r="137" spans="2:2">
      <c r="B137" s="9">
        <v>0.61</v>
      </c>
    </row>
    <row r="138" spans="2:2">
      <c r="B138" s="9">
        <v>0.62</v>
      </c>
    </row>
    <row r="139" spans="2:2">
      <c r="B139" s="9">
        <v>0.63</v>
      </c>
    </row>
    <row r="140" spans="2:2">
      <c r="B140" s="9">
        <v>0.64</v>
      </c>
    </row>
    <row r="141" spans="2:2">
      <c r="B141" s="9">
        <v>0.65</v>
      </c>
    </row>
    <row r="142" spans="2:2">
      <c r="B142" s="9">
        <v>0.66</v>
      </c>
    </row>
    <row r="143" spans="2:2">
      <c r="B143" s="9">
        <v>0.67</v>
      </c>
    </row>
    <row r="144" spans="2:2">
      <c r="B144" s="9">
        <v>0.68</v>
      </c>
    </row>
    <row r="145" spans="2:2">
      <c r="B145" s="9">
        <v>0.69</v>
      </c>
    </row>
    <row r="146" spans="2:2">
      <c r="B146" s="9">
        <v>0.7</v>
      </c>
    </row>
    <row r="147" spans="2:2">
      <c r="B147" s="9">
        <v>0.71</v>
      </c>
    </row>
    <row r="148" spans="2:2">
      <c r="B148" s="9">
        <v>0.72</v>
      </c>
    </row>
    <row r="149" spans="2:2">
      <c r="B149" s="9">
        <v>0.73</v>
      </c>
    </row>
    <row r="150" spans="2:2">
      <c r="B150" s="9">
        <v>0.74</v>
      </c>
    </row>
    <row r="151" spans="2:2">
      <c r="B151" s="9">
        <v>0.75</v>
      </c>
    </row>
    <row r="152" spans="2:2">
      <c r="B152" s="9">
        <v>0.76</v>
      </c>
    </row>
    <row r="153" spans="2:2">
      <c r="B153" s="9">
        <v>0.77</v>
      </c>
    </row>
    <row r="154" spans="2:2">
      <c r="B154" s="9">
        <v>0.78</v>
      </c>
    </row>
    <row r="155" spans="2:2">
      <c r="B155" s="9">
        <v>0.79</v>
      </c>
    </row>
    <row r="156" spans="2:2">
      <c r="B156" s="9">
        <v>0.8</v>
      </c>
    </row>
    <row r="157" spans="2:2">
      <c r="B157" s="9">
        <v>0.81</v>
      </c>
    </row>
    <row r="158" spans="2:2">
      <c r="B158" s="9">
        <v>0.82</v>
      </c>
    </row>
    <row r="159" spans="2:2">
      <c r="B159" s="9">
        <v>0.83</v>
      </c>
    </row>
    <row r="160" spans="2:2">
      <c r="B160" s="9">
        <v>0.84</v>
      </c>
    </row>
    <row r="161" spans="2:2">
      <c r="B161" s="9">
        <v>0.85</v>
      </c>
    </row>
    <row r="162" spans="2:2">
      <c r="B162" s="9">
        <v>0.86</v>
      </c>
    </row>
    <row r="163" spans="2:2">
      <c r="B163" s="9">
        <v>0.87</v>
      </c>
    </row>
    <row r="164" spans="2:2">
      <c r="B164" s="9">
        <v>0.88</v>
      </c>
    </row>
    <row r="165" spans="2:2">
      <c r="B165" s="9">
        <v>0.89</v>
      </c>
    </row>
    <row r="166" spans="2:2">
      <c r="B166" s="9">
        <v>0.9</v>
      </c>
    </row>
    <row r="167" spans="2:2">
      <c r="B167" s="9">
        <v>0.91</v>
      </c>
    </row>
    <row r="168" spans="2:2">
      <c r="B168" s="9">
        <v>0.92</v>
      </c>
    </row>
    <row r="169" spans="2:2">
      <c r="B169" s="9">
        <v>0.93</v>
      </c>
    </row>
    <row r="170" spans="2:2">
      <c r="B170" s="9">
        <v>0.94</v>
      </c>
    </row>
    <row r="171" spans="2:2">
      <c r="B171" s="9">
        <v>0.95</v>
      </c>
    </row>
    <row r="172" spans="2:2">
      <c r="B172" s="9">
        <v>0.96</v>
      </c>
    </row>
    <row r="173" spans="2:2">
      <c r="B173" s="9">
        <v>0.97</v>
      </c>
    </row>
    <row r="174" spans="2:2">
      <c r="B174" s="9">
        <v>0.98</v>
      </c>
    </row>
    <row r="175" spans="2:2">
      <c r="B175" s="9">
        <v>0.99</v>
      </c>
    </row>
    <row r="176" spans="2:2">
      <c r="B176" s="9">
        <v>1</v>
      </c>
    </row>
  </sheetData>
  <mergeCells count="1">
    <mergeCell ref="L8:L9"/>
  </mergeCells>
  <phoneticPr fontId="5" type="noConversion"/>
  <dataValidations count="1">
    <dataValidation type="list" allowBlank="1" showInputMessage="1" showErrorMessage="1" sqref="L8:L9">
      <formula1>"Roles+$B$32:$B$39"</formula1>
    </dataValidation>
  </dataValidations>
  <pageMargins left="1.79" right="0.75" top="1" bottom="1" header="0.5" footer="0.5"/>
  <pageSetup paperSize="9" orientation="portrait" verticalDpi="0"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
  <sheetViews>
    <sheetView workbookViewId="0"/>
  </sheetViews>
  <sheetFormatPr baseColWidth="10" defaultColWidth="9.140625" defaultRowHeight="12.75"/>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o" ma:contentTypeID="0x01010092104E3E7138024FBF244EFED6361BBE" ma:contentTypeVersion="10" ma:contentTypeDescription="Crear nuevo documento." ma:contentTypeScope="" ma:versionID="2a7419eab934d2648fcd7df123a1228a">
  <xsd:schema xmlns:xsd="http://www.w3.org/2001/XMLSchema" xmlns:xs="http://www.w3.org/2001/XMLSchema" xmlns:p="http://schemas.microsoft.com/office/2006/metadata/properties" xmlns:ns2="b06d8e57-2d0a-42d4-8735-1dfabcf6e3d4" targetNamespace="http://schemas.microsoft.com/office/2006/metadata/properties" ma:root="true" ma:fieldsID="14063e83bb2ca9f43d9d10d720dcc15a" ns2:_="">
    <xsd:import namespace="b06d8e57-2d0a-42d4-8735-1dfabcf6e3d4"/>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DateTaken"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06d8e57-2d0a-42d4-8735-1dfabcf6e3d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DateTaken" ma:index="14" nillable="true" ma:displayName="MediaServiceDateTaken" ma:hidden="true" ma:internalName="MediaServiceDateTaken" ma:readOnly="true">
      <xsd:simpleType>
        <xsd:restriction base="dms:Text"/>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LengthInSeconds" ma:index="17" nillable="true" ma:displayName="Length (seconds)"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BB2FB7E7-5A61-4CC2-A4FF-3A90E750884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06d8e57-2d0a-42d4-8735-1dfabcf6e3d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59F16BE9-6B61-47F4-A95A-B1ED1388B5C1}">
  <ds:schemaRefs>
    <ds:schemaRef ds:uri="http://www.w3.org/XML/1998/namespace"/>
    <ds:schemaRef ds:uri="http://schemas.microsoft.com/office/infopath/2007/PartnerControls"/>
    <ds:schemaRef ds:uri="http://purl.org/dc/elements/1.1/"/>
    <ds:schemaRef ds:uri="http://schemas.microsoft.com/office/2006/documentManagement/types"/>
    <ds:schemaRef ds:uri="b06d8e57-2d0a-42d4-8735-1dfabcf6e3d4"/>
    <ds:schemaRef ds:uri="http://purl.org/dc/dcmitype/"/>
    <ds:schemaRef ds:uri="http://schemas.microsoft.com/office/2006/metadata/properties"/>
    <ds:schemaRef ds:uri="http://purl.org/dc/terms/"/>
    <ds:schemaRef ds:uri="http://schemas.openxmlformats.org/package/2006/metadata/core-properties"/>
  </ds:schemaRefs>
</ds:datastoreItem>
</file>

<file path=customXml/itemProps3.xml><?xml version="1.0" encoding="utf-8"?>
<ds:datastoreItem xmlns:ds="http://schemas.openxmlformats.org/officeDocument/2006/customXml" ds:itemID="{CC6BEFDF-4B00-4742-9CA7-9EF60081277B}">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11</vt:i4>
      </vt:variant>
      <vt:variant>
        <vt:lpstr>Rangos con nombre</vt:lpstr>
      </vt:variant>
      <vt:variant>
        <vt:i4>21</vt:i4>
      </vt:variant>
    </vt:vector>
  </HeadingPairs>
  <TitlesOfParts>
    <vt:vector size="32" baseType="lpstr">
      <vt:lpstr>Historial_Revisiones</vt:lpstr>
      <vt:lpstr>Instructivo</vt:lpstr>
      <vt:lpstr>Historial de Revisiones</vt:lpstr>
      <vt:lpstr>General</vt:lpstr>
      <vt:lpstr>Verificación Fuentes</vt:lpstr>
      <vt:lpstr>Entregables</vt:lpstr>
      <vt:lpstr>Fuera de alcance</vt:lpstr>
      <vt:lpstr>Dependencias</vt:lpstr>
      <vt:lpstr>Condiciones</vt:lpstr>
      <vt:lpstr>Tablas</vt:lpstr>
      <vt:lpstr>Sheet1</vt:lpstr>
      <vt:lpstr>Analista</vt:lpstr>
      <vt:lpstr>Analista_de_Calidad</vt:lpstr>
      <vt:lpstr>General!Área_de_impresión</vt:lpstr>
      <vt:lpstr>Autor</vt:lpstr>
      <vt:lpstr>Autor_Registro</vt:lpstr>
      <vt:lpstr>Consultor</vt:lpstr>
      <vt:lpstr>Dedicacion</vt:lpstr>
      <vt:lpstr>GEN_OT</vt:lpstr>
      <vt:lpstr>horas</vt:lpstr>
      <vt:lpstr>Jefe_de_Fábrica</vt:lpstr>
      <vt:lpstr>Opcion</vt:lpstr>
      <vt:lpstr>Recursos</vt:lpstr>
      <vt:lpstr>Revisor</vt:lpstr>
      <vt:lpstr>Rol</vt:lpstr>
      <vt:lpstr>TAB_LINEA</vt:lpstr>
      <vt:lpstr>TAB_MIN_ESFUERZO</vt:lpstr>
      <vt:lpstr>TAB_MIN_PLAZO</vt:lpstr>
      <vt:lpstr>TAB_PRIORIDAD</vt:lpstr>
      <vt:lpstr>TAB_SOLICITUD</vt:lpstr>
      <vt:lpstr>TAB_TIPO_OT</vt:lpstr>
      <vt:lpstr>TipoOt</vt:lpstr>
    </vt:vector>
  </TitlesOfParts>
  <Company>GMD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RWG</dc:creator>
  <cp:lastModifiedBy>Erick Ramos Aparicio</cp:lastModifiedBy>
  <cp:lastPrinted>2008-07-24T23:00:04Z</cp:lastPrinted>
  <dcterms:created xsi:type="dcterms:W3CDTF">2006-05-15T17:32:50Z</dcterms:created>
  <dcterms:modified xsi:type="dcterms:W3CDTF">2023-02-03T17:04:11Z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343f73e8-4003-4487-8737-79c3054c687d</vt:lpwstr>
  </property>
  <property fmtid="{D5CDD505-2E9C-101B-9397-08002B2CF9AE}" pid="3" name="ContentTypeId">
    <vt:lpwstr>0x01010092104E3E7138024FBF244EFED6361BBE</vt:lpwstr>
  </property>
</Properties>
</file>