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updateLinks="never" codeName="ThisWorkbook" hidePivotFieldList="1" defaultThemeVersion="124226"/>
  <mc:AlternateContent xmlns:mc="http://schemas.openxmlformats.org/markup-compatibility/2006">
    <mc:Choice Requires="x15">
      <x15ac:absPath xmlns:x15ac="http://schemas.microsoft.com/office/spreadsheetml/2010/11/ac" url="\\192.168.0.120\share\generate-pase-production-sura\Generate\Templates\"/>
    </mc:Choice>
  </mc:AlternateContent>
  <bookViews>
    <workbookView xWindow="0" yWindow="0" windowWidth="20490" windowHeight="7650" tabRatio="882" firstSheet="1" activeTab="5"/>
  </bookViews>
  <sheets>
    <sheet name="Historial_Revisiones" sheetId="36" state="hidden" r:id="rId1"/>
    <sheet name="Instrucciones" sheetId="33" r:id="rId2"/>
    <sheet name="Historial de Revisiones" sheetId="34" r:id="rId3"/>
    <sheet name="Hoja1" sheetId="38" state="hidden" r:id="rId4"/>
    <sheet name="Requerimientos de usuario" sheetId="27" r:id="rId5"/>
    <sheet name="Requerimientos del sistema" sheetId="31" r:id="rId6"/>
    <sheet name="Requerimientos no funcionales" sheetId="32" r:id="rId7"/>
    <sheet name="Consideraciones" sheetId="37" r:id="rId8"/>
    <sheet name="Observaciones a la LR" sheetId="30" r:id="rId9"/>
    <sheet name="Usuarios" sheetId="26" state="hidden" r:id="rId10"/>
    <sheet name="Tabla" sheetId="35" state="hidden" r:id="rId11"/>
    <sheet name="Diccionario de atributos" sheetId="29" r:id="rId12"/>
    <sheet name="Diccionario de valores" sheetId="28" r:id="rId13"/>
  </sheets>
  <definedNames>
    <definedName name="_xlnm._FilterDatabase" localSheetId="11" hidden="1">'Diccionario de atributos'!$B$37:$B$38</definedName>
    <definedName name="_xlnm._FilterDatabase" localSheetId="4" hidden="1">'Requerimientos de usuario'!$B$12:$K$266</definedName>
    <definedName name="AfectaArquitectura">'Diccionario de atributos'!$D$5:$D$6</definedName>
    <definedName name="Aplicaciones">Tabla!$C$20:$C$59</definedName>
    <definedName name="Autor_Registro">Tabla!$C$4:$C$15</definedName>
    <definedName name="Contacto">'Diccionario de atributos'!$D$7:$D$19</definedName>
    <definedName name="Dificultad">'Diccionario de atributos'!$D$23:$D$25</definedName>
    <definedName name="EsInterfaz">'Diccionario de atributos'!$D$54:$D$56</definedName>
    <definedName name="Estabilidad">'Diccionario de atributos'!$D$27:$D$29</definedName>
    <definedName name="Idrequs">'Requerimientos de usuario'!$D$13:$D$266</definedName>
    <definedName name="IdReqUsuario">'Requerimientos de usuario'!$D$13:$D$266</definedName>
    <definedName name="Líneas">Tabla!$A$4:$A$9</definedName>
    <definedName name="Origen">'Diccionario de atributos'!$D$37:$D$38</definedName>
    <definedName name="Prioridad">'Diccionario de atributos'!$D$38</definedName>
    <definedName name="Revisores">Tabla!$E$4:$E$15</definedName>
    <definedName name="Situacion">'Diccionario de atributos'!$D$41:$D$44</definedName>
    <definedName name="TipoDeDesarrollo">'Diccionario de atributos'!$D$46:$D$48</definedName>
    <definedName name="TipoDeFlujo">'Diccionario de atributos'!$D$49:$D$50</definedName>
    <definedName name="TipoRequerimientoDeSistema">'Diccionario de atributos'!$D$51:$D$53</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14" i="31" l="1"/>
  <c r="O14" i="31"/>
  <c r="O10" i="31" l="1"/>
  <c r="C17" i="27" l="1"/>
  <c r="S21" i="31" l="1"/>
  <c r="S22" i="31"/>
  <c r="S23" i="31"/>
  <c r="S24" i="31"/>
  <c r="S25" i="31"/>
  <c r="S26" i="31"/>
  <c r="S27" i="31"/>
  <c r="S28" i="31"/>
  <c r="S29" i="31"/>
  <c r="S30" i="31"/>
  <c r="S31" i="31"/>
  <c r="S32" i="31"/>
  <c r="S33" i="31"/>
  <c r="O21" i="31"/>
  <c r="O22" i="31"/>
  <c r="O23" i="31"/>
  <c r="O24" i="31"/>
  <c r="O25" i="31"/>
  <c r="O26" i="31"/>
  <c r="O27" i="31"/>
  <c r="O28" i="31"/>
  <c r="O29" i="31"/>
  <c r="O30" i="31"/>
  <c r="O31" i="31"/>
  <c r="O32" i="31"/>
  <c r="O33" i="31"/>
  <c r="S20" i="31" l="1"/>
  <c r="O20" i="31"/>
  <c r="O17" i="31"/>
  <c r="O12" i="31"/>
  <c r="S11" i="31" l="1"/>
  <c r="S12" i="31"/>
  <c r="S13" i="31"/>
  <c r="S15" i="31"/>
  <c r="S16" i="31"/>
  <c r="S17" i="31"/>
  <c r="S18" i="31"/>
  <c r="S19" i="31"/>
  <c r="O11" i="31"/>
  <c r="O13" i="31"/>
  <c r="O15" i="31"/>
  <c r="O16" i="31"/>
  <c r="O18" i="31"/>
  <c r="O19" i="31"/>
  <c r="S10" i="31"/>
  <c r="G4" i="34" l="1"/>
  <c r="E4" i="26" l="1"/>
  <c r="E3" i="26"/>
  <c r="C3" i="26"/>
  <c r="E4" i="30"/>
  <c r="E3" i="30"/>
  <c r="C3" i="30"/>
  <c r="H4" i="37"/>
  <c r="H3" i="37"/>
  <c r="D3" i="37"/>
  <c r="L4" i="27"/>
  <c r="L3" i="27"/>
  <c r="D3" i="27"/>
  <c r="G3" i="34"/>
  <c r="D3" i="34"/>
  <c r="F23" i="34" l="1"/>
  <c r="E6" i="32"/>
  <c r="C14" i="27"/>
  <c r="F24" i="34"/>
  <c r="F25" i="34"/>
  <c r="F26" i="34"/>
  <c r="F27" i="34"/>
  <c r="F28" i="34"/>
  <c r="F29" i="34"/>
  <c r="F30" i="34"/>
  <c r="F31" i="34"/>
  <c r="F32" i="34"/>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L233" i="27"/>
  <c r="L234" i="27"/>
  <c r="L235" i="27"/>
  <c r="L236" i="27"/>
  <c r="L237" i="27"/>
  <c r="L238" i="27"/>
  <c r="L239" i="27"/>
  <c r="L240" i="27"/>
  <c r="L241" i="27"/>
  <c r="L242" i="27"/>
  <c r="L243" i="27"/>
  <c r="L244" i="27"/>
  <c r="L245" i="27"/>
  <c r="L246" i="27"/>
  <c r="L247" i="27"/>
  <c r="L248" i="27"/>
  <c r="L249" i="27"/>
  <c r="L250" i="27"/>
  <c r="L251" i="27"/>
  <c r="L252" i="27"/>
  <c r="L253" i="27"/>
  <c r="L254" i="27"/>
  <c r="L255" i="27"/>
  <c r="L256" i="27"/>
  <c r="L257" i="27"/>
  <c r="L258" i="27"/>
  <c r="L259" i="27"/>
  <c r="L260" i="27"/>
  <c r="L261" i="27"/>
  <c r="L262" i="27"/>
  <c r="L263" i="27"/>
  <c r="L264" i="27"/>
  <c r="L265" i="27"/>
  <c r="L266" i="27"/>
  <c r="D10" i="30"/>
  <c r="D9" i="30"/>
  <c r="E7" i="32"/>
  <c r="F7" i="31"/>
  <c r="F6" i="31"/>
  <c r="C159" i="27"/>
  <c r="C176" i="27"/>
  <c r="C100" i="32"/>
  <c r="C110" i="32"/>
  <c r="C27" i="32"/>
  <c r="C117" i="32"/>
  <c r="C19" i="32"/>
  <c r="C72" i="27"/>
  <c r="C186" i="27"/>
  <c r="C227" i="27"/>
  <c r="C203" i="27"/>
  <c r="C97" i="27"/>
  <c r="C200" i="27"/>
  <c r="C147" i="27"/>
  <c r="C134" i="27"/>
  <c r="C18" i="32"/>
  <c r="C165" i="27"/>
  <c r="C54" i="32"/>
  <c r="C185" i="27"/>
  <c r="C98" i="32"/>
  <c r="C222" i="27"/>
  <c r="C245" i="27"/>
  <c r="C118" i="27"/>
  <c r="C112" i="27"/>
  <c r="C99" i="32"/>
  <c r="C101" i="32"/>
  <c r="C123" i="27"/>
  <c r="C117" i="27"/>
  <c r="C226" i="27"/>
  <c r="C145" i="27"/>
  <c r="C174" i="27"/>
  <c r="C70" i="27"/>
  <c r="C193" i="27"/>
  <c r="C144" i="27"/>
  <c r="C107" i="27"/>
  <c r="C52" i="32"/>
  <c r="C231" i="27"/>
  <c r="C223" i="27"/>
  <c r="C91" i="32"/>
  <c r="C137" i="32"/>
  <c r="C135" i="27"/>
  <c r="C102" i="27"/>
  <c r="C137" i="27"/>
  <c r="C257" i="27"/>
  <c r="C224" i="27"/>
  <c r="C192" i="27"/>
  <c r="C171" i="27"/>
  <c r="C32" i="32"/>
  <c r="C181" i="27"/>
  <c r="C221" i="27"/>
  <c r="C167" i="27"/>
  <c r="C80" i="27"/>
  <c r="C194" i="27"/>
  <c r="C129" i="32"/>
  <c r="C129" i="27"/>
  <c r="C110" i="27"/>
  <c r="C149" i="27"/>
  <c r="C81" i="32"/>
  <c r="C204" i="27"/>
  <c r="C124" i="32"/>
  <c r="C37" i="32"/>
  <c r="C120" i="32"/>
  <c r="C47" i="32"/>
  <c r="C83" i="32"/>
  <c r="C17" i="32"/>
  <c r="C235" i="27"/>
  <c r="C169" i="27"/>
  <c r="C48" i="32"/>
  <c r="C122" i="27"/>
  <c r="C55" i="32"/>
  <c r="C106" i="27"/>
  <c r="C109" i="27"/>
  <c r="C228" i="27"/>
  <c r="C85" i="32"/>
  <c r="C95" i="32"/>
  <c r="C113" i="32"/>
  <c r="C76" i="27"/>
  <c r="C116" i="27"/>
  <c r="C111" i="27"/>
  <c r="C45" i="32"/>
  <c r="C179" i="27"/>
  <c r="C111" i="32"/>
  <c r="C128" i="27"/>
  <c r="C80" i="32"/>
  <c r="C25" i="32"/>
  <c r="C246" i="27"/>
  <c r="C82" i="32"/>
  <c r="C73" i="32"/>
  <c r="C233" i="27"/>
  <c r="C94" i="27"/>
  <c r="C160" i="27"/>
  <c r="C57" i="32"/>
  <c r="C66" i="27"/>
  <c r="C201" i="27"/>
  <c r="C39" i="32"/>
  <c r="C74" i="27"/>
  <c r="C209" i="27"/>
  <c r="C175" i="27"/>
  <c r="C73" i="27"/>
  <c r="C172" i="27"/>
  <c r="C56" i="32"/>
  <c r="C68" i="27"/>
  <c r="C152" i="27"/>
  <c r="C199" i="27"/>
  <c r="C34" i="32"/>
  <c r="C236" i="27"/>
  <c r="C44" i="32"/>
  <c r="C88" i="32"/>
  <c r="C256" i="27"/>
  <c r="C90" i="27"/>
  <c r="C131" i="27"/>
  <c r="C219" i="27"/>
  <c r="C205" i="27"/>
  <c r="C29" i="32"/>
  <c r="C125" i="27"/>
  <c r="C197" i="27"/>
  <c r="C244" i="27"/>
  <c r="C162" i="27"/>
  <c r="C250" i="27"/>
  <c r="C189" i="27"/>
  <c r="C76" i="32"/>
  <c r="C260" i="27"/>
  <c r="C258" i="27"/>
  <c r="C64" i="27"/>
  <c r="C151" i="27"/>
  <c r="C264" i="27"/>
  <c r="C108" i="27"/>
  <c r="C71" i="32"/>
  <c r="C217" i="27"/>
  <c r="C78" i="32"/>
  <c r="C114" i="27"/>
  <c r="C104" i="27"/>
  <c r="C133" i="27"/>
  <c r="C140" i="27"/>
  <c r="C262" i="27"/>
  <c r="C91" i="27"/>
  <c r="C86" i="27"/>
  <c r="C112" i="32"/>
  <c r="C132" i="27"/>
  <c r="C230" i="27"/>
  <c r="C14" i="32"/>
  <c r="C75" i="32"/>
  <c r="C121" i="32"/>
  <c r="C79" i="27"/>
  <c r="C241" i="27"/>
  <c r="C253" i="27"/>
  <c r="C184" i="27"/>
  <c r="C94" i="32"/>
  <c r="C161" i="27"/>
  <c r="C49" i="32"/>
  <c r="C87" i="32"/>
  <c r="C99" i="27"/>
  <c r="C248" i="27"/>
  <c r="C89" i="27"/>
  <c r="C168" i="27"/>
  <c r="C133" i="32"/>
  <c r="C130" i="27"/>
  <c r="C23" i="32"/>
  <c r="C78" i="27"/>
  <c r="C153" i="27"/>
  <c r="C126" i="32"/>
  <c r="C164" i="27"/>
  <c r="C92" i="32"/>
  <c r="C15" i="27"/>
  <c r="C93" i="32"/>
  <c r="C16" i="32"/>
  <c r="C254" i="27"/>
  <c r="C123" i="32"/>
  <c r="C127" i="27"/>
  <c r="C229" i="27"/>
  <c r="C252" i="27"/>
  <c r="C206" i="27"/>
  <c r="C103" i="27"/>
  <c r="C191" i="27"/>
  <c r="C65" i="27"/>
  <c r="C237" i="27"/>
  <c r="C132" i="32"/>
  <c r="C136" i="27"/>
  <c r="C104" i="32"/>
  <c r="C26" i="32"/>
  <c r="C36" i="32"/>
  <c r="C125" i="32"/>
  <c r="C100" i="27"/>
  <c r="C13" i="32"/>
  <c r="C115" i="27"/>
  <c r="C116" i="32"/>
  <c r="C156" i="27"/>
  <c r="C177" i="27"/>
  <c r="C10" i="32"/>
  <c r="C234" i="27"/>
  <c r="C109" i="32"/>
  <c r="C86" i="32"/>
  <c r="C51" i="32"/>
  <c r="C46" i="32"/>
  <c r="C148" i="27"/>
  <c r="C61" i="27"/>
  <c r="C63" i="27"/>
  <c r="C31" i="32"/>
  <c r="C93" i="27"/>
  <c r="C67" i="32"/>
  <c r="C103" i="32"/>
  <c r="C243" i="27"/>
  <c r="C95" i="27"/>
  <c r="C251" i="27"/>
  <c r="C265" i="27"/>
  <c r="C196" i="27"/>
  <c r="C142" i="27"/>
  <c r="C130" i="32"/>
  <c r="C97" i="32"/>
  <c r="C143" i="27"/>
  <c r="C50" i="32"/>
  <c r="C118" i="32"/>
  <c r="C121" i="27"/>
  <c r="C61" i="32"/>
  <c r="C207" i="27"/>
  <c r="C67" i="27"/>
  <c r="C127" i="32"/>
  <c r="C166" i="27"/>
  <c r="C63" i="32"/>
  <c r="C134" i="32"/>
  <c r="C195" i="27"/>
  <c r="C106" i="32"/>
  <c r="C59" i="32"/>
  <c r="C215" i="27"/>
  <c r="C136" i="32"/>
  <c r="C28" i="32"/>
  <c r="C62" i="27"/>
  <c r="C68" i="32"/>
  <c r="C96" i="27"/>
  <c r="C53" i="32"/>
  <c r="C182" i="27"/>
  <c r="C40" i="32"/>
  <c r="C42" i="32"/>
  <c r="C208" i="27"/>
  <c r="C240" i="27"/>
  <c r="C82" i="27"/>
  <c r="C43" i="32"/>
  <c r="C69" i="32"/>
  <c r="C21" i="32"/>
  <c r="C255" i="27"/>
  <c r="C74" i="32"/>
  <c r="C150" i="27"/>
  <c r="C38" i="32"/>
  <c r="C211" i="27"/>
  <c r="C163" i="27"/>
  <c r="C139" i="27"/>
  <c r="C154" i="27"/>
  <c r="C183" i="27"/>
  <c r="C124" i="27"/>
  <c r="C71" i="27"/>
  <c r="C158" i="27"/>
  <c r="C108" i="32"/>
  <c r="C225" i="27"/>
  <c r="C128" i="32"/>
  <c r="C96" i="32"/>
  <c r="C84" i="27"/>
  <c r="C126" i="27"/>
  <c r="C259" i="27"/>
  <c r="C218" i="27"/>
  <c r="C113" i="27"/>
  <c r="C190" i="27"/>
  <c r="C33" i="32"/>
  <c r="C238" i="27"/>
  <c r="C263" i="27"/>
  <c r="C84" i="32"/>
  <c r="C60" i="32"/>
  <c r="C89" i="32"/>
  <c r="C101" i="27"/>
  <c r="C157" i="27"/>
  <c r="C120" i="27"/>
  <c r="C249" i="27"/>
  <c r="C72" i="32"/>
  <c r="C214" i="27"/>
  <c r="C141" i="27"/>
  <c r="C216" i="27"/>
  <c r="C187" i="27"/>
  <c r="C242" i="27"/>
  <c r="C62" i="32"/>
  <c r="C232" i="27"/>
  <c r="C75" i="27"/>
  <c r="C77" i="27"/>
  <c r="C220" i="27"/>
  <c r="C35" i="32"/>
  <c r="C92" i="27"/>
  <c r="C79" i="32"/>
  <c r="C135" i="32"/>
  <c r="C15" i="32"/>
  <c r="C122" i="32"/>
  <c r="C138" i="27"/>
  <c r="C20" i="32"/>
  <c r="C102" i="32"/>
  <c r="C90" i="32"/>
  <c r="C188" i="27"/>
  <c r="C66" i="32"/>
  <c r="C119" i="27"/>
  <c r="C261" i="27"/>
  <c r="C105" i="32"/>
  <c r="C24" i="32"/>
  <c r="C12" i="32"/>
  <c r="C85" i="27"/>
  <c r="C65" i="32"/>
  <c r="C11" i="32"/>
  <c r="C22" i="32"/>
  <c r="C70" i="32"/>
  <c r="C114" i="32"/>
  <c r="C180" i="27"/>
  <c r="C146" i="27"/>
  <c r="C213" i="27"/>
  <c r="C98" i="27"/>
  <c r="C210" i="27"/>
  <c r="C83" i="27"/>
  <c r="C87" i="27"/>
  <c r="C64" i="32"/>
  <c r="C202" i="27"/>
  <c r="C170" i="27"/>
  <c r="C119" i="32"/>
  <c r="C81" i="27"/>
  <c r="C105" i="27"/>
  <c r="C30" i="32"/>
  <c r="C10" i="31"/>
  <c r="C115" i="32"/>
  <c r="C77" i="32"/>
  <c r="C212" i="27"/>
  <c r="C131" i="32"/>
  <c r="C41" i="32"/>
  <c r="C198" i="27"/>
  <c r="C266" i="27"/>
  <c r="C173" i="27"/>
  <c r="C58" i="32"/>
  <c r="C178" i="27"/>
  <c r="C107" i="32"/>
  <c r="C247" i="27"/>
  <c r="C88" i="27"/>
  <c r="C155" i="27"/>
  <c r="C239" i="27"/>
  <c r="C69" i="27"/>
  <c r="B70" i="27"/>
  <c r="B65" i="27"/>
  <c r="B263" i="27"/>
  <c r="B173" i="27"/>
  <c r="B21" i="32"/>
  <c r="B119" i="32"/>
  <c r="B225" i="27"/>
  <c r="B257" i="27"/>
  <c r="B240" i="27"/>
  <c r="B253" i="27"/>
  <c r="B66" i="27"/>
  <c r="B98" i="27"/>
  <c r="B132" i="27"/>
  <c r="B123" i="27"/>
  <c r="B186" i="27"/>
  <c r="B151" i="27"/>
  <c r="B172" i="27"/>
  <c r="B126" i="32"/>
  <c r="B65" i="32"/>
  <c r="B115" i="32"/>
  <c r="B17" i="27"/>
  <c r="B38" i="32"/>
  <c r="B43" i="32"/>
  <c r="B96" i="27"/>
  <c r="B83" i="27"/>
  <c r="B79" i="27"/>
  <c r="B105" i="27"/>
  <c r="B200" i="27"/>
  <c r="B264" i="27"/>
  <c r="B102" i="32"/>
  <c r="B23" i="32"/>
  <c r="B162" i="27"/>
  <c r="B73" i="27"/>
  <c r="B99" i="27"/>
  <c r="B97" i="27"/>
  <c r="B193" i="27"/>
  <c r="B80" i="27"/>
  <c r="B214" i="27"/>
  <c r="B62" i="32"/>
  <c r="B140" i="27"/>
  <c r="B115" i="27"/>
  <c r="B259" i="27"/>
  <c r="B93" i="32"/>
  <c r="B63" i="32"/>
  <c r="B91" i="32"/>
  <c r="B258" i="27"/>
  <c r="B107" i="32"/>
  <c r="B246" i="27"/>
  <c r="B122" i="27"/>
  <c r="B77" i="32"/>
  <c r="B56" i="32"/>
  <c r="B89" i="27"/>
  <c r="B95" i="32"/>
  <c r="B199" i="27"/>
  <c r="B84" i="27"/>
  <c r="B81" i="27"/>
  <c r="B224" i="27"/>
  <c r="B209" i="27"/>
  <c r="B105" i="32"/>
  <c r="B235" i="27"/>
  <c r="B118" i="32"/>
  <c r="B125" i="32"/>
  <c r="B69" i="32"/>
  <c r="B50" i="32"/>
  <c r="B197" i="27"/>
  <c r="B149" i="27"/>
  <c r="B88" i="27"/>
  <c r="B28" i="32"/>
  <c r="B226" i="27"/>
  <c r="B206" i="27"/>
  <c r="B260" i="27"/>
  <c r="B106" i="32"/>
  <c r="B16" i="32"/>
  <c r="B127" i="27"/>
  <c r="B131" i="27"/>
  <c r="B244" i="27"/>
  <c r="B146" i="27"/>
  <c r="B234" i="27"/>
  <c r="B233" i="27"/>
  <c r="B27" i="32"/>
  <c r="B12" i="32"/>
  <c r="B77" i="27"/>
  <c r="B238" i="27"/>
  <c r="B208" i="27"/>
  <c r="B114" i="27"/>
  <c r="B119" i="27"/>
  <c r="B110" i="32"/>
  <c r="B202" i="27"/>
  <c r="B78" i="32"/>
  <c r="B190" i="27"/>
  <c r="B117" i="27"/>
  <c r="B14" i="27"/>
  <c r="B138" i="27"/>
  <c r="B51" i="32"/>
  <c r="B142" i="27"/>
  <c r="B127" i="32"/>
  <c r="B201" i="27"/>
  <c r="B86" i="27"/>
  <c r="B211" i="27"/>
  <c r="B133" i="27"/>
  <c r="B116" i="32"/>
  <c r="B112" i="32"/>
  <c r="B164" i="27"/>
  <c r="B154" i="27"/>
  <c r="B120" i="27"/>
  <c r="B29" i="32"/>
  <c r="B227" i="27"/>
  <c r="B55" i="32"/>
  <c r="B61" i="32"/>
  <c r="B75" i="27"/>
  <c r="B96" i="32"/>
  <c r="B75" i="32"/>
  <c r="B189" i="27"/>
  <c r="B52" i="32"/>
  <c r="B160" i="27"/>
  <c r="B103" i="32"/>
  <c r="B82" i="32"/>
  <c r="B247" i="27"/>
  <c r="B104" i="27"/>
  <c r="B176" i="27"/>
  <c r="B136" i="32"/>
  <c r="B166" i="27"/>
  <c r="B89" i="32"/>
  <c r="B215" i="27"/>
  <c r="B143" i="27"/>
  <c r="B220" i="27"/>
  <c r="B25" i="32"/>
  <c r="B41" i="32"/>
  <c r="B135" i="32"/>
  <c r="B155" i="27"/>
  <c r="B70" i="32"/>
  <c r="B229" i="27"/>
  <c r="B104" i="32"/>
  <c r="B241" i="27"/>
  <c r="B92" i="32"/>
  <c r="B196" i="27"/>
  <c r="B15" i="27"/>
  <c r="B61" i="27"/>
  <c r="B74" i="27"/>
  <c r="B78" i="27"/>
  <c r="B116" i="27"/>
  <c r="B34" i="32"/>
  <c r="B133" i="32"/>
  <c r="B130" i="32"/>
  <c r="B85" i="27"/>
  <c r="B76" i="32"/>
  <c r="B192" i="27"/>
  <c r="B94" i="32"/>
  <c r="B237" i="27"/>
  <c r="B18" i="32"/>
  <c r="B31" i="32"/>
  <c r="B159" i="27"/>
  <c r="B71" i="27"/>
  <c r="B148" i="27"/>
  <c r="B245" i="27"/>
  <c r="B102" i="27"/>
  <c r="B112" i="27"/>
  <c r="B87" i="32"/>
  <c r="B256" i="27"/>
  <c r="B90" i="32"/>
  <c r="B108" i="32"/>
  <c r="B218" i="27"/>
  <c r="B248" i="27"/>
  <c r="B137" i="27"/>
  <c r="B165" i="27"/>
  <c r="B136" i="27"/>
  <c r="B121" i="27"/>
  <c r="B168" i="27"/>
  <c r="B131" i="32"/>
  <c r="B182" i="27"/>
  <c r="B262" i="27"/>
  <c r="B15" i="32"/>
  <c r="B120" i="32"/>
  <c r="B13" i="32"/>
  <c r="B63" i="27"/>
  <c r="B198" i="27"/>
  <c r="B145" i="27"/>
  <c r="B213" i="27"/>
  <c r="B216" i="27"/>
  <c r="B251" i="27"/>
  <c r="B87" i="27"/>
  <c r="B147" i="27"/>
  <c r="B255" i="27"/>
  <c r="B130" i="27"/>
  <c r="B128" i="27"/>
  <c r="B210" i="27"/>
  <c r="B242" i="27"/>
  <c r="B219" i="27"/>
  <c r="B17" i="32"/>
  <c r="B71" i="32"/>
  <c r="B72" i="27"/>
  <c r="B228" i="27"/>
  <c r="B187" i="27"/>
  <c r="B33" i="32"/>
  <c r="B231" i="27"/>
  <c r="B252" i="27"/>
  <c r="B92" i="27"/>
  <c r="B40" i="32"/>
  <c r="B205" i="27"/>
  <c r="B69" i="27"/>
  <c r="B230" i="27"/>
  <c r="B62" i="27"/>
  <c r="B135" i="27"/>
  <c r="B126" i="27"/>
  <c r="B175" i="27"/>
  <c r="B179" i="27"/>
  <c r="B170" i="27"/>
  <c r="B109" i="32"/>
  <c r="B249" i="27"/>
  <c r="B167" i="27"/>
  <c r="B103" i="27"/>
  <c r="B76" i="27"/>
  <c r="B46" i="32"/>
  <c r="B114" i="32"/>
  <c r="B82" i="27"/>
  <c r="B37" i="32"/>
  <c r="B139" i="27"/>
  <c r="B44" i="32"/>
  <c r="B53" i="32"/>
  <c r="B177" i="27"/>
  <c r="B73" i="32"/>
  <c r="B185" i="27"/>
  <c r="B254" i="27"/>
  <c r="B195" i="27"/>
  <c r="B111" i="32"/>
  <c r="B85" i="32"/>
  <c r="B113" i="32"/>
  <c r="B60" i="32"/>
  <c r="B181" i="27"/>
  <c r="B183" i="27"/>
  <c r="B67" i="27"/>
  <c r="B171" i="27"/>
  <c r="B84" i="32"/>
  <c r="B14" i="32"/>
  <c r="B128" i="32"/>
  <c r="B122" i="32"/>
  <c r="B109" i="27"/>
  <c r="B49" i="32"/>
  <c r="B98" i="32"/>
  <c r="B239" i="27"/>
  <c r="B97" i="32"/>
  <c r="B24" i="32"/>
  <c r="B129" i="27"/>
  <c r="B90" i="27"/>
  <c r="B212" i="27"/>
  <c r="B203" i="27"/>
  <c r="B207" i="27"/>
  <c r="B93" i="27"/>
  <c r="B217" i="27"/>
  <c r="B45" i="32"/>
  <c r="B174" i="27"/>
  <c r="B150" i="27"/>
  <c r="B64" i="32"/>
  <c r="B66" i="32"/>
  <c r="B64" i="27"/>
  <c r="B169" i="27"/>
  <c r="B157" i="27"/>
  <c r="B161" i="27"/>
  <c r="B222" i="27"/>
  <c r="B57" i="32"/>
  <c r="B125" i="27"/>
  <c r="B132" i="32"/>
  <c r="B10" i="32"/>
  <c r="B113" i="27"/>
  <c r="B137" i="32"/>
  <c r="B232" i="27"/>
  <c r="B47" i="32"/>
  <c r="B123" i="32"/>
  <c r="B204" i="27"/>
  <c r="B72" i="32"/>
  <c r="B86" i="32"/>
  <c r="B100" i="27"/>
  <c r="B180" i="27"/>
  <c r="B111" i="27"/>
  <c r="B94" i="27"/>
  <c r="B83" i="32"/>
  <c r="B91" i="27"/>
  <c r="B20" i="32"/>
  <c r="B10" i="31"/>
  <c r="B30" i="32"/>
  <c r="B124" i="32"/>
  <c r="B101" i="27"/>
  <c r="B67" i="32"/>
  <c r="B54" i="32"/>
  <c r="B221" i="27"/>
  <c r="B158" i="27"/>
  <c r="B108" i="27"/>
  <c r="B36" i="32"/>
  <c r="B134" i="32"/>
  <c r="B266" i="27"/>
  <c r="B48" i="32"/>
  <c r="B129" i="32"/>
  <c r="B153" i="27"/>
  <c r="B35" i="32"/>
  <c r="B32" i="32"/>
  <c r="B68" i="27"/>
  <c r="B19" i="32"/>
  <c r="B39" i="32"/>
  <c r="B188" i="27"/>
  <c r="B163" i="27"/>
  <c r="B81" i="32"/>
  <c r="B178" i="27"/>
  <c r="B121" i="32"/>
  <c r="B152" i="27"/>
  <c r="B117" i="32"/>
  <c r="B141" i="27"/>
  <c r="B106" i="27"/>
  <c r="B223" i="27"/>
  <c r="B265" i="27"/>
  <c r="B156" i="27"/>
  <c r="B88" i="32"/>
  <c r="B118" i="27"/>
  <c r="B95" i="27"/>
  <c r="B26" i="32"/>
  <c r="B250" i="27"/>
  <c r="B22" i="32"/>
  <c r="B59" i="32"/>
  <c r="B236" i="27"/>
  <c r="B99" i="32"/>
  <c r="B74" i="32"/>
  <c r="B42" i="32"/>
  <c r="B107" i="27"/>
  <c r="B68" i="32"/>
  <c r="B110" i="27"/>
  <c r="B261" i="27"/>
  <c r="B11" i="32"/>
  <c r="B79" i="32"/>
  <c r="B58" i="32"/>
  <c r="B80" i="32"/>
  <c r="B194" i="27"/>
  <c r="B184" i="27"/>
  <c r="B191" i="27"/>
  <c r="B124" i="27"/>
  <c r="B243" i="27"/>
  <c r="B144" i="27"/>
  <c r="B100" i="32"/>
  <c r="B101" i="32"/>
  <c r="B134" i="27"/>
</calcChain>
</file>

<file path=xl/comments1.xml><?xml version="1.0" encoding="utf-8"?>
<comments xmlns="http://schemas.openxmlformats.org/spreadsheetml/2006/main">
  <authors>
    <author>PPesantes</author>
    <author>Rosario Gamonal Diaz</author>
    <author>Juan Jose Cardenas</author>
  </authors>
  <commentList>
    <comment ref="N9" authorId="0" shapeId="0">
      <text>
        <r>
          <rPr>
            <sz val="8"/>
            <color indexed="81"/>
            <rFont val="Tahoma"/>
            <family val="2"/>
          </rPr>
          <t xml:space="preserve">Almacenar la última Fecha en la cual el RSIS fue Aprobado por el consultor
</t>
        </r>
      </text>
    </comment>
    <comment ref="O9" authorId="1" shapeId="0">
      <text>
        <r>
          <rPr>
            <sz val="9"/>
            <color indexed="81"/>
            <rFont val="Tahoma"/>
            <family val="2"/>
          </rPr>
          <t>Se calcula por fórmula</t>
        </r>
      </text>
    </comment>
    <comment ref="Q9" authorId="2" shapeId="0">
      <text>
        <r>
          <rPr>
            <b/>
            <sz val="8"/>
            <color indexed="81"/>
            <rFont val="Tahoma"/>
            <family val="2"/>
          </rPr>
          <t xml:space="preserve">Este campo es opcional
</t>
        </r>
      </text>
    </comment>
  </commentList>
</comments>
</file>

<file path=xl/comments2.xml><?xml version="1.0" encoding="utf-8"?>
<comments xmlns="http://schemas.openxmlformats.org/spreadsheetml/2006/main">
  <authors>
    <author>Rosario Gamonal Diaz</author>
    <author>PPesantes</author>
  </authors>
  <commentList>
    <comment ref="F9" authorId="0" shapeId="0">
      <text>
        <r>
          <rPr>
            <sz val="9"/>
            <color indexed="81"/>
            <rFont val="Tahoma"/>
            <family val="2"/>
          </rPr>
          <t>Seleccionar dependiendo de los criterios indicados en la Hoja "Instrucciones"</t>
        </r>
      </text>
    </comment>
    <comment ref="I9" authorId="1" shapeId="0">
      <text>
        <r>
          <rPr>
            <sz val="8"/>
            <color indexed="81"/>
            <rFont val="Tahoma"/>
            <family val="2"/>
          </rPr>
          <t xml:space="preserve">Almacenar la Fecha del Ultimo Cambio Aprobado
</t>
        </r>
      </text>
    </comment>
  </commentList>
</comments>
</file>

<file path=xl/comments3.xml><?xml version="1.0" encoding="utf-8"?>
<comments xmlns="http://schemas.openxmlformats.org/spreadsheetml/2006/main">
  <authors>
    <author>NP5375114</author>
  </authors>
  <commentList>
    <comment ref="C12" authorId="0" shapeId="0">
      <text>
        <r>
          <rPr>
            <sz val="8"/>
            <color indexed="81"/>
            <rFont val="Tahoma"/>
            <family val="2"/>
          </rPr>
          <t>Indica el código de Requerimiento (Usuario, Sistemas o No Funcionales)</t>
        </r>
      </text>
    </comment>
    <comment ref="E12" authorId="0" shapeId="0">
      <text>
        <r>
          <rPr>
            <sz val="8"/>
            <color indexed="81"/>
            <rFont val="Tahoma"/>
            <family val="2"/>
          </rPr>
          <t xml:space="preserve">Fecha de Registro de la observación
</t>
        </r>
      </text>
    </comment>
  </commentList>
</comments>
</file>

<file path=xl/sharedStrings.xml><?xml version="1.0" encoding="utf-8"?>
<sst xmlns="http://schemas.openxmlformats.org/spreadsheetml/2006/main" count="994" uniqueCount="467">
  <si>
    <t>Color</t>
  </si>
  <si>
    <t>Descripción</t>
  </si>
  <si>
    <t>Las celdas con este color de fondo, son celdas en las que se debe ingresar información</t>
  </si>
  <si>
    <t>Las celdas con este color de fondo o con fondo color blanco, son celdas de contenido fijo</t>
  </si>
  <si>
    <t>Iteración</t>
  </si>
  <si>
    <t>Situación</t>
  </si>
  <si>
    <t>Origen</t>
  </si>
  <si>
    <t>Sistema</t>
  </si>
  <si>
    <t>Módulo</t>
  </si>
  <si>
    <t>Contiene la lista oficial de requerimientos acordados y la lista de actores.</t>
  </si>
  <si>
    <t>Usuarios</t>
  </si>
  <si>
    <t>Lista usuarios</t>
  </si>
  <si>
    <t>Requerimientos de usuario</t>
  </si>
  <si>
    <t>Requerimientos no funcionales</t>
  </si>
  <si>
    <t>Id Req No Fun</t>
  </si>
  <si>
    <t>Descripción de requerimiento no funcional</t>
  </si>
  <si>
    <t>Contacto</t>
  </si>
  <si>
    <t>Dificultad</t>
  </si>
  <si>
    <t>Id Req Sistema</t>
  </si>
  <si>
    <t>Id Req Usuario</t>
  </si>
  <si>
    <t>Afecta arquitectura</t>
  </si>
  <si>
    <t>Descripción de requerimiento de sistema o use case</t>
  </si>
  <si>
    <t>Sub Módulo</t>
  </si>
  <si>
    <t>Id escenario</t>
  </si>
  <si>
    <t>Escenario</t>
  </si>
  <si>
    <t>Tipo de flujo</t>
  </si>
  <si>
    <t>Tipo requerimiento de sistema</t>
  </si>
  <si>
    <t>Tipo de desarrollo</t>
  </si>
  <si>
    <t>Requerimientos no funcionales específicos</t>
  </si>
  <si>
    <t>Descripción de requerimiento de usuario</t>
  </si>
  <si>
    <t>Atributo</t>
  </si>
  <si>
    <t>Descripción del atributo</t>
  </si>
  <si>
    <t>Valores</t>
  </si>
  <si>
    <t>Aplica a estos tipos de requerimiento</t>
  </si>
  <si>
    <t>Representa si el requerimiento es relevante para la arquitectura del sistema.
Usado para priorizar los requerimientos, los que son relevantes para la arquitectura deben ser desarrollados primero.</t>
  </si>
  <si>
    <t>RSIS</t>
  </si>
  <si>
    <t>Usado para estimaciones</t>
  </si>
  <si>
    <t>Estimaciones</t>
  </si>
  <si>
    <t>Representa el nombre de la persona que puede proveer información sobre el requerimiento.
Usado para asegurar que se cuenta con toda la información requerida para implementar el requerimiento.</t>
  </si>
  <si>
    <t>Texto</t>
  </si>
  <si>
    <t>RNOF, RSIS, RUSU</t>
  </si>
  <si>
    <t>Descripción corta del requerimiento en términos del sistema que se debe construir o mantener.
Usado como referencia rápida o breve descripción del documento donde está desarrollado el requerimiento.</t>
  </si>
  <si>
    <t>Descripción del requerimiento expresado por el usuario.
Usado como referencia rápida del requerimiento de usuario.</t>
  </si>
  <si>
    <t>RUSU</t>
  </si>
  <si>
    <t>Descripción del requerimiento no funcional. Usado como referencia rápida del requerimiento no funcional.</t>
  </si>
  <si>
    <t>RNOF</t>
  </si>
  <si>
    <t>Representa la descripción del escenario del requerimiento del sistema.
Usado como referencia rápida o breve descripción del escenario operacional del requerimiento del sistema descrito en detalle en el documento donde está desarrollado el requerimiento.</t>
  </si>
  <si>
    <t>Representa el número del escenario operacional del requerimiento de sistema.
Usado para saber cuantos escenarios tiene cada requerimiento de sistema.</t>
  </si>
  <si>
    <t>Representa el código único del requerimiento no funcional</t>
  </si>
  <si>
    <t>Representa el código único del requerimiento del sistema.
Usado como llave.</t>
  </si>
  <si>
    <t>Representa el código único del requerimiento de usuario que ha generado este requerimiento de sistema.
Usado como llave.</t>
  </si>
  <si>
    <t>RSIS, RUSU</t>
  </si>
  <si>
    <t>Representa la iteración en que el requerimiento será implementado.
Usado para planificar las iteraciones del proyecto</t>
  </si>
  <si>
    <t>Representa el módulo del sistema.
Usado para organizar el sistema en módulos.</t>
  </si>
  <si>
    <t>Representa la fuente del requerimiento.
Usado para validar el requerimiento con las personas o grupos afectados</t>
  </si>
  <si>
    <t>Representa el o los códigos de requerimientos no funcionales.
Usado para establecer una relación directa entre requerimientos del sistema y requerimientos no funcionales</t>
  </si>
  <si>
    <t>Lista de códigos únicos de requerimientos no funcionales asociados a este requerimiento del sistema</t>
  </si>
  <si>
    <t>Representa el nombre del sistema para el que se establece este requerimiento.
Usado para organizar los requerimientos.</t>
  </si>
  <si>
    <t>Representa el sub módulo de un módulo del sistema.
Usado para organizar el módulo en sub módulos.</t>
  </si>
  <si>
    <t>Representa el tipo de trabajo que es necesario hacer para implementar el requerimiento.
Usado en el análisis de impacto de requerimientos.</t>
  </si>
  <si>
    <t>Representa el tipo de programa que debe ser construido.
Usado para clasificar los requerimientos y planificar el trabajo.</t>
  </si>
  <si>
    <t>Valor</t>
  </si>
  <si>
    <t>Descripción del valor</t>
  </si>
  <si>
    <t>Deben ser implementados al final.</t>
  </si>
  <si>
    <t>Alta</t>
  </si>
  <si>
    <t>Media</t>
  </si>
  <si>
    <t>Baja</t>
  </si>
  <si>
    <t>Original</t>
  </si>
  <si>
    <t>Requerimiento que ha tenido ninguna solicitud de cambio.</t>
  </si>
  <si>
    <t>Cambio solicitado</t>
  </si>
  <si>
    <t>Requerimiento con una solicitud de cambio en curso.</t>
  </si>
  <si>
    <t>Cambiado</t>
  </si>
  <si>
    <t>El requerimiento ha cambiado producto de la aprobación de una solicitud de cambio.</t>
  </si>
  <si>
    <t>Eliminado</t>
  </si>
  <si>
    <t>Programa nuevo</t>
  </si>
  <si>
    <t>Para implementar el requerimiento se debe crear un nuevo programa.</t>
  </si>
  <si>
    <t>Programa modificado</t>
  </si>
  <si>
    <t>Para implementar el requerimiento se debe modificar un programa existente.</t>
  </si>
  <si>
    <t>Flujo principal</t>
  </si>
  <si>
    <t>Escenario lineal del requerimiento. Ejemplo,
Operación de retiro de dinero en cajero automático sin problemas ni excepciones.</t>
  </si>
  <si>
    <t>Flujo alternativo</t>
  </si>
  <si>
    <t>Escenarios alternativos del requerimiento. Ejemplo, 
Escenario 1: Cajero pierde la comunicación.
Escenario 2: La cuenta no tiene fondos suficientes.</t>
  </si>
  <si>
    <t>Proceso</t>
  </si>
  <si>
    <t>Consultas en pantalla, reportes, cualquier otro mecanismo de despliegue de información para el usuario.</t>
  </si>
  <si>
    <t>Requerimientos que representan las interfaces internas o externas al producto del proyecto.</t>
  </si>
  <si>
    <t>Diccionario de atributos de la Lista Maestra de Requerimientos</t>
  </si>
  <si>
    <t>Diccionario de valores de atributos de la Lista Maestra de Requerimientos</t>
  </si>
  <si>
    <t>Si</t>
  </si>
  <si>
    <t>No</t>
  </si>
  <si>
    <t>Representa el tipo de escenario operacional del requerimiento.
Usado para tipificar los flujos o escenarios de los requerimientos de sistemas.</t>
  </si>
  <si>
    <t>Iteración de puesta en producción. Si el desarrollo no es iterativo poner siempre 1.</t>
  </si>
  <si>
    <t>.</t>
  </si>
  <si>
    <t>Interactivo</t>
  </si>
  <si>
    <t>Reporte</t>
  </si>
  <si>
    <t>Requerimiento que aplica cálculos, algoritmos u otros procesamientos a los datos de entrada con la finalidad de producir un resultado intermedio o final.</t>
  </si>
  <si>
    <t>Interfaz externa</t>
  </si>
  <si>
    <t>Interfaz interna</t>
  </si>
  <si>
    <t>Es interfaz</t>
  </si>
  <si>
    <t>No es un requerimiento de interfaz</t>
  </si>
  <si>
    <t>Requerimiento de interfaz externa al producto del proyecto.</t>
  </si>
  <si>
    <t>Requerimiento de interfaz entre las partes de los internas del producto de proyecto.</t>
  </si>
  <si>
    <t>OT</t>
  </si>
  <si>
    <t>Versión</t>
  </si>
  <si>
    <t>Fecha</t>
  </si>
  <si>
    <t>Objetivo</t>
  </si>
  <si>
    <t>Instructivo</t>
  </si>
  <si>
    <t>Requerimientos de sistema</t>
  </si>
  <si>
    <t>Diccionario de atributos</t>
  </si>
  <si>
    <t>Lista de Usuarios</t>
  </si>
  <si>
    <t>Diccionario de atributos de la lista maestra de requerimientos</t>
  </si>
  <si>
    <t>Estos requerimientos adicionales que no representan una funcionalidad que deba ser construida en el producto del proyecto, pero que pueden afectar el desarrollo, ejemplo de esto son: Requerimientos de performance, de mantenibilidad, etc</t>
  </si>
  <si>
    <t>Estos requerimientos son un refinamiento de los requerimientos de usuario y reflejan lo que el producto a construir o modificar debe tener para satisfacer a los usuarios. Si el requerimiento de Usuario requiere la elaboración de uno o más script's, el analista de sistemas deberá detallar la funcionalidad de cada uno de ellos.</t>
  </si>
  <si>
    <t>Las celdas con este color de fondo, son celdas que se obtienen mediante fórmula.</t>
  </si>
  <si>
    <t>Línea de Producción:</t>
  </si>
  <si>
    <t>Contacto:</t>
  </si>
  <si>
    <t>RUSU001</t>
  </si>
  <si>
    <t>Fecha de Ultimo Cambio
Aprobado</t>
  </si>
  <si>
    <t>Usuarios (Opc)</t>
  </si>
  <si>
    <t>Dificultad (Opc)</t>
  </si>
  <si>
    <t>Prioridad (Opc)</t>
  </si>
  <si>
    <t>Descripción de requerimiento de sistema</t>
  </si>
  <si>
    <t>Id de Requerimientos no funcionales específicos (Opc)</t>
  </si>
  <si>
    <t>RSIS001</t>
  </si>
  <si>
    <t>ES001</t>
  </si>
  <si>
    <t>RSIS003</t>
  </si>
  <si>
    <t>Estabilidad</t>
  </si>
  <si>
    <t>Id Req Usuario Asociado</t>
  </si>
  <si>
    <t>Observaciones a la Lista Maestra de Requerimientos</t>
  </si>
  <si>
    <t>Tipo de requerimiento observado</t>
  </si>
  <si>
    <t>Id Requerimiento observado</t>
  </si>
  <si>
    <t>Observaciones a los requerimientos</t>
  </si>
  <si>
    <t xml:space="preserve">Representa el nivel de esfuerzo asociado al requerimiento.
</t>
  </si>
  <si>
    <t>Representa la probabilidad que el requerimiento No cambie.
Usado para establecer las prioridades del desarrollo y determinar si es necesaria mayor información sobre el requerimiento.</t>
  </si>
  <si>
    <t>RNOF, RUSU</t>
  </si>
  <si>
    <t>Propuesta u OT original</t>
  </si>
  <si>
    <t>Solicitud de Manejo de Cambios</t>
  </si>
  <si>
    <t>Representa si el requerimiento ha sido mantenido desde que fue incorporado al alcance del sistema.
Usado para determinar la volatilidad de los requerimientos</t>
  </si>
  <si>
    <t>Funcionalidad eliminada</t>
  </si>
  <si>
    <t>No es interfaz</t>
  </si>
  <si>
    <t>Fecha de Ultimo Cambio Aprobado</t>
  </si>
  <si>
    <t>Representa la fecha en que se aprobó por parte del consultor responsable el último cambio solicitado.
Tener en cuenta las siguientes consideraciones:
1. Todo requerimiento cuando es enviado por primera vez por el consultor, está en Situación "Original", y el cambio se mantiene en blanco.
2. Para el caso en que se ha solicitado un cambio a un requerimiento, pero este no fue aprobado, se mantiene con la última fecha de cambio aprobado o si es la primera vez que solicita el cambio la fecha se mantiene en blanco</t>
  </si>
  <si>
    <t>texto (fecha)</t>
  </si>
  <si>
    <t>No se tienen indicios o razones para esperar cambios en ellos. Se puede continuar con las siguientes fases del proyecto con ellos.</t>
  </si>
  <si>
    <t>Pueden cambiar, pero son lo suficientemente estables para proceder con las siguientes fases del proyecto con ellos.</t>
  </si>
  <si>
    <t>Se tienen indicios que pueden cambiar. Es necesario terminar de definirlos y autorizarlos antes de proceder con las siguientes etapas del trabajo.</t>
  </si>
  <si>
    <t>Propuesta original</t>
  </si>
  <si>
    <t>El requerimiento nació en la propuesta original.</t>
  </si>
  <si>
    <t>Comité de Manejo de Cambios</t>
  </si>
  <si>
    <t>El requerimiento nació durante la ejecución del proyecto producto de un manejo de cambios.</t>
  </si>
  <si>
    <t>El requerimiento ha sido descartado producto de una solicitud de cambio</t>
  </si>
  <si>
    <t>Funcionalidad Eliminada</t>
  </si>
  <si>
    <t>Para implementar el requerimiento se debe eliminar la funcionalidad descrita.</t>
  </si>
  <si>
    <t>Descripción Corta</t>
  </si>
  <si>
    <t>Descripción Larga</t>
  </si>
  <si>
    <t>Requerimientos de usuario (RUSU)</t>
  </si>
  <si>
    <t>Requerimientos del sistema (RSIS)</t>
  </si>
  <si>
    <t>Requerimientos no funcionales (RNOF)</t>
  </si>
  <si>
    <t>Altamente dificultoso, en términos de esfuerzo, dinero o riesgo que involucran. Se debe resolver al inicio si se implementan o se descartan.</t>
  </si>
  <si>
    <t>Dificultosos pero pueden resolverse sin exponer el proyecto a riesgos, deben ser atacados sólo después de que los requerimientos de dificultad alta han sido implementados o descartados.</t>
  </si>
  <si>
    <t>Programa con el que el usuario interactúa directamente, para labores como ingreso de datos, solicitud de impresión de reportes o cualquier otro mecanismo de captura de datos ejecutado por el usuario.</t>
  </si>
  <si>
    <t>Títulos de los campos.</t>
  </si>
  <si>
    <t>Hojas</t>
  </si>
  <si>
    <t>Columna</t>
  </si>
  <si>
    <t>Esta hoja</t>
  </si>
  <si>
    <t>Cabecera</t>
  </si>
  <si>
    <t>Detalle</t>
  </si>
  <si>
    <t>Hoja "Requerimientos de usuario"</t>
  </si>
  <si>
    <t>Línea de Producción</t>
  </si>
  <si>
    <t>Hoja "Requerimientos de sistema"</t>
  </si>
  <si>
    <t>Almacenar la Fecha del Ultimo Cambio Aprobado</t>
  </si>
  <si>
    <t>Este campo es opcional</t>
  </si>
  <si>
    <t>Hoja "Requerimientos no funcionales"</t>
  </si>
  <si>
    <t>Observaciones a la LR</t>
  </si>
  <si>
    <t>Observaciones a la Lista Maestra de Requerimientos.</t>
  </si>
  <si>
    <t>Hoja "Observaciones a la LR"</t>
  </si>
  <si>
    <t>Indica el código de Requerimiento (Usuario, Sistemas o No Funcionales)</t>
  </si>
  <si>
    <t>Fecha de Registro de la observación</t>
  </si>
  <si>
    <t>Hoja "Usuarios"</t>
  </si>
  <si>
    <t>Se registra el nombre de la línea de producción</t>
  </si>
  <si>
    <t>Se registra el nombre del contacto de la línea de producción o la persona asignada para el tema</t>
  </si>
  <si>
    <t>Se registra el número de la OT generada</t>
  </si>
  <si>
    <t>Se registra el código correlativo del requerimiento del usuario</t>
  </si>
  <si>
    <t>Se registra una breve descripción del requerimiento del usuario</t>
  </si>
  <si>
    <t>Se registra el nombre del sistema al que pertenece el requerimientos</t>
  </si>
  <si>
    <t>Almacena la fecha del último cambio realizado a la descripción del requerimiento</t>
  </si>
  <si>
    <t>Se registra el código correlativo del requerimiento del usuario, código generado en la hoja "Requerimientos de usuario"</t>
  </si>
  <si>
    <t>Se registra el código correlativo del requerimiento sistema.</t>
  </si>
  <si>
    <t>Breve descripción del requerimiento de sistemas.</t>
  </si>
  <si>
    <t>Representa el tipo de programa que debe ser construido.
Usado para clasificar los requerimientos y planificar el trabajo. Pueden ser del tipo: Proceso, Interactivo ó Reporte</t>
  </si>
  <si>
    <t>Breve descripción del escenario del requerimiento</t>
  </si>
  <si>
    <t>Representa el tipo de trabajo que es necesario hacer para implementar el requerimiento.
Usado en el análisis de impacto de requerimientos. Pueden ser: Programa nuevo, Programa modificado ó Funcionalidad eliminada</t>
  </si>
  <si>
    <t>Representa si el requerimiento es relevante para la arquitectura del sistema.
Usado para priorizar los requerimientos, los que son relevantes para la arquitectura deben ser desarrollados primero. Pueden ser: Si o No</t>
  </si>
  <si>
    <t>Representa la iteración en que el requerimiento será implementado.
Usado para planificar las iteraciones del proyecto.
Iteración de puesta en producción. Si el desarrollo no es iterativo poner siempre 1.</t>
  </si>
  <si>
    <t>Representa la probabilidad que el requerimiento No cambie.
Usado para establecer las prioridades del desarrollo y determinar si es necesaria mayor información sobre el requerimiento. Pueden ser: Alta, Media o Baja</t>
  </si>
  <si>
    <t>Representa si el requerimiento ha sido mantenido desde que fue incorporado al alcance del sistema.
Usado para determinar la volatilidad de los requerimientos, pueden ser: Original, Cambio solicitado, Cambiado o Eliminado</t>
  </si>
  <si>
    <t>Se registra el tipo de requerimiento observado, puede ser del tipo: RNOF, RSIS ó RUSU generado anteriormente en las horas hojas de este documento</t>
  </si>
  <si>
    <t>Descripción de la observación realizada a alguno de los tipos de requerimientos seleccionados</t>
  </si>
  <si>
    <t>Código, siglas o abreviatura del nombre del usuario</t>
  </si>
  <si>
    <t>Nombre largo del usuario</t>
  </si>
  <si>
    <t>Requerimientos de usuario (RUSU) Estos son los requerimientos que reflejan las necesidades de los usuarios. Descomposición de lo que viene expresado en el OT.
Esta información tendrá que ser la misma referenciada en la Herramienta de Trabajo "Harvest"</t>
  </si>
  <si>
    <t>Juicio Experto - Tiempo en horas de construcción</t>
  </si>
  <si>
    <t>Sssss</t>
  </si>
  <si>
    <t>Item</t>
  </si>
  <si>
    <t>Eddy Hernani</t>
  </si>
  <si>
    <t>Marlene Morales</t>
  </si>
  <si>
    <t>Ramiro Cometivos</t>
  </si>
  <si>
    <t xml:space="preserve">Representa si el requerimiento ha sido mantenido desde que fue incorporado al alcance del sistema.
Usado para determinar la volatilidad de los requerimientos.
Pueden ser: Original, Cambio solicitado, Cambiado o Eliminado
Considerar:
* Original: debe aparecer por defecto, ya que es la primera versión de la OT (cuando se crea).
* Cambio solicitado: Es cuando el consultor observa el requerimiento, y nos proporciona el sustento técnico
* Cambiado: cuando el consultor sólo nos observa, y GMD proporciona la solución
* Eliminado: es cuando el requerimiento ha sido desestimado. </t>
  </si>
  <si>
    <t xml:space="preserve">Representa si el requerimiento ha sido mantenido desde que fue incorporado al alcance del sistema.
Usado para determinar la volatilidad de los requerimientos, pueden ser: Original, Cambio solicitado, Cambiado o Eliminado.
Considerar:
* Original: debe aparecer por defecto, ya que es la primera versión de la OT (cuando se crea).
* Cambio solicitado: Es cuando el consultor observa el requerimiento, y nos proporciona el sustento técnico
* Cambiado: cuando el consultor sólo nos observa, y GMD proporciona la solución
* Eliminado: es cuando el requerimiento ha sido desestimado. </t>
  </si>
  <si>
    <t xml:space="preserve">Representa el tipo de escenario operacional del requerimiento.
Usado para tipificar los flujos o escenarios de los requerimientos de sistemas. Pueden ser: Flujo principal o Flujo alternativo
Se debe considerar, por defecto Flujo principal
</t>
  </si>
  <si>
    <t xml:space="preserve">Identifica el código de escenario que se genera.
Se debe considerar, los escenarios que se van a considerar en el Caso de Prueba, la nomenclatura es: ES00X
</t>
  </si>
  <si>
    <t xml:space="preserve">Requerimientos que representan las interfaces internas o externas al producto del proyecto. Pueden ser: No es interfaz, Interfaz externa ó Interfaz interna
Se debe considerar, por defecto que No es interfaz
* Interfaz externa: Aplicaciones que no son de Integra (SUCAVE, AFPNET, etc)
* Interfaz interna: Otras aplicaciones con las cuales tiene relación (por ejemplo si se está trabajando una OT de Beneficios y tiene que interrelacionarse con Cobranzas)
</t>
  </si>
  <si>
    <t>RSIS002</t>
  </si>
  <si>
    <t>LP01</t>
  </si>
  <si>
    <t>Se registra el código del usuario que esta referenciado al requerimiento</t>
  </si>
  <si>
    <t xml:space="preserve">Este campo sumará las horas correspondientes a los RSIS relacionados al RUSU.  </t>
  </si>
  <si>
    <t>OC</t>
  </si>
  <si>
    <t>Gissela Mancilla</t>
  </si>
  <si>
    <t>Plantilla de lista maestra de requerimientos para mantenimiento</t>
  </si>
  <si>
    <t>Líneas</t>
  </si>
  <si>
    <t>LP02</t>
  </si>
  <si>
    <t>LP03</t>
  </si>
  <si>
    <t>LP04</t>
  </si>
  <si>
    <t>LP05</t>
  </si>
  <si>
    <t>LP06</t>
  </si>
  <si>
    <t>César Villar</t>
  </si>
  <si>
    <t>Diego Mori</t>
  </si>
  <si>
    <t>Equipo Desarrollo</t>
  </si>
  <si>
    <t>AFIL</t>
  </si>
  <si>
    <t>BENE</t>
  </si>
  <si>
    <t>BONO</t>
  </si>
  <si>
    <t>CAJA</t>
  </si>
  <si>
    <t>CNTB</t>
  </si>
  <si>
    <t>COBR</t>
  </si>
  <si>
    <t>COMI</t>
  </si>
  <si>
    <t>COTZ</t>
  </si>
  <si>
    <t>ECTA</t>
  </si>
  <si>
    <t>IVR</t>
  </si>
  <si>
    <t>LAVA</t>
  </si>
  <si>
    <t>MELE</t>
  </si>
  <si>
    <t>NUL</t>
  </si>
  <si>
    <t>PEXC</t>
  </si>
  <si>
    <t>REC</t>
  </si>
  <si>
    <t>RIN</t>
  </si>
  <si>
    <t>ROUT</t>
  </si>
  <si>
    <t>SCLI</t>
  </si>
  <si>
    <t>SCOM</t>
  </si>
  <si>
    <t>SEGM</t>
  </si>
  <si>
    <t>SINV</t>
  </si>
  <si>
    <t>SIST</t>
  </si>
  <si>
    <t>SISW</t>
  </si>
  <si>
    <t>SVEN</t>
  </si>
  <si>
    <t>TIN</t>
  </si>
  <si>
    <t>TRAM</t>
  </si>
  <si>
    <t>WEB</t>
  </si>
  <si>
    <t>Total Horas</t>
  </si>
  <si>
    <t>Se registra el número de la Orden de Cambio generada.</t>
  </si>
  <si>
    <t>Se registra el número de la OT generada.</t>
  </si>
  <si>
    <t>Este campo sumará el total de horas que se han calculado en la lista maetra de requerimientos.</t>
  </si>
  <si>
    <t>Se registra el número de la OC generada.</t>
  </si>
  <si>
    <t>Se registra el número de la OC  generada.</t>
  </si>
  <si>
    <t>Tabla</t>
  </si>
  <si>
    <t>Contiene Líneas de Producción, lista de aplicaciones y autor del registro.</t>
  </si>
  <si>
    <t>Fecha de Último Cambio
Aprobado</t>
  </si>
  <si>
    <t>Mónica Marallano</t>
  </si>
  <si>
    <t>HISTORIAL DE LAS REVISIONES</t>
  </si>
  <si>
    <t>Autor</t>
  </si>
  <si>
    <t>Estado</t>
  </si>
  <si>
    <t>Responsable de Revisión y/o Aprobación</t>
  </si>
  <si>
    <t>Equipo Implementador SWF</t>
  </si>
  <si>
    <t>Creación de la plantilla.</t>
  </si>
  <si>
    <t>En revisión</t>
  </si>
  <si>
    <t>Jefe de Fábrica</t>
  </si>
  <si>
    <t>Aprobado</t>
  </si>
  <si>
    <t>Se agregó último logo de GMD, campo OC y datos de los líderes o Equipo Desarrollo.</t>
  </si>
  <si>
    <t>Carmen Santa Cruz</t>
  </si>
  <si>
    <t>Se agrega el Historial_Revisiones (versionamiento de la plantilla).</t>
  </si>
  <si>
    <t>Alicia Pineda</t>
  </si>
  <si>
    <t>ACRE</t>
  </si>
  <si>
    <t>CNCT</t>
  </si>
  <si>
    <t>WM</t>
  </si>
  <si>
    <t>LQP</t>
  </si>
  <si>
    <t>Código</t>
  </si>
  <si>
    <t>Aplicación</t>
  </si>
  <si>
    <t>Cod_Aplic</t>
  </si>
  <si>
    <t>Acreditación</t>
  </si>
  <si>
    <t>Beneficios y Pensiones</t>
  </si>
  <si>
    <t>Bono de Reconocimiento</t>
  </si>
  <si>
    <t>Contabilidad</t>
  </si>
  <si>
    <t>Cobranzas</t>
  </si>
  <si>
    <t>Sistema Comisiones (RRHH)</t>
  </si>
  <si>
    <t>Recaudo y Cotización</t>
  </si>
  <si>
    <t>Estados de Cuenta</t>
  </si>
  <si>
    <t>IVR - Contact Center</t>
  </si>
  <si>
    <t>MELER</t>
  </si>
  <si>
    <t>Nulidad</t>
  </si>
  <si>
    <t>Reclamos</t>
  </si>
  <si>
    <t>Rezagos IN</t>
  </si>
  <si>
    <t>Rezagos OUT</t>
  </si>
  <si>
    <t>Servicio al Cliente</t>
  </si>
  <si>
    <t>Soporte de Ventas</t>
  </si>
  <si>
    <t>Tramites Previsionales</t>
  </si>
  <si>
    <t>Web Integra</t>
  </si>
  <si>
    <t>Wealth Management</t>
  </si>
  <si>
    <t>Afiliación y Traspasos</t>
  </si>
  <si>
    <t>Contact Center</t>
  </si>
  <si>
    <t>Caja / Bancos</t>
  </si>
  <si>
    <t>Lavado de dinero</t>
  </si>
  <si>
    <t>Pagos en Exceso (AS/400)</t>
  </si>
  <si>
    <t>PPO</t>
  </si>
  <si>
    <t>Plan de pensión optima</t>
  </si>
  <si>
    <t>Comercial (AS/400)</t>
  </si>
  <si>
    <t>Segmentación</t>
  </si>
  <si>
    <t>Seguimiento a Promotores en Investigación</t>
  </si>
  <si>
    <t>Utilitarios de Sistemas</t>
  </si>
  <si>
    <t>Utilitarios de Sistemas - Web</t>
  </si>
  <si>
    <t xml:space="preserve">Traspasos </t>
  </si>
  <si>
    <t>Revisores</t>
  </si>
  <si>
    <t>Versión Aprobada</t>
  </si>
  <si>
    <t>Nombre</t>
  </si>
  <si>
    <t>Cargo / Rol</t>
  </si>
  <si>
    <t>Equipo Calidad</t>
  </si>
  <si>
    <t>Referencia del Cambio</t>
  </si>
  <si>
    <t>Registro de Cambios</t>
  </si>
  <si>
    <t>Se agrega la hoja con el Registro de Cambio y Revisores</t>
  </si>
  <si>
    <t>Cynthia Aniya</t>
  </si>
  <si>
    <t>María Torres</t>
  </si>
  <si>
    <t>7.7.5.1.01.R13</t>
  </si>
  <si>
    <t>OM-358: Actualización por observación de la auditoría externa ISO 9001</t>
  </si>
  <si>
    <t>Versión: 5.0</t>
  </si>
  <si>
    <t>Representa el nivel de esfuerzo asociado al requerimiento. Pueden ser: Alta, Media o Baja. El valor a seleccionar dependerá del tiempo de ejecución del requerimiento no funcional, pudiendo ser:
Si se está desarrollando un nuevo programa:
Alta: Si el tiempo de construcción es &gt; 10.
Media: Si el tiempo de construcción es &gt; 6 y &lt;=10.
Baja: Si el tiempo de construcción es &lt;=6.
Si se está modificando un programa:
Alta: Si el tiempo de construcción es &gt; 8.
Media: Si el tiempo de construcción es &gt; 4 y &lt;=8.
Baja: Si el tiempo de construcción es &lt;=4.</t>
  </si>
  <si>
    <t>Representa el nivel de esfuerzo asociado al requerimiento. Pueden ser: Alta, Media o Baja, dependiendo de los siguientes criterios:
Si el campo "Tipo de Desarrollo" es Programa nuevo:
Alta: Si  el valor de la columna "Juicio Experto - Tiempo en horas de construcción" es &gt; 10.
Media: Si  el valor de la columna "Juicio Experto - Tiempo en horas de construcción" es &gt; 6 y &lt;=10.
Baja: Si  el valor de la columna "Juicio Experto - Tiempo en horas de construcción" es &lt;=6.
Si el campo "Tipo de Desarrollo" es Programa modificado:
Alta: Si  el valor de la columna "Juicio Experto - Tiempo en horas de construcción" es &gt; 8.
Media: Si  el valor de la columna "Juicio Experto - Tiempo en horas de construcción" es &gt; 4 y &lt;=8.
Baja: Si  el valor de la columna "Juicio Experto - Tiempo en horas de construcción" es &lt;=4.
Si el campo "Tipo de Desarrollo" es Funcionalidad eliminada, la Dificultad es Baja.
El valor de este campo es calculado automáticamente.</t>
  </si>
  <si>
    <t>Complejidad</t>
  </si>
  <si>
    <t>Modificado</t>
  </si>
  <si>
    <t>Maximo</t>
  </si>
  <si>
    <t>Programa Nuevo</t>
  </si>
  <si>
    <t>&gt;10</t>
  </si>
  <si>
    <t>&gt;8</t>
  </si>
  <si>
    <t>Rosario Gamonal</t>
  </si>
  <si>
    <t>Raul Salazar</t>
  </si>
  <si>
    <t>Cynthia Aniya
Raul Salazar</t>
  </si>
  <si>
    <t>Fecha: 23/07/2015</t>
  </si>
  <si>
    <t>William Ccucho</t>
  </si>
  <si>
    <t xml:space="preserve">FUERA DE ALCANCE </t>
  </si>
  <si>
    <t>Id</t>
  </si>
  <si>
    <t>Solicitado</t>
  </si>
  <si>
    <t>Fuera de Alcance</t>
  </si>
  <si>
    <t>DEPENDENCIAS</t>
  </si>
  <si>
    <t>Fechas</t>
  </si>
  <si>
    <t>OT/Proyecto/Otros</t>
  </si>
  <si>
    <t>Dependencia</t>
  </si>
  <si>
    <t>Empresa</t>
  </si>
  <si>
    <t>Inicio</t>
  </si>
  <si>
    <t>Fin</t>
  </si>
  <si>
    <t>Frecuencia</t>
  </si>
  <si>
    <t>CONDICIONES</t>
  </si>
  <si>
    <t>Condiciones</t>
  </si>
  <si>
    <t>Edgar Lopez</t>
  </si>
  <si>
    <t>FONF</t>
  </si>
  <si>
    <t>Fondo Fijo</t>
  </si>
  <si>
    <t>Liquidaciones previas</t>
  </si>
  <si>
    <t>NPS</t>
  </si>
  <si>
    <t>Net Promotors Score</t>
  </si>
  <si>
    <t>SGPR</t>
  </si>
  <si>
    <t>Seguimiento de Procesos</t>
  </si>
  <si>
    <t>Jim Maguhn</t>
  </si>
  <si>
    <t>Carlos Cardenas</t>
  </si>
  <si>
    <t>Luis Marcilla</t>
  </si>
  <si>
    <t>Proyecto-Diego Mori</t>
  </si>
  <si>
    <t>Fabiola Diaz</t>
  </si>
  <si>
    <t>SAC</t>
  </si>
  <si>
    <t>Sistema de Administración de Casos</t>
  </si>
  <si>
    <t>Luis Polo</t>
  </si>
  <si>
    <t>Carla Avendaño</t>
  </si>
  <si>
    <t>Nicanor Vega</t>
  </si>
  <si>
    <t>PROCESO DE INGENIERÍA</t>
  </si>
  <si>
    <t>CONFIDENCIAL</t>
  </si>
  <si>
    <t>Versión: 2.0</t>
  </si>
  <si>
    <t>Fecha:  07/05/2019</t>
  </si>
  <si>
    <t>DS.F.178  ICO-Lista Maestra de Requerimientos_INTEGRA</t>
  </si>
  <si>
    <t>ACRE-Acreditación</t>
  </si>
  <si>
    <t>AFIL-Afiliación y Traspasos</t>
  </si>
  <si>
    <t>BENE-Beneficios y Pensiones</t>
  </si>
  <si>
    <t>BONO-Bono de Reconocimiento</t>
  </si>
  <si>
    <t>CAJA-Caja / Bancos</t>
  </si>
  <si>
    <t>CNCT-Contact Center</t>
  </si>
  <si>
    <t>CNTB-Contabilidad</t>
  </si>
  <si>
    <t>COBR-Cobranzas</t>
  </si>
  <si>
    <t>COMI-Sistema Comisiones (RRHH)</t>
  </si>
  <si>
    <t>COTZ-Recaudo y Cotización</t>
  </si>
  <si>
    <t>ECTA-Estados de Cuenta</t>
  </si>
  <si>
    <t>FONF-Fondo Fijo</t>
  </si>
  <si>
    <t>IVR-IVR - Contact Center</t>
  </si>
  <si>
    <t>LAVA-Lavado de dinero</t>
  </si>
  <si>
    <t>LQP-Liquidaciones previas</t>
  </si>
  <si>
    <t>MELE-MELER</t>
  </si>
  <si>
    <t>NPS-Net Promotors Score</t>
  </si>
  <si>
    <t>NUL-Nulidad</t>
  </si>
  <si>
    <t>PEXC-Pagos en Exceso (AS/400)</t>
  </si>
  <si>
    <t>PPO-Plan de pensión optima</t>
  </si>
  <si>
    <t>REC-Reclamos</t>
  </si>
  <si>
    <t>RIN-Rezagos IN</t>
  </si>
  <si>
    <t>ROUT-Rezagos OUT</t>
  </si>
  <si>
    <t>SAC-Sistema de Administración de Casos</t>
  </si>
  <si>
    <t>SCLI-Servicio al Cliente</t>
  </si>
  <si>
    <t>SCOM-Comercial (AS/400)</t>
  </si>
  <si>
    <t>SEGM-Segmentación</t>
  </si>
  <si>
    <t>SGPR-Seguimiento de Procesos</t>
  </si>
  <si>
    <t>SINV-Seguimiento a Promotores en Investigación</t>
  </si>
  <si>
    <t>SIST-Utilitarios de Sistemas</t>
  </si>
  <si>
    <t>SISW-Utilitarios de Sistemas - Web</t>
  </si>
  <si>
    <t>SVEN-Soporte de Ventas</t>
  </si>
  <si>
    <t xml:space="preserve">TIN-Traspasos </t>
  </si>
  <si>
    <t>TRAM-Tramites Previsionales</t>
  </si>
  <si>
    <t>WEB-Web Integra</t>
  </si>
  <si>
    <t>WM-Wealth Management</t>
  </si>
  <si>
    <t>CRHO</t>
  </si>
  <si>
    <t>Consultas de Recursos Humanos Horizonte</t>
  </si>
  <si>
    <t>CRHO-Consultas de Recursos Humanos Horizonte</t>
  </si>
  <si>
    <t>Creación de Documento</t>
  </si>
  <si>
    <t>Manuel Zapata</t>
  </si>
  <si>
    <t>Bryan Ochoa</t>
  </si>
  <si>
    <t>RUSU002</t>
  </si>
  <si>
    <t>RUSU003</t>
  </si>
  <si>
    <t>Base de Datos AS400</t>
  </si>
  <si>
    <t>BD AS400</t>
  </si>
  <si>
    <t>Servicio de consultas de RENIEC</t>
  </si>
  <si>
    <t>Servicio RENIEC</t>
  </si>
  <si>
    <t>RSIS004</t>
  </si>
  <si>
    <t>RSIS005</t>
  </si>
  <si>
    <t>RSIS006</t>
  </si>
  <si>
    <t>RSIS007</t>
  </si>
  <si>
    <t>RUSU004</t>
  </si>
  <si>
    <t>Envio del reporte final</t>
  </si>
  <si>
    <t>ES002</t>
  </si>
  <si>
    <t>ES003</t>
  </si>
  <si>
    <t>ES004</t>
  </si>
  <si>
    <t>RUSU005</t>
  </si>
  <si>
    <t>SAP Logon</t>
  </si>
  <si>
    <t>SAP</t>
  </si>
  <si>
    <t>Obtener reporte de Solicitudes de Pedidos</t>
  </si>
  <si>
    <t>Filtrar y validar data</t>
  </si>
  <si>
    <t>Crear pedido</t>
  </si>
  <si>
    <t>Guardar pedido</t>
  </si>
  <si>
    <t>Generar reporte final</t>
  </si>
  <si>
    <t>Iniciar Sesion en SAP</t>
  </si>
  <si>
    <t>Ingresar a la transacción para visualizar solicitudes</t>
  </si>
  <si>
    <t>Colocar el alcance y los check</t>
  </si>
  <si>
    <t>Tomar los valores</t>
  </si>
  <si>
    <t>Guardar reporte en carpeta temporal</t>
  </si>
  <si>
    <t>Realizar la lectura de data del reporte</t>
  </si>
  <si>
    <t>Filtrar la data por pedido vacio y status</t>
  </si>
  <si>
    <t>Validar proveedor deseado</t>
  </si>
  <si>
    <t>Validar por valores maximos de USD y PEN</t>
  </si>
  <si>
    <t>Guardar data validada</t>
  </si>
  <si>
    <t>Leer data validada</t>
  </si>
  <si>
    <t>Ingresar a la transacción de creación de pedidos</t>
  </si>
  <si>
    <t>Validar si existen más de un pedido por solicitud</t>
  </si>
  <si>
    <t>Seleccionar lista desglose</t>
  </si>
  <si>
    <t>Cambiar el tipo de moneda si es necesario</t>
  </si>
  <si>
    <t>Colocar el indicador</t>
  </si>
  <si>
    <t>Validar indicador colocado</t>
  </si>
  <si>
    <t>Dar click en guardar pedido</t>
  </si>
  <si>
    <t>Guardar y crear pedido</t>
  </si>
  <si>
    <t>Almacenar numero de pedido generado</t>
  </si>
  <si>
    <t>Asignar número de pedido a la solicitud del reporte final</t>
  </si>
  <si>
    <t>Guardar reporte en el archivo excel final</t>
  </si>
  <si>
    <t>Almacenar archivo final en carpeta compartida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</si>
</sst>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_([$€]\ * #,##0.00_);_([$€]\ * \(#,##0.00\);_([$€]\ * &quot;-&quot;??_);_(@_)"/>
    <numFmt numFmtId="166" formatCode="ddd\ dd/mm/yy"/>
  </numFmts>
  <fonts count="38">
    <font>
      <sz val="10"/>
      <name val="Arial"/>
    </font>
    <font>
      <sz val="11"/>
      <color theme="1"/>
      <name val="Calibri"/>
      <family val="2"/>
      <scheme val="minor"/>
    </font>
    <font>
      <sz val="10"/>
      <name val="Arial"/>
      <family val="2"/>
    </font>
    <font>
      <sz val="8"/>
      <name val="Arial"/>
      <family val="2"/>
    </font>
    <font>
      <b/>
      <sz val="10"/>
      <name val="Arial"/>
      <family val="2"/>
    </font>
    <font>
      <b/>
      <sz val="14"/>
      <name val="Arial"/>
      <family val="2"/>
    </font>
    <font>
      <sz val="9"/>
      <color indexed="10"/>
      <name val="Geneva"/>
    </font>
    <font>
      <b/>
      <sz val="10"/>
      <color indexed="9"/>
      <name val="Arial"/>
      <family val="2"/>
    </font>
    <font>
      <b/>
      <sz val="8"/>
      <color indexed="81"/>
      <name val="Tahoma"/>
      <family val="2"/>
    </font>
    <font>
      <sz val="10"/>
      <name val="Arial"/>
      <family val="2"/>
    </font>
    <font>
      <sz val="9"/>
      <color indexed="8"/>
      <name val="Arial"/>
      <family val="2"/>
    </font>
    <font>
      <sz val="8"/>
      <color indexed="81"/>
      <name val="Tahoma"/>
      <family val="2"/>
    </font>
    <font>
      <i/>
      <sz val="10"/>
      <name val="Arial"/>
      <family val="2"/>
    </font>
    <font>
      <sz val="10"/>
      <name val="Arial"/>
      <family val="2"/>
    </font>
    <font>
      <sz val="9"/>
      <name val="Arial"/>
      <family val="2"/>
    </font>
    <font>
      <sz val="9"/>
      <color indexed="10"/>
      <name val="Arial"/>
      <family val="2"/>
    </font>
    <font>
      <b/>
      <sz val="9"/>
      <name val="Arial"/>
      <family val="2"/>
    </font>
    <font>
      <b/>
      <sz val="9"/>
      <color indexed="9"/>
      <name val="Arial"/>
      <family val="2"/>
    </font>
    <font>
      <sz val="9"/>
      <color indexed="12"/>
      <name val="Arial"/>
      <family val="2"/>
    </font>
    <font>
      <b/>
      <sz val="9"/>
      <color indexed="12"/>
      <name val="Arial"/>
      <family val="2"/>
    </font>
    <font>
      <b/>
      <sz val="9"/>
      <color indexed="10"/>
      <name val="Arial"/>
      <family val="2"/>
    </font>
    <font>
      <b/>
      <u/>
      <sz val="9"/>
      <name val="Arial"/>
      <family val="2"/>
    </font>
    <font>
      <sz val="9"/>
      <color indexed="10"/>
      <name val="Geneva"/>
      <family val="2"/>
    </font>
    <font>
      <b/>
      <sz val="12"/>
      <name val="Arial"/>
      <family val="2"/>
    </font>
    <font>
      <b/>
      <sz val="8"/>
      <name val="Arial"/>
      <family val="2"/>
    </font>
    <font>
      <sz val="8"/>
      <name val="Geneva"/>
      <family val="2"/>
    </font>
    <font>
      <sz val="9"/>
      <name val="Geneva"/>
      <family val="2"/>
    </font>
    <font>
      <sz val="9"/>
      <color indexed="81"/>
      <name val="Tahoma"/>
      <family val="2"/>
    </font>
    <font>
      <sz val="11"/>
      <color theme="1"/>
      <name val="Calibri"/>
      <family val="2"/>
      <scheme val="minor"/>
    </font>
    <font>
      <b/>
      <sz val="10"/>
      <color theme="1"/>
      <name val="Arial"/>
      <family val="2"/>
    </font>
    <font>
      <sz val="10"/>
      <color theme="1"/>
      <name val="Arial"/>
      <family val="2"/>
    </font>
    <font>
      <sz val="10"/>
      <color rgb="FF0000FF"/>
      <name val="Arial"/>
      <family val="2"/>
    </font>
    <font>
      <b/>
      <sz val="9"/>
      <color theme="1"/>
      <name val="Arial"/>
      <family val="2"/>
    </font>
    <font>
      <sz val="10"/>
      <color rgb="FF3333CC"/>
      <name val="Arial"/>
      <family val="2"/>
    </font>
    <font>
      <b/>
      <sz val="10"/>
      <color theme="0"/>
      <name val="Arial"/>
      <family val="2"/>
    </font>
    <font>
      <sz val="9"/>
      <name val="Geneva"/>
    </font>
    <font>
      <u/>
      <sz val="10"/>
      <name val="Arial"/>
      <family val="2"/>
    </font>
    <font>
      <u/>
      <sz val="10"/>
      <color theme="1"/>
      <name val="Arial"/>
      <family val="2"/>
    </font>
  </fonts>
  <fills count="11">
    <fill>
      <patternFill patternType="none"/>
    </fill>
    <fill>
      <patternFill patternType="gray125"/>
    </fill>
    <fill>
      <patternFill patternType="solid">
        <fgColor indexed="55"/>
        <bgColor indexed="64"/>
      </patternFill>
    </fill>
    <fill>
      <patternFill patternType="solid">
        <fgColor indexed="9"/>
        <bgColor indexed="64"/>
      </patternFill>
    </fill>
    <fill>
      <patternFill patternType="solid">
        <fgColor indexed="22"/>
        <bgColor indexed="64"/>
      </patternFill>
    </fill>
    <fill>
      <patternFill patternType="solid">
        <fgColor indexed="22"/>
        <bgColor indexed="22"/>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969696"/>
        <bgColor indexed="64"/>
      </patternFill>
    </fill>
    <fill>
      <patternFill patternType="solid">
        <fgColor rgb="FF00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2"/>
      </right>
      <top style="thin">
        <color indexed="64"/>
      </top>
      <bottom style="thin">
        <color indexed="64"/>
      </bottom>
      <diagonal/>
    </border>
    <border>
      <left style="thin">
        <color indexed="62"/>
      </left>
      <right style="thin">
        <color indexed="62"/>
      </right>
      <top style="thin">
        <color indexed="64"/>
      </top>
      <bottom style="thin">
        <color indexed="64"/>
      </bottom>
      <diagonal/>
    </border>
    <border>
      <left style="thin">
        <color indexed="62"/>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s>
  <cellStyleXfs count="43">
    <xf numFmtId="0" fontId="0"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xf numFmtId="0" fontId="22" fillId="0" borderId="0"/>
    <xf numFmtId="0" fontId="22" fillId="0" borderId="0"/>
    <xf numFmtId="0" fontId="22" fillId="0" borderId="0"/>
    <xf numFmtId="0" fontId="22" fillId="0" borderId="0"/>
    <xf numFmtId="0" fontId="22" fillId="0" borderId="0"/>
    <xf numFmtId="0" fontId="22" fillId="0" borderId="0"/>
    <xf numFmtId="165" fontId="22" fillId="0" borderId="0" applyFont="0" applyFill="0" applyBorder="0" applyAlignment="0" applyProtection="0"/>
    <xf numFmtId="0" fontId="2" fillId="0" borderId="0"/>
    <xf numFmtId="0" fontId="2" fillId="0" borderId="0"/>
    <xf numFmtId="0" fontId="2" fillId="0" borderId="0"/>
    <xf numFmtId="0" fontId="2" fillId="0" borderId="0"/>
    <xf numFmtId="0" fontId="28" fillId="0" borderId="0"/>
    <xf numFmtId="0" fontId="28" fillId="0" borderId="0"/>
    <xf numFmtId="0" fontId="28" fillId="0" borderId="0"/>
    <xf numFmtId="0" fontId="28" fillId="0" borderId="0"/>
    <xf numFmtId="0" fontId="2" fillId="0" borderId="0"/>
    <xf numFmtId="0" fontId="2" fillId="0" borderId="0"/>
    <xf numFmtId="0" fontId="2" fillId="0" borderId="0"/>
    <xf numFmtId="0" fontId="6" fillId="0" borderId="0"/>
    <xf numFmtId="0" fontId="6" fillId="0" borderId="0"/>
    <xf numFmtId="0" fontId="2" fillId="0" borderId="0"/>
    <xf numFmtId="0" fontId="6" fillId="0" borderId="0"/>
    <xf numFmtId="0" fontId="2" fillId="0" borderId="0"/>
    <xf numFmtId="0" fontId="9"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2" fillId="0" borderId="0"/>
    <xf numFmtId="0" fontId="2" fillId="0" borderId="0"/>
    <xf numFmtId="0" fontId="22" fillId="0" borderId="0"/>
    <xf numFmtId="0" fontId="1" fillId="0" borderId="0"/>
    <xf numFmtId="0" fontId="1" fillId="0" borderId="0"/>
    <xf numFmtId="0" fontId="1" fillId="0" borderId="0"/>
    <xf numFmtId="0" fontId="1" fillId="0" borderId="0"/>
  </cellStyleXfs>
  <cellXfs count="371">
    <xf numFmtId="0" fontId="0" fillId="0" borderId="0" xfId="0"/>
    <xf numFmtId="0" fontId="5" fillId="0" borderId="0" xfId="1" applyFont="1"/>
    <xf numFmtId="0" fontId="0" fillId="0" borderId="0" xfId="1" applyFont="1" applyAlignment="1">
      <alignment horizontal="center" vertical="center" wrapText="1"/>
    </xf>
    <xf numFmtId="0" fontId="4" fillId="0" borderId="0" xfId="31" applyFont="1" applyAlignment="1">
      <alignment horizontal="center" vertical="center" wrapText="1"/>
    </xf>
    <xf numFmtId="0" fontId="2" fillId="0" borderId="1" xfId="31" applyBorder="1" applyAlignment="1">
      <alignment horizontal="left" vertical="center" wrapText="1"/>
    </xf>
    <xf numFmtId="0" fontId="2" fillId="0" borderId="1" xfId="31" applyBorder="1" applyAlignment="1">
      <alignment horizontal="left" vertical="top" wrapText="1"/>
    </xf>
    <xf numFmtId="0" fontId="2" fillId="0" borderId="1" xfId="31" applyBorder="1" applyAlignment="1">
      <alignment horizontal="center" vertical="center"/>
    </xf>
    <xf numFmtId="0" fontId="2" fillId="0" borderId="0" xfId="31"/>
    <xf numFmtId="0" fontId="2" fillId="0" borderId="0" xfId="31" applyAlignment="1">
      <alignment wrapText="1"/>
    </xf>
    <xf numFmtId="0" fontId="2" fillId="0" borderId="1" xfId="31" applyBorder="1" applyAlignment="1">
      <alignment horizontal="left" vertical="center"/>
    </xf>
    <xf numFmtId="0" fontId="2" fillId="0" borderId="1" xfId="31" applyFont="1" applyBorder="1" applyAlignment="1">
      <alignment horizontal="left" vertical="center" wrapText="1"/>
    </xf>
    <xf numFmtId="0" fontId="2" fillId="0" borderId="1" xfId="31" applyFill="1" applyBorder="1" applyAlignment="1">
      <alignment horizontal="left" vertical="center" wrapText="1"/>
    </xf>
    <xf numFmtId="0" fontId="2" fillId="0" borderId="1" xfId="31" applyFont="1" applyBorder="1" applyAlignment="1">
      <alignment horizontal="left" vertical="center"/>
    </xf>
    <xf numFmtId="0" fontId="2" fillId="0" borderId="1" xfId="31" applyFont="1" applyBorder="1" applyAlignment="1">
      <alignment horizontal="left" vertical="top" wrapText="1"/>
    </xf>
    <xf numFmtId="0" fontId="9" fillId="0" borderId="0" xfId="1" applyFont="1" applyAlignment="1" applyProtection="1">
      <alignment wrapText="1"/>
    </xf>
    <xf numFmtId="0" fontId="10" fillId="0" borderId="0" xfId="1" applyFont="1" applyFill="1" applyBorder="1" applyAlignment="1" applyProtection="1">
      <alignment vertical="center" wrapText="1"/>
      <protection locked="0"/>
    </xf>
    <xf numFmtId="0" fontId="0" fillId="0" borderId="0" xfId="1" applyFont="1" applyAlignment="1" applyProtection="1">
      <alignment wrapText="1"/>
      <protection locked="0"/>
    </xf>
    <xf numFmtId="0" fontId="0" fillId="0" borderId="0" xfId="1" applyFont="1" applyFill="1" applyBorder="1" applyAlignment="1"/>
    <xf numFmtId="0" fontId="4" fillId="0" borderId="0" xfId="1" applyFont="1"/>
    <xf numFmtId="0" fontId="0" fillId="0" borderId="0" xfId="1" quotePrefix="1" applyFont="1"/>
    <xf numFmtId="0" fontId="9" fillId="0" borderId="0" xfId="31" applyFont="1"/>
    <xf numFmtId="0" fontId="9" fillId="0" borderId="1" xfId="31" applyFont="1" applyBorder="1" applyAlignment="1">
      <alignment horizontal="left" vertical="center" wrapText="1"/>
    </xf>
    <xf numFmtId="0" fontId="9" fillId="0" borderId="0" xfId="1" applyFont="1"/>
    <xf numFmtId="0" fontId="2" fillId="0" borderId="0" xfId="31" applyFont="1"/>
    <xf numFmtId="0" fontId="7" fillId="0" borderId="0" xfId="31" applyFont="1"/>
    <xf numFmtId="0" fontId="7" fillId="0" borderId="0" xfId="1" applyFont="1"/>
    <xf numFmtId="0" fontId="7" fillId="0" borderId="0" xfId="1" applyFont="1" applyAlignment="1">
      <alignment horizontal="center" vertical="center" wrapText="1"/>
    </xf>
    <xf numFmtId="0" fontId="12" fillId="0" borderId="0" xfId="31" applyFont="1"/>
    <xf numFmtId="0" fontId="12" fillId="0" borderId="0" xfId="31" applyFont="1" applyAlignment="1">
      <alignment wrapText="1"/>
    </xf>
    <xf numFmtId="0" fontId="12" fillId="0" borderId="0" xfId="1" applyFont="1"/>
    <xf numFmtId="0" fontId="29" fillId="6" borderId="1" xfId="26" applyFont="1" applyFill="1" applyBorder="1" applyAlignment="1">
      <alignment horizontal="center" vertical="center" wrapText="1"/>
    </xf>
    <xf numFmtId="0" fontId="30" fillId="7" borderId="1" xfId="1" applyFont="1" applyFill="1" applyBorder="1"/>
    <xf numFmtId="0" fontId="30" fillId="7" borderId="1" xfId="1" applyFont="1" applyFill="1" applyBorder="1" applyAlignment="1">
      <alignment horizontal="center" vertical="center" wrapText="1"/>
    </xf>
    <xf numFmtId="0" fontId="31" fillId="7" borderId="1" xfId="1" applyFont="1" applyFill="1" applyBorder="1" applyAlignment="1">
      <alignment horizontal="center" vertical="center" wrapText="1"/>
    </xf>
    <xf numFmtId="0" fontId="0" fillId="0" borderId="0" xfId="0" applyProtection="1">
      <protection locked="0"/>
    </xf>
    <xf numFmtId="0" fontId="5" fillId="0" borderId="0" xfId="1" applyFont="1" applyProtection="1">
      <protection locked="0"/>
    </xf>
    <xf numFmtId="0" fontId="30" fillId="7" borderId="1" xfId="1" applyFont="1" applyFill="1" applyBorder="1" applyProtection="1">
      <protection locked="0"/>
    </xf>
    <xf numFmtId="0" fontId="9" fillId="0" borderId="0" xfId="1" applyFont="1" applyAlignment="1" applyProtection="1">
      <alignment wrapText="1"/>
      <protection locked="0"/>
    </xf>
    <xf numFmtId="0" fontId="30" fillId="7" borderId="1" xfId="1" applyFont="1" applyFill="1" applyBorder="1" applyAlignment="1" applyProtection="1">
      <alignment horizontal="center" vertical="center" wrapText="1"/>
      <protection locked="0"/>
    </xf>
    <xf numFmtId="0" fontId="0" fillId="0" borderId="0" xfId="1" applyFont="1" applyAlignment="1" applyProtection="1">
      <alignment horizontal="center" vertical="center" wrapText="1"/>
      <protection locked="0"/>
    </xf>
    <xf numFmtId="0" fontId="29" fillId="6" borderId="1" xfId="26" applyFont="1" applyFill="1" applyBorder="1" applyAlignment="1" applyProtection="1">
      <alignment horizontal="center" vertical="center" wrapText="1"/>
      <protection locked="0"/>
    </xf>
    <xf numFmtId="0" fontId="7" fillId="0" borderId="0" xfId="1" applyFont="1" applyAlignment="1" applyProtection="1">
      <alignment horizontal="center" vertical="center" wrapText="1"/>
      <protection locked="0"/>
    </xf>
    <xf numFmtId="14" fontId="30" fillId="7" borderId="1" xfId="1" applyNumberFormat="1" applyFont="1" applyFill="1" applyBorder="1" applyProtection="1">
      <protection locked="0"/>
    </xf>
    <xf numFmtId="0" fontId="30" fillId="8" borderId="1" xfId="1" applyFont="1" applyFill="1" applyBorder="1" applyAlignment="1" applyProtection="1">
      <alignment horizontal="center" vertical="center" wrapText="1"/>
    </xf>
    <xf numFmtId="0" fontId="15" fillId="0" borderId="0" xfId="1" applyFont="1"/>
    <xf numFmtId="0" fontId="16" fillId="0" borderId="1" xfId="1" applyFont="1" applyBorder="1" applyAlignment="1">
      <alignment horizontal="left" vertical="center" wrapText="1" indent="1"/>
    </xf>
    <xf numFmtId="0" fontId="14" fillId="0" borderId="1" xfId="1" applyFont="1" applyBorder="1" applyAlignment="1">
      <alignment horizontal="left" vertical="center" wrapText="1" indent="1"/>
    </xf>
    <xf numFmtId="0" fontId="14" fillId="0" borderId="0" xfId="1" applyFont="1" applyBorder="1" applyAlignment="1">
      <alignment horizontal="left" vertical="center" wrapText="1" indent="1"/>
    </xf>
    <xf numFmtId="0" fontId="14" fillId="0" borderId="0" xfId="1" applyFont="1" applyBorder="1" applyAlignment="1">
      <alignment horizontal="left" wrapText="1" indent="1"/>
    </xf>
    <xf numFmtId="0" fontId="15" fillId="0" borderId="0" xfId="1" applyFont="1" applyBorder="1" applyAlignment="1"/>
    <xf numFmtId="0" fontId="14" fillId="0" borderId="0" xfId="26" applyFont="1"/>
    <xf numFmtId="0" fontId="16" fillId="0" borderId="0" xfId="26" applyFont="1"/>
    <xf numFmtId="0" fontId="16" fillId="0" borderId="1" xfId="26" applyFont="1" applyBorder="1" applyAlignment="1">
      <alignment vertical="center" wrapText="1"/>
    </xf>
    <xf numFmtId="0" fontId="14" fillId="0" borderId="0" xfId="26" applyFont="1" applyAlignment="1">
      <alignment vertical="top" wrapText="1"/>
    </xf>
    <xf numFmtId="0" fontId="14" fillId="0" borderId="0" xfId="26" applyFont="1" applyBorder="1" applyAlignment="1">
      <alignment horizontal="left" vertical="center" wrapText="1"/>
    </xf>
    <xf numFmtId="0" fontId="17" fillId="0" borderId="0" xfId="26" applyFont="1"/>
    <xf numFmtId="0" fontId="16" fillId="4" borderId="1" xfId="28" applyFont="1" applyFill="1" applyBorder="1" applyAlignment="1">
      <alignment horizontal="center" vertical="center"/>
    </xf>
    <xf numFmtId="0" fontId="14" fillId="0" borderId="0" xfId="26" applyFont="1" applyAlignment="1">
      <alignment vertical="center" wrapText="1"/>
    </xf>
    <xf numFmtId="0" fontId="14" fillId="0" borderId="0" xfId="26" applyFont="1" applyAlignment="1">
      <alignment horizontal="center"/>
    </xf>
    <xf numFmtId="0" fontId="14" fillId="3" borderId="1" xfId="26" applyFont="1" applyFill="1" applyBorder="1" applyAlignment="1">
      <alignment horizontal="center"/>
    </xf>
    <xf numFmtId="0" fontId="18" fillId="0" borderId="0" xfId="26" applyFont="1"/>
    <xf numFmtId="0" fontId="14" fillId="4" borderId="1" xfId="26" applyFont="1" applyFill="1" applyBorder="1" applyAlignment="1">
      <alignment horizontal="center"/>
    </xf>
    <xf numFmtId="0" fontId="16" fillId="0" borderId="0" xfId="26" applyFont="1" applyAlignment="1">
      <alignment horizontal="center"/>
    </xf>
    <xf numFmtId="0" fontId="19" fillId="3" borderId="1" xfId="26" applyFont="1" applyFill="1" applyBorder="1" applyAlignment="1">
      <alignment horizontal="center"/>
    </xf>
    <xf numFmtId="0" fontId="16" fillId="3" borderId="1" xfId="26" applyFont="1" applyFill="1" applyBorder="1" applyAlignment="1">
      <alignment horizontal="center"/>
    </xf>
    <xf numFmtId="0" fontId="20" fillId="0" borderId="0" xfId="26" applyFont="1"/>
    <xf numFmtId="0" fontId="16" fillId="0" borderId="0" xfId="26" applyFont="1" applyFill="1" applyAlignment="1">
      <alignment horizontal="center"/>
    </xf>
    <xf numFmtId="0" fontId="16" fillId="0" borderId="0" xfId="27" applyFont="1" applyFill="1" applyBorder="1" applyAlignment="1">
      <alignment horizontal="left" vertical="center" wrapText="1"/>
    </xf>
    <xf numFmtId="0" fontId="14" fillId="0" borderId="0" xfId="26" applyFont="1" applyFill="1"/>
    <xf numFmtId="0" fontId="14" fillId="0" borderId="0" xfId="26" applyFont="1" applyFill="1" applyAlignment="1">
      <alignment horizontal="left" wrapText="1"/>
    </xf>
    <xf numFmtId="0" fontId="20" fillId="0" borderId="0" xfId="26" applyFont="1" applyFill="1"/>
    <xf numFmtId="0" fontId="32" fillId="0" borderId="1" xfId="1" applyFont="1" applyFill="1" applyBorder="1" applyAlignment="1">
      <alignment horizontal="center" vertical="center" wrapText="1"/>
    </xf>
    <xf numFmtId="0" fontId="14" fillId="0" borderId="1" xfId="26" applyFont="1" applyBorder="1" applyAlignment="1">
      <alignment horizontal="left" vertical="top"/>
    </xf>
    <xf numFmtId="0" fontId="14" fillId="0" borderId="1" xfId="26" applyFont="1" applyBorder="1" applyAlignment="1">
      <alignment horizontal="left" vertical="top" wrapText="1"/>
    </xf>
    <xf numFmtId="0" fontId="14" fillId="0" borderId="0" xfId="26" applyFont="1" applyBorder="1" applyAlignment="1">
      <alignment horizontal="left" vertical="top"/>
    </xf>
    <xf numFmtId="0" fontId="16" fillId="0" borderId="0" xfId="26" applyFont="1" applyFill="1" applyBorder="1" applyAlignment="1">
      <alignment horizontal="left" vertical="center" wrapText="1" indent="2"/>
    </xf>
    <xf numFmtId="0" fontId="16" fillId="0" borderId="0" xfId="26" applyFont="1" applyFill="1" applyAlignment="1">
      <alignment horizontal="left" indent="6"/>
    </xf>
    <xf numFmtId="0" fontId="14" fillId="0" borderId="0" xfId="29" applyFont="1"/>
    <xf numFmtId="0" fontId="14" fillId="0" borderId="0" xfId="26" applyFont="1" applyFill="1" applyAlignment="1">
      <alignment vertical="center"/>
    </xf>
    <xf numFmtId="0" fontId="16" fillId="0" borderId="0" xfId="26" applyFont="1" applyFill="1" applyBorder="1" applyAlignment="1">
      <alignment vertical="center" wrapText="1"/>
    </xf>
    <xf numFmtId="0" fontId="14" fillId="0" borderId="0" xfId="29" applyFont="1" applyFill="1"/>
    <xf numFmtId="0" fontId="16" fillId="0" borderId="0" xfId="26" applyFont="1" applyFill="1" applyBorder="1" applyAlignment="1">
      <alignment horizontal="left" vertical="top" wrapText="1"/>
    </xf>
    <xf numFmtId="0" fontId="14" fillId="0" borderId="0" xfId="26" applyFont="1" applyAlignment="1">
      <alignment horizontal="left" vertical="top" indent="3"/>
    </xf>
    <xf numFmtId="0" fontId="14" fillId="0" borderId="0" xfId="26" applyFont="1" applyAlignment="1">
      <alignment vertical="center"/>
    </xf>
    <xf numFmtId="0" fontId="14" fillId="0" borderId="0" xfId="26" applyFont="1" applyFill="1" applyAlignment="1">
      <alignment horizontal="left" vertical="center" indent="1"/>
    </xf>
    <xf numFmtId="0" fontId="16" fillId="0" borderId="0" xfId="29" applyFont="1" applyFill="1" applyAlignment="1">
      <alignment horizontal="left" indent="2"/>
    </xf>
    <xf numFmtId="0" fontId="14" fillId="0" borderId="0" xfId="29" applyFont="1" applyFill="1" applyAlignment="1"/>
    <xf numFmtId="0" fontId="16" fillId="0" borderId="0" xfId="26" applyFont="1" applyFill="1" applyAlignment="1">
      <alignment horizontal="left" vertical="center" indent="3"/>
    </xf>
    <xf numFmtId="0" fontId="14" fillId="0" borderId="0" xfId="26" applyFont="1" applyFill="1" applyAlignment="1"/>
    <xf numFmtId="0" fontId="16" fillId="0" borderId="0" xfId="29" applyFont="1" applyFill="1" applyAlignment="1">
      <alignment horizontal="left" vertical="center" indent="1"/>
    </xf>
    <xf numFmtId="0" fontId="16" fillId="0" borderId="0" xfId="26" applyFont="1" applyFill="1" applyAlignment="1">
      <alignment horizontal="left" vertical="top" indent="2"/>
    </xf>
    <xf numFmtId="0" fontId="14" fillId="0" borderId="0" xfId="26" applyFont="1" applyFill="1" applyAlignment="1">
      <alignment horizontal="left" indent="2"/>
    </xf>
    <xf numFmtId="0" fontId="14" fillId="0" borderId="0" xfId="26" applyFont="1" applyFill="1" applyAlignment="1">
      <alignment horizontal="left" vertical="center" wrapText="1" indent="5"/>
    </xf>
    <xf numFmtId="0" fontId="16" fillId="0" borderId="0" xfId="26" applyFont="1" applyFill="1" applyAlignment="1">
      <alignment horizontal="right" vertical="top" indent="3"/>
    </xf>
    <xf numFmtId="0" fontId="14" fillId="0" borderId="0" xfId="26" applyFont="1" applyFill="1" applyAlignment="1">
      <alignment horizontal="right" vertical="top" indent="3"/>
    </xf>
    <xf numFmtId="0" fontId="16" fillId="0" borderId="0" xfId="26" applyFont="1" applyFill="1" applyAlignment="1">
      <alignment horizontal="right" vertical="top"/>
    </xf>
    <xf numFmtId="0" fontId="14" fillId="0" borderId="0" xfId="26" applyFont="1" applyFill="1" applyAlignment="1">
      <alignment horizontal="right"/>
    </xf>
    <xf numFmtId="0" fontId="14" fillId="0" borderId="0" xfId="26" applyFont="1" applyFill="1" applyAlignment="1">
      <alignment horizontal="right" vertical="top"/>
    </xf>
    <xf numFmtId="0" fontId="14" fillId="0" borderId="0" xfId="26" applyFont="1" applyFill="1" applyAlignment="1">
      <alignment horizontal="left" vertical="center" wrapText="1" indent="2"/>
    </xf>
    <xf numFmtId="0" fontId="14" fillId="0" borderId="0" xfId="26" applyFont="1" applyFill="1" applyAlignment="1">
      <alignment horizontal="left" vertical="center" wrapText="1"/>
    </xf>
    <xf numFmtId="0" fontId="14" fillId="0" borderId="0" xfId="26" applyFont="1" applyFill="1" applyAlignment="1">
      <alignment vertical="center" wrapText="1"/>
    </xf>
    <xf numFmtId="0" fontId="16" fillId="0" borderId="0" xfId="26" applyFont="1" applyAlignment="1">
      <alignment horizontal="left"/>
    </xf>
    <xf numFmtId="0" fontId="16" fillId="0" borderId="0" xfId="26" applyFont="1" applyAlignment="1">
      <alignment horizontal="left" vertical="top"/>
    </xf>
    <xf numFmtId="0" fontId="21" fillId="0" borderId="0" xfId="26" applyFont="1" applyFill="1" applyAlignment="1">
      <alignment horizontal="left" vertical="top" indent="1"/>
    </xf>
    <xf numFmtId="0" fontId="16" fillId="0" borderId="0" xfId="26" applyFont="1" applyFill="1" applyAlignment="1">
      <alignment horizontal="left" vertical="top" indent="1"/>
    </xf>
    <xf numFmtId="0" fontId="16" fillId="0" borderId="0" xfId="26" applyFont="1" applyFill="1" applyAlignment="1">
      <alignment vertical="top"/>
    </xf>
    <xf numFmtId="0" fontId="4" fillId="6" borderId="1" xfId="26" applyFont="1" applyFill="1" applyBorder="1" applyAlignment="1" applyProtection="1">
      <alignment horizontal="center" vertical="center" wrapText="1"/>
      <protection locked="0"/>
    </xf>
    <xf numFmtId="0" fontId="4" fillId="6" borderId="1" xfId="26" applyFont="1" applyFill="1" applyBorder="1" applyAlignment="1">
      <alignment horizontal="center" vertical="center" wrapText="1"/>
    </xf>
    <xf numFmtId="0" fontId="16" fillId="0" borderId="0" xfId="26" applyFont="1" applyAlignment="1"/>
    <xf numFmtId="0" fontId="16" fillId="0" borderId="0" xfId="26" applyFont="1" applyBorder="1" applyAlignment="1">
      <alignment vertical="center" wrapText="1"/>
    </xf>
    <xf numFmtId="0" fontId="29" fillId="6" borderId="1" xfId="26" applyFont="1" applyFill="1" applyBorder="1" applyAlignment="1">
      <alignment horizontal="center" vertical="center" wrapText="1"/>
    </xf>
    <xf numFmtId="0" fontId="29" fillId="6" borderId="1" xfId="26" applyFont="1" applyFill="1" applyBorder="1" applyAlignment="1" applyProtection="1">
      <alignment horizontal="center" vertical="center" wrapText="1"/>
      <protection locked="0"/>
    </xf>
    <xf numFmtId="0" fontId="9" fillId="0" borderId="0" xfId="1" applyFont="1" applyFill="1" applyAlignment="1" applyProtection="1">
      <alignment wrapText="1"/>
      <protection locked="0"/>
    </xf>
    <xf numFmtId="0" fontId="32" fillId="0" borderId="0" xfId="1" applyFont="1" applyFill="1" applyBorder="1" applyAlignment="1" applyProtection="1">
      <alignment horizontal="left" vertical="top" wrapText="1"/>
      <protection locked="0"/>
    </xf>
    <xf numFmtId="0" fontId="30" fillId="0" borderId="0" xfId="1" applyFont="1" applyFill="1" applyBorder="1" applyAlignment="1" applyProtection="1">
      <alignment horizontal="center" vertical="center" wrapText="1"/>
      <protection locked="0"/>
    </xf>
    <xf numFmtId="0" fontId="0" fillId="0" borderId="0" xfId="1" applyFont="1" applyFill="1" applyAlignment="1" applyProtection="1">
      <alignment wrapText="1"/>
      <protection locked="0"/>
    </xf>
    <xf numFmtId="0" fontId="16" fillId="0" borderId="0" xfId="26" applyFont="1" applyBorder="1" applyAlignment="1">
      <alignment horizontal="center" vertical="center" wrapText="1"/>
    </xf>
    <xf numFmtId="1" fontId="14" fillId="0" borderId="1" xfId="17" applyNumberFormat="1" applyFont="1" applyBorder="1" applyAlignment="1">
      <alignment horizontal="center" vertical="center" wrapText="1"/>
    </xf>
    <xf numFmtId="0" fontId="16" fillId="5" borderId="1" xfId="17" applyFont="1" applyFill="1" applyBorder="1" applyAlignment="1">
      <alignment horizontal="center" vertical="center" wrapText="1"/>
    </xf>
    <xf numFmtId="0" fontId="14" fillId="0" borderId="1" xfId="17" applyFont="1" applyBorder="1" applyAlignment="1">
      <alignment horizontal="center" vertical="center" wrapText="1"/>
    </xf>
    <xf numFmtId="164" fontId="14" fillId="0" borderId="1" xfId="17" applyNumberFormat="1" applyFont="1" applyBorder="1" applyAlignment="1">
      <alignment horizontal="center" vertical="center" wrapText="1"/>
    </xf>
    <xf numFmtId="14" fontId="14" fillId="0" borderId="1" xfId="17" applyNumberFormat="1" applyFont="1" applyBorder="1" applyAlignment="1">
      <alignment horizontal="center" vertical="center" wrapText="1"/>
    </xf>
    <xf numFmtId="0" fontId="14" fillId="0" borderId="1" xfId="17" applyFont="1" applyBorder="1" applyAlignment="1">
      <alignment horizontal="left" vertical="center" wrapText="1"/>
    </xf>
    <xf numFmtId="0" fontId="24" fillId="2" borderId="1" xfId="26" applyFont="1" applyFill="1" applyBorder="1" applyAlignment="1">
      <alignment horizontal="center" vertical="center" wrapText="1"/>
    </xf>
    <xf numFmtId="0" fontId="3" fillId="0" borderId="0" xfId="0" applyFont="1"/>
    <xf numFmtId="0" fontId="3" fillId="0" borderId="1" xfId="0" applyFont="1" applyBorder="1"/>
    <xf numFmtId="0" fontId="25" fillId="0" borderId="1" xfId="19" applyFont="1" applyBorder="1"/>
    <xf numFmtId="0" fontId="3" fillId="0" borderId="1" xfId="0" applyFont="1" applyFill="1" applyBorder="1"/>
    <xf numFmtId="0" fontId="25" fillId="0" borderId="1" xfId="19" applyFont="1" applyFill="1" applyBorder="1"/>
    <xf numFmtId="14" fontId="2" fillId="0" borderId="1" xfId="32" applyNumberFormat="1" applyFont="1" applyBorder="1" applyAlignment="1" applyProtection="1">
      <alignment horizontal="center" vertical="center" wrapText="1"/>
      <protection locked="0"/>
    </xf>
    <xf numFmtId="0" fontId="2" fillId="0" borderId="1" xfId="9" applyFont="1" applyBorder="1" applyAlignment="1" applyProtection="1">
      <alignment horizontal="center" vertical="center" wrapText="1"/>
      <protection locked="0"/>
    </xf>
    <xf numFmtId="0" fontId="2" fillId="0" borderId="1" xfId="9" applyFont="1" applyBorder="1" applyAlignment="1" applyProtection="1">
      <alignment vertical="center" wrapText="1"/>
      <protection locked="0"/>
    </xf>
    <xf numFmtId="14" fontId="2" fillId="0" borderId="1" xfId="33" applyNumberFormat="1" applyFont="1" applyBorder="1" applyAlignment="1" applyProtection="1">
      <alignment horizontal="center" vertical="center" wrapText="1"/>
      <protection locked="0"/>
    </xf>
    <xf numFmtId="1" fontId="2" fillId="0" borderId="1" xfId="9" applyNumberFormat="1" applyFont="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1" applyFont="1" applyAlignment="1" applyProtection="1">
      <alignment horizontal="center" wrapText="1"/>
      <protection locked="0"/>
    </xf>
    <xf numFmtId="0" fontId="0" fillId="0" borderId="0" xfId="1" applyFont="1" applyFill="1" applyAlignment="1" applyProtection="1">
      <alignment horizontal="center" wrapText="1"/>
      <protection locked="0"/>
    </xf>
    <xf numFmtId="0" fontId="30" fillId="7" borderId="1" xfId="1" applyFont="1" applyFill="1" applyBorder="1" applyAlignment="1" applyProtection="1">
      <alignment horizontal="center"/>
      <protection locked="0"/>
    </xf>
    <xf numFmtId="0" fontId="2" fillId="0" borderId="1" xfId="8" applyFont="1" applyBorder="1" applyAlignment="1" applyProtection="1">
      <alignment horizontal="center" vertical="center" wrapText="1"/>
      <protection locked="0"/>
    </xf>
    <xf numFmtId="0" fontId="2" fillId="0" borderId="1" xfId="8" applyFont="1" applyBorder="1" applyAlignment="1" applyProtection="1">
      <alignment vertical="center" wrapText="1"/>
      <protection locked="0"/>
    </xf>
    <xf numFmtId="0" fontId="30" fillId="7" borderId="1" xfId="1" applyFont="1" applyFill="1" applyBorder="1" applyAlignment="1" applyProtection="1">
      <alignment horizontal="left" vertical="center" wrapText="1"/>
      <protection locked="0"/>
    </xf>
    <xf numFmtId="0" fontId="14" fillId="0" borderId="1" xfId="26" applyFont="1" applyBorder="1" applyAlignment="1">
      <alignment horizontal="center" vertical="center" wrapText="1"/>
    </xf>
    <xf numFmtId="14" fontId="31" fillId="0" borderId="1" xfId="1" applyNumberFormat="1" applyFont="1" applyFill="1" applyBorder="1"/>
    <xf numFmtId="0" fontId="14" fillId="0" borderId="1" xfId="26" applyFont="1" applyFill="1" applyBorder="1" applyAlignment="1">
      <alignment horizontal="left" vertical="top" wrapText="1"/>
    </xf>
    <xf numFmtId="0" fontId="14" fillId="0" borderId="1" xfId="26" applyFont="1" applyFill="1" applyBorder="1" applyAlignment="1">
      <alignment horizontal="left" vertical="top"/>
    </xf>
    <xf numFmtId="0" fontId="24" fillId="9" borderId="1" xfId="26" applyFont="1" applyFill="1" applyBorder="1" applyAlignment="1">
      <alignment horizontal="center" vertical="center" wrapText="1"/>
    </xf>
    <xf numFmtId="0" fontId="3" fillId="0" borderId="1" xfId="0" applyFont="1" applyBorder="1" applyAlignment="1">
      <alignment horizontal="center" vertical="center"/>
    </xf>
    <xf numFmtId="0" fontId="24" fillId="9" borderId="1" xfId="0" applyFont="1" applyFill="1" applyBorder="1" applyAlignment="1"/>
    <xf numFmtId="0" fontId="30" fillId="7" borderId="1" xfId="1" applyFont="1" applyFill="1" applyBorder="1" applyAlignment="1" applyProtection="1">
      <alignment horizontal="left" vertical="center"/>
      <protection locked="0"/>
    </xf>
    <xf numFmtId="0" fontId="31" fillId="7" borderId="1" xfId="1" applyFont="1" applyFill="1" applyBorder="1" applyAlignment="1" applyProtection="1">
      <alignment horizontal="center" vertical="center" wrapText="1"/>
    </xf>
    <xf numFmtId="0" fontId="2" fillId="0" borderId="1" xfId="25" quotePrefix="1" applyBorder="1" applyProtection="1"/>
    <xf numFmtId="0" fontId="31" fillId="7" borderId="1" xfId="2" applyFont="1" applyFill="1" applyBorder="1" applyAlignment="1" applyProtection="1">
      <alignment horizontal="center" vertical="center" wrapText="1"/>
    </xf>
    <xf numFmtId="14" fontId="30" fillId="7" borderId="1" xfId="1" applyNumberFormat="1" applyFont="1" applyFill="1" applyBorder="1" applyAlignment="1" applyProtection="1">
      <alignment horizontal="center"/>
      <protection locked="0"/>
    </xf>
    <xf numFmtId="0" fontId="2" fillId="0" borderId="1" xfId="9" applyFont="1" applyBorder="1" applyAlignment="1" applyProtection="1">
      <alignment horizontal="center" vertical="center" wrapText="1"/>
    </xf>
    <xf numFmtId="0" fontId="4" fillId="0" borderId="0" xfId="26" applyFont="1" applyAlignment="1" applyProtection="1">
      <alignment horizontal="center" vertical="center"/>
      <protection locked="0"/>
    </xf>
    <xf numFmtId="0" fontId="9" fillId="0" borderId="0" xfId="32" applyFont="1" applyAlignment="1" applyProtection="1">
      <alignment vertical="center"/>
      <protection locked="0"/>
    </xf>
    <xf numFmtId="0" fontId="2" fillId="0" borderId="0" xfId="32" applyFont="1" applyAlignment="1" applyProtection="1">
      <alignment vertical="center"/>
      <protection locked="0"/>
    </xf>
    <xf numFmtId="0" fontId="2" fillId="0" borderId="0" xfId="26" applyFont="1" applyAlignment="1" applyProtection="1">
      <alignment vertical="center"/>
      <protection locked="0"/>
    </xf>
    <xf numFmtId="1" fontId="2" fillId="3" borderId="1" xfId="30" applyNumberFormat="1" applyFont="1" applyFill="1" applyBorder="1" applyAlignment="1" applyProtection="1">
      <alignment horizontal="center" vertical="center" wrapText="1"/>
      <protection locked="0"/>
    </xf>
    <xf numFmtId="14" fontId="2" fillId="3" borderId="1" xfId="30" applyNumberFormat="1" applyFont="1" applyFill="1" applyBorder="1" applyAlignment="1" applyProtection="1">
      <alignment horizontal="center" vertical="center" wrapText="1"/>
      <protection locked="0"/>
    </xf>
    <xf numFmtId="164" fontId="2" fillId="3" borderId="1" xfId="30" applyNumberFormat="1" applyFont="1" applyFill="1" applyBorder="1" applyAlignment="1" applyProtection="1">
      <alignment horizontal="center" vertical="center" wrapText="1"/>
      <protection locked="0"/>
    </xf>
    <xf numFmtId="0" fontId="0" fillId="0" borderId="0" xfId="0"/>
    <xf numFmtId="0" fontId="4" fillId="0" borderId="0" xfId="37" applyFont="1"/>
    <xf numFmtId="0" fontId="2" fillId="0" borderId="0" xfId="37" applyFont="1"/>
    <xf numFmtId="0" fontId="0" fillId="0" borderId="1" xfId="37" applyFont="1" applyFill="1" applyBorder="1"/>
    <xf numFmtId="166" fontId="0" fillId="0" borderId="1" xfId="37" applyNumberFormat="1" applyFont="1" applyFill="1" applyBorder="1"/>
    <xf numFmtId="0" fontId="2" fillId="4" borderId="1" xfId="37" applyFont="1" applyFill="1" applyBorder="1"/>
    <xf numFmtId="0" fontId="0" fillId="4" borderId="1" xfId="37" applyFont="1" applyFill="1" applyBorder="1"/>
    <xf numFmtId="0" fontId="14" fillId="0" borderId="0" xfId="26" applyFont="1"/>
    <xf numFmtId="0" fontId="14" fillId="4" borderId="1" xfId="38" applyFont="1" applyFill="1" applyBorder="1" applyAlignment="1">
      <alignment horizontal="center" vertical="center" wrapText="1"/>
    </xf>
    <xf numFmtId="0" fontId="4" fillId="4" borderId="1" xfId="37" applyFont="1" applyFill="1" applyBorder="1"/>
    <xf numFmtId="0" fontId="16" fillId="4" borderId="1" xfId="38" applyFont="1" applyFill="1" applyBorder="1" applyAlignment="1">
      <alignment horizontal="center" vertical="center" wrapText="1"/>
    </xf>
    <xf numFmtId="0" fontId="16" fillId="0" borderId="0" xfId="26" applyFont="1" applyAlignment="1"/>
    <xf numFmtId="0" fontId="14" fillId="0" borderId="0" xfId="26" applyFont="1" applyBorder="1" applyAlignment="1">
      <alignment horizontal="center" vertical="top" wrapText="1"/>
    </xf>
    <xf numFmtId="0" fontId="14" fillId="0" borderId="0" xfId="26" applyFont="1" applyBorder="1" applyAlignment="1">
      <alignment vertical="center" wrapText="1"/>
    </xf>
    <xf numFmtId="0" fontId="14" fillId="0" borderId="0" xfId="26" applyFont="1" applyBorder="1" applyAlignment="1">
      <alignment horizontal="center" vertical="center" wrapText="1"/>
    </xf>
    <xf numFmtId="0" fontId="25" fillId="0" borderId="0" xfId="19" applyFont="1" applyBorder="1"/>
    <xf numFmtId="0" fontId="3" fillId="0" borderId="0" xfId="0" applyFont="1" applyBorder="1"/>
    <xf numFmtId="0" fontId="25" fillId="0" borderId="0" xfId="19" applyFont="1" applyFill="1" applyBorder="1"/>
    <xf numFmtId="0" fontId="26" fillId="0" borderId="1" xfId="19" applyFont="1" applyFill="1" applyBorder="1"/>
    <xf numFmtId="0" fontId="14" fillId="0" borderId="0" xfId="26" applyFont="1" applyBorder="1" applyAlignment="1">
      <alignment horizontal="center"/>
    </xf>
    <xf numFmtId="0" fontId="2" fillId="0" borderId="0" xfId="30" applyFont="1" applyAlignment="1" applyProtection="1">
      <alignment vertical="center"/>
      <protection locked="0"/>
    </xf>
    <xf numFmtId="0" fontId="34" fillId="10" borderId="0" xfId="0" applyFont="1" applyFill="1" applyBorder="1" applyAlignment="1">
      <alignment vertical="center" wrapText="1"/>
    </xf>
    <xf numFmtId="164" fontId="14" fillId="0" borderId="1" xfId="17" applyNumberFormat="1" applyFont="1" applyBorder="1" applyAlignment="1">
      <alignment vertical="center"/>
    </xf>
    <xf numFmtId="14" fontId="14" fillId="0" borderId="1" xfId="17" applyNumberFormat="1" applyFont="1" applyBorder="1" applyAlignment="1">
      <alignment vertical="center"/>
    </xf>
    <xf numFmtId="0" fontId="34" fillId="10" borderId="0" xfId="0" applyFont="1" applyFill="1" applyBorder="1" applyAlignment="1" applyProtection="1">
      <alignment vertical="center" wrapText="1"/>
      <protection locked="0"/>
    </xf>
    <xf numFmtId="164" fontId="14" fillId="0" borderId="1" xfId="17" applyNumberFormat="1" applyFont="1" applyBorder="1" applyAlignment="1" applyProtection="1">
      <alignment vertical="center"/>
      <protection locked="0"/>
    </xf>
    <xf numFmtId="164" fontId="14" fillId="0" borderId="5" xfId="17" applyNumberFormat="1" applyFont="1" applyBorder="1" applyAlignment="1" applyProtection="1">
      <alignment vertical="center"/>
      <protection locked="0"/>
    </xf>
    <xf numFmtId="0" fontId="16" fillId="0" borderId="0" xfId="26" applyFont="1" applyBorder="1" applyAlignment="1"/>
    <xf numFmtId="0" fontId="14" fillId="0" borderId="0" xfId="26" applyFont="1" applyBorder="1"/>
    <xf numFmtId="0" fontId="16" fillId="0" borderId="0" xfId="26" applyFont="1" applyBorder="1" applyAlignment="1">
      <alignment horizontal="center"/>
    </xf>
    <xf numFmtId="0" fontId="16" fillId="0" borderId="0" xfId="2" applyFont="1" applyBorder="1" applyAlignment="1" applyProtection="1">
      <alignment vertical="center" wrapText="1"/>
      <protection locked="0"/>
    </xf>
    <xf numFmtId="0" fontId="34" fillId="10" borderId="1" xfId="0" applyFont="1" applyFill="1" applyBorder="1" applyAlignment="1" applyProtection="1">
      <alignment vertical="center" wrapText="1"/>
      <protection locked="0"/>
    </xf>
    <xf numFmtId="0" fontId="2" fillId="0" borderId="1" xfId="17" applyNumberFormat="1" applyFont="1" applyBorder="1" applyAlignment="1">
      <alignment horizontal="center" vertical="center"/>
    </xf>
    <xf numFmtId="0" fontId="2" fillId="0" borderId="1" xfId="17" applyNumberFormat="1" applyFont="1" applyBorder="1" applyAlignment="1">
      <alignment vertical="center"/>
    </xf>
    <xf numFmtId="0" fontId="35" fillId="0" borderId="1" xfId="17" applyNumberFormat="1" applyFont="1" applyBorder="1" applyAlignment="1"/>
    <xf numFmtId="14" fontId="2" fillId="0" borderId="1" xfId="9" applyNumberFormat="1" applyFont="1" applyBorder="1" applyAlignment="1" applyProtection="1">
      <alignment horizontal="center" vertical="center" wrapText="1"/>
      <protection locked="0"/>
    </xf>
    <xf numFmtId="0" fontId="30" fillId="7" borderId="1" xfId="1" applyFont="1" applyFill="1" applyBorder="1" applyAlignment="1" applyProtection="1">
      <alignment vertical="top"/>
      <protection locked="0"/>
    </xf>
    <xf numFmtId="0" fontId="30" fillId="7" borderId="1" xfId="1" applyFont="1" applyFill="1" applyBorder="1" applyAlignment="1" applyProtection="1">
      <alignment horizontal="center" vertical="top" wrapText="1"/>
      <protection locked="0"/>
    </xf>
    <xf numFmtId="0" fontId="30" fillId="7" borderId="1" xfId="1" applyFont="1" applyFill="1" applyBorder="1" applyAlignment="1" applyProtection="1">
      <alignment horizontal="left" vertical="top" wrapText="1"/>
      <protection locked="0"/>
    </xf>
    <xf numFmtId="14" fontId="30" fillId="7" borderId="1" xfId="1" applyNumberFormat="1" applyFont="1" applyFill="1" applyBorder="1" applyAlignment="1" applyProtection="1">
      <alignment vertical="top"/>
      <protection locked="0"/>
    </xf>
    <xf numFmtId="14" fontId="31" fillId="0" borderId="1" xfId="1" applyNumberFormat="1" applyFont="1" applyFill="1" applyBorder="1" applyAlignment="1">
      <alignment vertical="top"/>
    </xf>
    <xf numFmtId="0" fontId="30" fillId="7" borderId="1" xfId="1" applyFont="1" applyFill="1" applyBorder="1" applyAlignment="1" applyProtection="1">
      <alignment horizontal="left" vertical="top"/>
      <protection locked="0"/>
    </xf>
    <xf numFmtId="0" fontId="31" fillId="7" borderId="1" xfId="1" applyFont="1" applyFill="1" applyBorder="1" applyAlignment="1" applyProtection="1">
      <alignment horizontal="center" vertical="top" wrapText="1"/>
    </xf>
    <xf numFmtId="0" fontId="30" fillId="7" borderId="1" xfId="2" applyFont="1" applyFill="1" applyBorder="1" applyAlignment="1" applyProtection="1">
      <alignment horizontal="center" vertical="center" wrapText="1"/>
      <protection locked="0"/>
    </xf>
    <xf numFmtId="0" fontId="31" fillId="7" borderId="3" xfId="2" applyFont="1" applyFill="1" applyBorder="1" applyAlignment="1" applyProtection="1">
      <alignment horizontal="center" vertical="center" wrapText="1"/>
    </xf>
    <xf numFmtId="0" fontId="30" fillId="7" borderId="3" xfId="1" applyFont="1" applyFill="1" applyBorder="1" applyAlignment="1" applyProtection="1">
      <alignment horizontal="center" vertical="center" wrapText="1"/>
      <protection locked="0"/>
    </xf>
    <xf numFmtId="0" fontId="30" fillId="7" borderId="3" xfId="1" applyFont="1" applyFill="1" applyBorder="1" applyAlignment="1" applyProtection="1">
      <alignment horizontal="left" vertical="center" wrapText="1"/>
      <protection locked="0"/>
    </xf>
    <xf numFmtId="0" fontId="30" fillId="7" borderId="3" xfId="1" applyFont="1" applyFill="1" applyBorder="1" applyAlignment="1" applyProtection="1">
      <alignment horizontal="center"/>
      <protection locked="0"/>
    </xf>
    <xf numFmtId="0" fontId="30" fillId="7" borderId="3" xfId="1" applyFont="1" applyFill="1" applyBorder="1" applyProtection="1">
      <protection locked="0"/>
    </xf>
    <xf numFmtId="14" fontId="30" fillId="7" borderId="3" xfId="1" applyNumberFormat="1" applyFont="1" applyFill="1" applyBorder="1" applyProtection="1">
      <protection locked="0"/>
    </xf>
    <xf numFmtId="0" fontId="30" fillId="8" borderId="3" xfId="1" applyFont="1" applyFill="1" applyBorder="1" applyAlignment="1" applyProtection="1">
      <alignment horizontal="center" vertical="center" wrapText="1"/>
    </xf>
    <xf numFmtId="0" fontId="31" fillId="7" borderId="0" xfId="2" applyFont="1" applyFill="1" applyBorder="1" applyAlignment="1" applyProtection="1">
      <alignment horizontal="center" vertical="center" wrapText="1"/>
    </xf>
    <xf numFmtId="0" fontId="30" fillId="7" borderId="0" xfId="1" applyFont="1" applyFill="1" applyBorder="1" applyAlignment="1" applyProtection="1">
      <alignment horizontal="center" vertical="center" wrapText="1"/>
      <protection locked="0"/>
    </xf>
    <xf numFmtId="0" fontId="30" fillId="7" borderId="0" xfId="1" applyFont="1" applyFill="1" applyBorder="1" applyAlignment="1" applyProtection="1">
      <alignment horizontal="center"/>
      <protection locked="0"/>
    </xf>
    <xf numFmtId="0" fontId="30" fillId="7" borderId="0" xfId="1" applyFont="1" applyFill="1" applyBorder="1" applyProtection="1">
      <protection locked="0"/>
    </xf>
    <xf numFmtId="14" fontId="30" fillId="7" borderId="0" xfId="1" applyNumberFormat="1" applyFont="1" applyFill="1" applyBorder="1" applyProtection="1">
      <protection locked="0"/>
    </xf>
    <xf numFmtId="0" fontId="30" fillId="8" borderId="0" xfId="1" applyFont="1" applyFill="1" applyBorder="1" applyAlignment="1" applyProtection="1">
      <alignment horizontal="center" vertical="center" wrapText="1"/>
    </xf>
    <xf numFmtId="0" fontId="0" fillId="0" borderId="0" xfId="0" applyBorder="1" applyProtection="1">
      <protection locked="0"/>
    </xf>
    <xf numFmtId="0" fontId="30" fillId="7" borderId="0" xfId="1" applyFont="1" applyFill="1" applyBorder="1" applyAlignment="1" applyProtection="1">
      <alignment horizontal="left" vertical="center" wrapText="1"/>
      <protection locked="0"/>
    </xf>
    <xf numFmtId="0" fontId="33" fillId="0" borderId="0" xfId="0" applyFont="1" applyBorder="1" applyAlignment="1" applyProtection="1">
      <alignment wrapText="1"/>
      <protection locked="0"/>
    </xf>
    <xf numFmtId="14" fontId="0" fillId="0" borderId="1" xfId="0" applyNumberFormat="1" applyBorder="1" applyAlignment="1">
      <alignment horizontal="center" vertical="center"/>
    </xf>
    <xf numFmtId="0" fontId="30" fillId="7" borderId="1" xfId="1" applyFont="1" applyFill="1" applyBorder="1" applyAlignment="1" applyProtection="1">
      <alignment horizontal="center" vertical="center"/>
      <protection locked="0"/>
    </xf>
    <xf numFmtId="14" fontId="2" fillId="0" borderId="1" xfId="9" applyNumberFormat="1" applyFont="1" applyBorder="1" applyAlignment="1" applyProtection="1">
      <alignment vertical="center" wrapText="1"/>
      <protection locked="0"/>
    </xf>
    <xf numFmtId="0" fontId="36" fillId="0" borderId="1" xfId="17" applyNumberFormat="1" applyFont="1" applyBorder="1" applyAlignment="1">
      <alignment vertical="center"/>
    </xf>
    <xf numFmtId="0" fontId="37" fillId="7" borderId="0" xfId="1" applyFont="1" applyFill="1" applyBorder="1" applyAlignment="1" applyProtection="1">
      <alignment horizontal="center" vertical="center" wrapText="1"/>
      <protection locked="0"/>
    </xf>
    <xf numFmtId="0" fontId="14" fillId="0" borderId="0" xfId="26" applyFont="1" applyFill="1" applyAlignment="1">
      <alignment horizontal="left" vertical="center" wrapText="1" indent="2"/>
    </xf>
    <xf numFmtId="0" fontId="16" fillId="0" borderId="0" xfId="26" applyFont="1" applyFill="1" applyAlignment="1">
      <alignment horizontal="left" vertical="top" wrapText="1"/>
    </xf>
    <xf numFmtId="0" fontId="14" fillId="0" borderId="0" xfId="26" applyFont="1" applyFill="1" applyAlignment="1">
      <alignment horizontal="left" vertical="top" wrapText="1"/>
    </xf>
    <xf numFmtId="0" fontId="14" fillId="0" borderId="0" xfId="26" applyFont="1" applyFill="1" applyAlignment="1">
      <alignment horizontal="left" vertical="center" wrapText="1" indent="1"/>
    </xf>
    <xf numFmtId="0" fontId="14" fillId="0" borderId="0" xfId="26" applyFont="1" applyFill="1" applyAlignment="1">
      <alignment horizontal="left" vertical="top" wrapText="1" indent="2"/>
    </xf>
    <xf numFmtId="0" fontId="14" fillId="0" borderId="1" xfId="26" applyFont="1" applyBorder="1" applyAlignment="1">
      <alignment horizontal="center" vertical="top" wrapText="1"/>
    </xf>
    <xf numFmtId="0" fontId="16" fillId="0" borderId="2" xfId="26" applyFont="1" applyBorder="1" applyAlignment="1">
      <alignment horizontal="center" vertical="center" wrapText="1"/>
    </xf>
    <xf numFmtId="0" fontId="16" fillId="0" borderId="4" xfId="26" applyFont="1" applyBorder="1" applyAlignment="1">
      <alignment horizontal="center" vertical="center" wrapText="1"/>
    </xf>
    <xf numFmtId="0" fontId="16" fillId="0" borderId="5" xfId="26" applyFont="1" applyBorder="1" applyAlignment="1">
      <alignment horizontal="center" vertical="center" wrapText="1"/>
    </xf>
    <xf numFmtId="0" fontId="14" fillId="0" borderId="2" xfId="26" applyFont="1" applyBorder="1" applyAlignment="1">
      <alignment horizontal="center" vertical="top" wrapText="1"/>
    </xf>
    <xf numFmtId="0" fontId="14" fillId="0" borderId="5" xfId="26" applyFont="1" applyBorder="1" applyAlignment="1">
      <alignment horizontal="center" vertical="top" wrapText="1"/>
    </xf>
    <xf numFmtId="0" fontId="14" fillId="0" borderId="2" xfId="26" applyFont="1" applyBorder="1" applyAlignment="1">
      <alignment horizontal="center" vertical="center" wrapText="1"/>
    </xf>
    <xf numFmtId="0" fontId="14" fillId="0" borderId="4" xfId="26" applyFont="1" applyBorder="1" applyAlignment="1">
      <alignment horizontal="center" vertical="center" wrapText="1"/>
    </xf>
    <xf numFmtId="0" fontId="14" fillId="0" borderId="5" xfId="26" applyFont="1" applyBorder="1" applyAlignment="1">
      <alignment horizontal="center" vertical="center" wrapText="1"/>
    </xf>
    <xf numFmtId="0" fontId="23" fillId="5" borderId="6" xfId="17" applyFont="1" applyFill="1" applyBorder="1" applyAlignment="1">
      <alignment horizontal="center" vertical="center" wrapText="1"/>
    </xf>
    <xf numFmtId="0" fontId="23" fillId="5" borderId="7" xfId="17" applyFont="1" applyFill="1" applyBorder="1" applyAlignment="1">
      <alignment horizontal="center" vertical="center" wrapText="1"/>
    </xf>
    <xf numFmtId="0" fontId="23" fillId="5" borderId="8" xfId="17" applyFont="1" applyFill="1" applyBorder="1" applyAlignment="1">
      <alignment horizontal="center" vertical="center" wrapText="1"/>
    </xf>
    <xf numFmtId="0" fontId="14" fillId="0" borderId="0" xfId="26" applyFont="1" applyFill="1" applyAlignment="1">
      <alignment horizontal="left" vertical="center" wrapText="1" indent="5"/>
    </xf>
    <xf numFmtId="0" fontId="16" fillId="0" borderId="0" xfId="26" applyFont="1" applyFill="1" applyAlignment="1">
      <alignment horizontal="left" vertical="center" wrapText="1"/>
    </xf>
    <xf numFmtId="0" fontId="14" fillId="0" borderId="0" xfId="26" applyFont="1" applyFill="1" applyAlignment="1">
      <alignment horizontal="left" vertical="center" wrapText="1"/>
    </xf>
    <xf numFmtId="0" fontId="14" fillId="0" borderId="1" xfId="26" applyFont="1" applyBorder="1" applyAlignment="1">
      <alignment horizontal="left" vertical="top"/>
    </xf>
    <xf numFmtId="0" fontId="15" fillId="0" borderId="1" xfId="1" applyFont="1" applyBorder="1" applyAlignment="1"/>
    <xf numFmtId="0" fontId="16" fillId="4" borderId="1" xfId="1" applyFont="1" applyFill="1" applyBorder="1" applyAlignment="1">
      <alignment horizontal="center" vertical="center" wrapText="1"/>
    </xf>
    <xf numFmtId="0" fontId="32" fillId="0" borderId="1" xfId="1" applyFont="1" applyFill="1" applyBorder="1" applyAlignment="1">
      <alignment horizontal="center" vertical="center" wrapText="1"/>
    </xf>
    <xf numFmtId="0" fontId="16" fillId="0" borderId="1" xfId="26" applyFont="1" applyBorder="1" applyAlignment="1">
      <alignment horizontal="center" vertical="top"/>
    </xf>
    <xf numFmtId="0" fontId="16" fillId="0" borderId="1" xfId="1" applyFont="1" applyBorder="1" applyAlignment="1">
      <alignment horizontal="center"/>
    </xf>
    <xf numFmtId="0" fontId="14" fillId="0" borderId="2" xfId="26" applyFont="1" applyBorder="1" applyAlignment="1">
      <alignment horizontal="left" vertical="top" wrapText="1"/>
    </xf>
    <xf numFmtId="0" fontId="15" fillId="0" borderId="4" xfId="1" applyFont="1" applyBorder="1" applyAlignment="1">
      <alignment wrapText="1"/>
    </xf>
    <xf numFmtId="0" fontId="15" fillId="0" borderId="5" xfId="1" applyFont="1" applyBorder="1" applyAlignment="1">
      <alignment wrapText="1"/>
    </xf>
    <xf numFmtId="0" fontId="14" fillId="0" borderId="1" xfId="26" applyFont="1" applyBorder="1" applyAlignment="1">
      <alignment horizontal="left" vertical="top" wrapText="1"/>
    </xf>
    <xf numFmtId="0" fontId="14" fillId="0" borderId="1" xfId="26" applyFont="1" applyFill="1" applyBorder="1" applyAlignment="1">
      <alignment horizontal="left" vertical="top" wrapText="1"/>
    </xf>
    <xf numFmtId="0" fontId="15" fillId="0" borderId="1" xfId="1" applyFont="1" applyFill="1" applyBorder="1" applyAlignment="1"/>
    <xf numFmtId="0" fontId="14" fillId="0" borderId="1" xfId="1" applyFont="1" applyBorder="1" applyAlignment="1">
      <alignment horizontal="left" wrapText="1" indent="1"/>
    </xf>
    <xf numFmtId="0" fontId="16" fillId="0" borderId="1" xfId="1" applyFont="1" applyBorder="1" applyAlignment="1">
      <alignment horizontal="left" wrapText="1" indent="1"/>
    </xf>
    <xf numFmtId="0" fontId="14" fillId="0" borderId="0" xfId="26" applyFont="1" applyAlignment="1">
      <alignment horizontal="left" wrapText="1"/>
    </xf>
    <xf numFmtId="0" fontId="14" fillId="0" borderId="2" xfId="1" applyFont="1" applyBorder="1" applyAlignment="1">
      <alignment horizontal="left" indent="1"/>
    </xf>
    <xf numFmtId="0" fontId="14" fillId="0" borderId="4" xfId="1" applyFont="1" applyBorder="1" applyAlignment="1">
      <alignment horizontal="left" indent="1"/>
    </xf>
    <xf numFmtId="0" fontId="14" fillId="0" borderId="5" xfId="1" applyFont="1" applyBorder="1" applyAlignment="1">
      <alignment horizontal="left" indent="1"/>
    </xf>
    <xf numFmtId="0" fontId="14" fillId="0" borderId="1" xfId="26" applyFont="1" applyBorder="1" applyAlignment="1">
      <alignment horizontal="left" vertical="center" wrapText="1"/>
    </xf>
    <xf numFmtId="0" fontId="16" fillId="4" borderId="1" xfId="28" applyFont="1" applyFill="1" applyBorder="1" applyAlignment="1">
      <alignment horizontal="center" vertical="center"/>
    </xf>
    <xf numFmtId="0" fontId="14" fillId="0" borderId="2" xfId="26" applyFont="1" applyBorder="1" applyAlignment="1">
      <alignment horizontal="left" vertical="top"/>
    </xf>
    <xf numFmtId="0" fontId="14" fillId="0" borderId="4" xfId="26" applyFont="1" applyBorder="1" applyAlignment="1">
      <alignment horizontal="left" vertical="top"/>
    </xf>
    <xf numFmtId="0" fontId="14" fillId="0" borderId="5" xfId="26" applyFont="1" applyBorder="1" applyAlignment="1">
      <alignment horizontal="left" vertical="top"/>
    </xf>
    <xf numFmtId="0" fontId="16" fillId="0" borderId="0" xfId="26" applyFont="1" applyFill="1" applyBorder="1" applyAlignment="1">
      <alignment horizontal="left" vertical="center" wrapText="1" indent="2"/>
    </xf>
    <xf numFmtId="0" fontId="14" fillId="0" borderId="11" xfId="2" applyFont="1" applyBorder="1" applyAlignment="1">
      <alignment horizontal="center" vertical="center" wrapText="1"/>
    </xf>
    <xf numFmtId="0" fontId="14" fillId="0" borderId="13" xfId="2" applyFont="1" applyBorder="1" applyAlignment="1">
      <alignment horizontal="center" vertical="center" wrapText="1"/>
    </xf>
    <xf numFmtId="0" fontId="14" fillId="0" borderId="12" xfId="2" applyFont="1" applyBorder="1" applyAlignment="1">
      <alignment horizontal="center" vertical="center" wrapText="1"/>
    </xf>
    <xf numFmtId="0" fontId="14" fillId="0" borderId="14" xfId="2" applyFont="1" applyBorder="1" applyAlignment="1">
      <alignment horizontal="center" vertical="center" wrapText="1"/>
    </xf>
    <xf numFmtId="0" fontId="14" fillId="0" borderId="15" xfId="2" applyFont="1" applyBorder="1" applyAlignment="1">
      <alignment horizontal="center" vertical="center" wrapText="1"/>
    </xf>
    <xf numFmtId="0" fontId="14" fillId="0" borderId="18" xfId="2" applyFont="1" applyBorder="1" applyAlignment="1">
      <alignment horizontal="center" vertical="center" wrapText="1"/>
    </xf>
    <xf numFmtId="0" fontId="16" fillId="0" borderId="2" xfId="2" applyFont="1" applyBorder="1" applyAlignment="1">
      <alignment horizontal="center" vertical="center" wrapText="1"/>
    </xf>
    <xf numFmtId="0" fontId="16" fillId="0" borderId="4" xfId="2" applyFont="1" applyBorder="1" applyAlignment="1">
      <alignment horizontal="center" vertical="center" wrapText="1"/>
    </xf>
    <xf numFmtId="0" fontId="16" fillId="0" borderId="5" xfId="2" applyFont="1" applyBorder="1" applyAlignment="1">
      <alignment horizontal="center" vertical="center" wrapText="1"/>
    </xf>
    <xf numFmtId="0" fontId="16" fillId="0" borderId="11" xfId="2" applyFont="1" applyBorder="1" applyAlignment="1">
      <alignment horizontal="center" vertical="center" wrapText="1"/>
    </xf>
    <xf numFmtId="0" fontId="16" fillId="0" borderId="16" xfId="2" applyFont="1" applyBorder="1" applyAlignment="1">
      <alignment horizontal="center" vertical="center" wrapText="1"/>
    </xf>
    <xf numFmtId="0" fontId="16" fillId="0" borderId="13" xfId="2" applyFont="1" applyBorder="1" applyAlignment="1">
      <alignment horizontal="center" vertical="center" wrapText="1"/>
    </xf>
    <xf numFmtId="0" fontId="16" fillId="0" borderId="15" xfId="2" applyFont="1" applyBorder="1" applyAlignment="1">
      <alignment horizontal="center" vertical="center" wrapText="1"/>
    </xf>
    <xf numFmtId="0" fontId="16" fillId="0" borderId="17" xfId="2" applyFont="1" applyBorder="1" applyAlignment="1">
      <alignment horizontal="center" vertical="center" wrapText="1"/>
    </xf>
    <xf numFmtId="0" fontId="16" fillId="0" borderId="18" xfId="2" applyFont="1" applyBorder="1" applyAlignment="1">
      <alignment horizontal="center" vertical="center" wrapText="1"/>
    </xf>
    <xf numFmtId="0" fontId="4" fillId="0" borderId="0" xfId="26" applyFont="1" applyAlignment="1" applyProtection="1">
      <alignment horizontal="center" vertical="center"/>
      <protection locked="0"/>
    </xf>
    <xf numFmtId="0" fontId="4" fillId="2" borderId="2" xfId="30" applyFont="1" applyFill="1" applyBorder="1" applyAlignment="1" applyProtection="1">
      <alignment horizontal="center" vertical="center" wrapText="1"/>
      <protection locked="0"/>
    </xf>
    <xf numFmtId="0" fontId="4" fillId="2" borderId="4" xfId="30" applyFont="1" applyFill="1" applyBorder="1" applyAlignment="1" applyProtection="1">
      <alignment horizontal="center" vertical="center" wrapText="1"/>
      <protection locked="0"/>
    </xf>
    <xf numFmtId="0" fontId="4" fillId="2" borderId="5" xfId="30" applyFont="1" applyFill="1" applyBorder="1" applyAlignment="1" applyProtection="1">
      <alignment horizontal="center" vertical="center" wrapText="1"/>
      <protection locked="0"/>
    </xf>
    <xf numFmtId="0" fontId="14" fillId="0" borderId="11" xfId="2" applyFont="1" applyBorder="1" applyAlignment="1" applyProtection="1">
      <alignment horizontal="center" vertical="center" wrapText="1"/>
      <protection locked="0"/>
    </xf>
    <xf numFmtId="0" fontId="14" fillId="0" borderId="13" xfId="2" applyFont="1" applyBorder="1" applyAlignment="1" applyProtection="1">
      <alignment horizontal="center" vertical="center" wrapText="1"/>
      <protection locked="0"/>
    </xf>
    <xf numFmtId="0" fontId="14" fillId="0" borderId="12" xfId="2" applyFont="1" applyBorder="1" applyAlignment="1" applyProtection="1">
      <alignment horizontal="center" vertical="center" wrapText="1"/>
      <protection locked="0"/>
    </xf>
    <xf numFmtId="0" fontId="14" fillId="0" borderId="14" xfId="2" applyFont="1" applyBorder="1" applyAlignment="1" applyProtection="1">
      <alignment horizontal="center" vertical="center" wrapText="1"/>
      <protection locked="0"/>
    </xf>
    <xf numFmtId="0" fontId="14" fillId="0" borderId="15" xfId="2" applyFont="1" applyBorder="1" applyAlignment="1" applyProtection="1">
      <alignment horizontal="center" vertical="center" wrapText="1"/>
      <protection locked="0"/>
    </xf>
    <xf numFmtId="0" fontId="14" fillId="0" borderId="18" xfId="2" applyFont="1" applyBorder="1" applyAlignment="1" applyProtection="1">
      <alignment horizontal="center" vertical="center" wrapText="1"/>
      <protection locked="0"/>
    </xf>
    <xf numFmtId="0" fontId="16" fillId="0" borderId="2" xfId="2" applyFont="1" applyBorder="1" applyAlignment="1" applyProtection="1">
      <alignment horizontal="center" vertical="center" wrapText="1"/>
      <protection locked="0"/>
    </xf>
    <xf numFmtId="0" fontId="16" fillId="0" borderId="4" xfId="2" applyFont="1" applyBorder="1" applyAlignment="1" applyProtection="1">
      <alignment horizontal="center" vertical="center" wrapText="1"/>
      <protection locked="0"/>
    </xf>
    <xf numFmtId="0" fontId="16" fillId="0" borderId="5" xfId="2" applyFont="1" applyBorder="1" applyAlignment="1" applyProtection="1">
      <alignment horizontal="center" vertical="center" wrapText="1"/>
      <protection locked="0"/>
    </xf>
    <xf numFmtId="0" fontId="16" fillId="0" borderId="11" xfId="2" applyFont="1" applyBorder="1" applyAlignment="1" applyProtection="1">
      <alignment horizontal="center" vertical="center" wrapText="1"/>
      <protection locked="0"/>
    </xf>
    <xf numFmtId="0" fontId="16" fillId="0" borderId="16" xfId="2" applyFont="1" applyBorder="1" applyAlignment="1" applyProtection="1">
      <alignment horizontal="center" vertical="center" wrapText="1"/>
      <protection locked="0"/>
    </xf>
    <xf numFmtId="0" fontId="16" fillId="0" borderId="13" xfId="2" applyFont="1" applyBorder="1" applyAlignment="1" applyProtection="1">
      <alignment horizontal="center" vertical="center" wrapText="1"/>
      <protection locked="0"/>
    </xf>
    <xf numFmtId="0" fontId="16" fillId="0" borderId="15" xfId="2" applyFont="1" applyBorder="1" applyAlignment="1" applyProtection="1">
      <alignment horizontal="center" vertical="center" wrapText="1"/>
      <protection locked="0"/>
    </xf>
    <xf numFmtId="0" fontId="16" fillId="0" borderId="17" xfId="2" applyFont="1" applyBorder="1" applyAlignment="1" applyProtection="1">
      <alignment horizontal="center" vertical="center" wrapText="1"/>
      <protection locked="0"/>
    </xf>
    <xf numFmtId="0" fontId="16" fillId="0" borderId="18" xfId="2" applyFont="1" applyBorder="1" applyAlignment="1" applyProtection="1">
      <alignment horizontal="center" vertical="center" wrapText="1"/>
      <protection locked="0"/>
    </xf>
    <xf numFmtId="0" fontId="14" fillId="0" borderId="1" xfId="2" applyFont="1" applyBorder="1" applyAlignment="1" applyProtection="1">
      <alignment horizontal="center" vertical="center" wrapText="1"/>
      <protection locked="0"/>
    </xf>
    <xf numFmtId="0" fontId="16" fillId="0" borderId="1" xfId="2" applyFont="1" applyBorder="1" applyAlignment="1" applyProtection="1">
      <alignment horizontal="center" vertical="center" wrapText="1"/>
      <protection locked="0"/>
    </xf>
    <xf numFmtId="0" fontId="32" fillId="6" borderId="2" xfId="1" applyFont="1" applyFill="1" applyBorder="1" applyAlignment="1" applyProtection="1">
      <alignment horizontal="left" vertical="top" wrapText="1"/>
      <protection locked="0"/>
    </xf>
    <xf numFmtId="0" fontId="32" fillId="6" borderId="4" xfId="1" applyFont="1" applyFill="1" applyBorder="1" applyAlignment="1" applyProtection="1">
      <alignment horizontal="left" vertical="top" wrapText="1"/>
      <protection locked="0"/>
    </xf>
    <xf numFmtId="0" fontId="32" fillId="6" borderId="5" xfId="1" applyFont="1" applyFill="1" applyBorder="1" applyAlignment="1" applyProtection="1">
      <alignment horizontal="left" vertical="top" wrapText="1"/>
      <protection locked="0"/>
    </xf>
    <xf numFmtId="0" fontId="32" fillId="6" borderId="1" xfId="1" applyFont="1" applyFill="1" applyBorder="1" applyAlignment="1" applyProtection="1">
      <alignment horizontal="left" vertical="top" wrapText="1"/>
      <protection locked="0"/>
    </xf>
    <xf numFmtId="0" fontId="14" fillId="0" borderId="1" xfId="26" applyFont="1" applyBorder="1" applyAlignment="1">
      <alignment horizontal="center"/>
    </xf>
    <xf numFmtId="0" fontId="16" fillId="0" borderId="1" xfId="26" applyFont="1" applyBorder="1" applyAlignment="1">
      <alignment horizontal="center" vertical="center" wrapText="1"/>
    </xf>
    <xf numFmtId="0" fontId="31" fillId="7" borderId="2" xfId="1" applyFont="1" applyFill="1" applyBorder="1" applyAlignment="1">
      <alignment horizontal="left"/>
    </xf>
    <xf numFmtId="0" fontId="31" fillId="7" borderId="5" xfId="1" applyFont="1" applyFill="1" applyBorder="1" applyAlignment="1">
      <alignment horizontal="left"/>
    </xf>
    <xf numFmtId="0" fontId="16" fillId="0" borderId="2" xfId="26" applyFont="1" applyBorder="1" applyAlignment="1">
      <alignment horizontal="center"/>
    </xf>
    <xf numFmtId="0" fontId="16" fillId="0" borderId="4" xfId="26" applyFont="1" applyBorder="1" applyAlignment="1">
      <alignment horizontal="center"/>
    </xf>
    <xf numFmtId="0" fontId="16" fillId="0" borderId="5" xfId="26" applyFont="1" applyBorder="1" applyAlignment="1">
      <alignment horizontal="center"/>
    </xf>
    <xf numFmtId="0" fontId="14" fillId="0" borderId="0" xfId="26" applyFont="1" applyBorder="1" applyAlignment="1">
      <alignment horizontal="center"/>
    </xf>
    <xf numFmtId="0" fontId="4" fillId="4" borderId="2" xfId="37" applyFont="1" applyFill="1" applyBorder="1" applyAlignment="1">
      <alignment horizontal="center"/>
    </xf>
    <xf numFmtId="0" fontId="4" fillId="4" borderId="5" xfId="37" applyFont="1" applyFill="1" applyBorder="1" applyAlignment="1">
      <alignment horizontal="center"/>
    </xf>
    <xf numFmtId="0" fontId="0" fillId="0" borderId="2" xfId="37" applyFont="1" applyFill="1" applyBorder="1" applyAlignment="1">
      <alignment horizontal="left" vertical="center"/>
    </xf>
    <xf numFmtId="0" fontId="0" fillId="0" borderId="5" xfId="37" applyFont="1" applyFill="1" applyBorder="1" applyAlignment="1">
      <alignment horizontal="left" vertical="center"/>
    </xf>
    <xf numFmtId="0" fontId="16" fillId="4" borderId="2" xfId="38" applyFont="1" applyFill="1" applyBorder="1" applyAlignment="1">
      <alignment horizontal="center" vertical="center" wrapText="1"/>
    </xf>
    <xf numFmtId="0" fontId="16" fillId="4" borderId="5" xfId="38" applyFont="1" applyFill="1" applyBorder="1" applyAlignment="1">
      <alignment horizontal="center" vertical="center" wrapText="1"/>
    </xf>
    <xf numFmtId="0" fontId="14" fillId="0" borderId="2" xfId="38" applyFont="1" applyFill="1" applyBorder="1" applyAlignment="1">
      <alignment horizontal="center" vertical="center" wrapText="1"/>
    </xf>
    <xf numFmtId="0" fontId="14" fillId="0" borderId="4" xfId="38" applyFont="1" applyFill="1" applyBorder="1" applyAlignment="1">
      <alignment horizontal="center" vertical="center" wrapText="1"/>
    </xf>
    <xf numFmtId="0" fontId="14" fillId="0" borderId="5" xfId="38" applyFont="1" applyFill="1" applyBorder="1" applyAlignment="1">
      <alignment horizontal="center" vertical="center" wrapText="1"/>
    </xf>
    <xf numFmtId="0" fontId="16" fillId="4" borderId="4" xfId="38" applyFont="1" applyFill="1" applyBorder="1" applyAlignment="1">
      <alignment horizontal="center" vertical="center" wrapText="1"/>
    </xf>
    <xf numFmtId="0" fontId="14" fillId="0" borderId="9" xfId="2" applyFont="1" applyBorder="1" applyAlignment="1" applyProtection="1">
      <alignment horizontal="center" vertical="center" wrapText="1"/>
      <protection locked="0"/>
    </xf>
    <xf numFmtId="0" fontId="14" fillId="0" borderId="10" xfId="2" applyFont="1" applyBorder="1" applyAlignment="1" applyProtection="1">
      <alignment horizontal="center" vertical="center" wrapText="1"/>
      <protection locked="0"/>
    </xf>
    <xf numFmtId="0" fontId="14" fillId="0" borderId="3" xfId="2" applyFont="1" applyBorder="1" applyAlignment="1" applyProtection="1">
      <alignment horizontal="center" vertical="center" wrapText="1"/>
      <protection locked="0"/>
    </xf>
    <xf numFmtId="0" fontId="30" fillId="7" borderId="2" xfId="1" applyFont="1" applyFill="1" applyBorder="1" applyAlignment="1">
      <alignment horizontal="center" vertical="center" wrapText="1"/>
    </xf>
    <xf numFmtId="0" fontId="30" fillId="7" borderId="4" xfId="1" applyFont="1" applyFill="1" applyBorder="1" applyAlignment="1">
      <alignment horizontal="center" vertical="center" wrapText="1"/>
    </xf>
    <xf numFmtId="0" fontId="30" fillId="7" borderId="5" xfId="1" applyFont="1" applyFill="1" applyBorder="1" applyAlignment="1">
      <alignment horizontal="center" vertical="center" wrapText="1"/>
    </xf>
    <xf numFmtId="0" fontId="29" fillId="6" borderId="2" xfId="26" applyFont="1" applyFill="1" applyBorder="1" applyAlignment="1">
      <alignment horizontal="center" vertical="center" wrapText="1"/>
    </xf>
    <xf numFmtId="0" fontId="29" fillId="6" borderId="4" xfId="26" applyFont="1" applyFill="1" applyBorder="1" applyAlignment="1">
      <alignment horizontal="center" vertical="center" wrapText="1"/>
    </xf>
    <xf numFmtId="0" fontId="29" fillId="6" borderId="5" xfId="26" applyFont="1" applyFill="1" applyBorder="1" applyAlignment="1">
      <alignment horizontal="center" vertical="center" wrapText="1"/>
    </xf>
    <xf numFmtId="0" fontId="2" fillId="0" borderId="9" xfId="31" applyFont="1" applyBorder="1" applyAlignment="1">
      <alignment horizontal="left" vertical="center" wrapText="1"/>
    </xf>
    <xf numFmtId="0" fontId="2" fillId="0" borderId="10" xfId="31" applyBorder="1" applyAlignment="1">
      <alignment horizontal="left" vertical="center" wrapText="1"/>
    </xf>
    <xf numFmtId="0" fontId="2" fillId="0" borderId="9" xfId="31" applyBorder="1" applyAlignment="1">
      <alignment horizontal="left" vertical="top" wrapText="1"/>
    </xf>
    <xf numFmtId="0" fontId="2" fillId="0" borderId="10" xfId="31" applyBorder="1" applyAlignment="1">
      <alignment horizontal="left" vertical="top" wrapText="1"/>
    </xf>
    <xf numFmtId="0" fontId="2" fillId="0" borderId="9" xfId="31" applyBorder="1" applyAlignment="1">
      <alignment horizontal="center" vertical="center"/>
    </xf>
    <xf numFmtId="0" fontId="2" fillId="0" borderId="10" xfId="31" applyBorder="1" applyAlignment="1">
      <alignment horizontal="center" vertical="center"/>
    </xf>
    <xf numFmtId="0" fontId="2" fillId="0" borderId="1" xfId="31" applyFont="1" applyBorder="1" applyAlignment="1">
      <alignment horizontal="left" vertical="center" wrapText="1"/>
    </xf>
    <xf numFmtId="0" fontId="2" fillId="0" borderId="1" xfId="31" applyBorder="1" applyAlignment="1">
      <alignment horizontal="left" vertical="center" wrapText="1"/>
    </xf>
    <xf numFmtId="0" fontId="2" fillId="0" borderId="1" xfId="31" applyFont="1" applyBorder="1" applyAlignment="1">
      <alignment horizontal="left" vertical="top" wrapText="1"/>
    </xf>
    <xf numFmtId="0" fontId="2" fillId="0" borderId="1" xfId="31" applyBorder="1" applyAlignment="1">
      <alignment horizontal="left" vertical="top" wrapText="1"/>
    </xf>
    <xf numFmtId="0" fontId="2" fillId="0" borderId="1" xfId="31" applyFont="1" applyBorder="1" applyAlignment="1">
      <alignment horizontal="center" vertical="center"/>
    </xf>
    <xf numFmtId="0" fontId="2" fillId="0" borderId="1" xfId="31" applyBorder="1" applyAlignment="1">
      <alignment horizontal="center" vertical="center"/>
    </xf>
    <xf numFmtId="0" fontId="0" fillId="0" borderId="10" xfId="1" applyFont="1" applyBorder="1" applyAlignment="1"/>
    <xf numFmtId="0" fontId="0" fillId="0" borderId="3" xfId="1" applyFont="1" applyBorder="1" applyAlignment="1"/>
    <xf numFmtId="0" fontId="0" fillId="0" borderId="10" xfId="1" applyFont="1" applyBorder="1" applyAlignment="1">
      <alignment horizontal="center" vertical="center"/>
    </xf>
    <xf numFmtId="0" fontId="0" fillId="0" borderId="3" xfId="1" applyFont="1" applyBorder="1" applyAlignment="1">
      <alignment horizontal="center" vertical="center"/>
    </xf>
    <xf numFmtId="0" fontId="2" fillId="0" borderId="3" xfId="31" applyBorder="1" applyAlignment="1">
      <alignment horizontal="left" vertical="center" wrapText="1"/>
    </xf>
    <xf numFmtId="0" fontId="2" fillId="0" borderId="9" xfId="31" applyFont="1" applyBorder="1" applyAlignment="1">
      <alignment horizontal="left" vertical="top" wrapText="1"/>
    </xf>
    <xf numFmtId="0" fontId="2" fillId="0" borderId="3" xfId="31" applyBorder="1" applyAlignment="1">
      <alignment horizontal="left" vertical="top" wrapText="1"/>
    </xf>
    <xf numFmtId="0" fontId="2" fillId="0" borderId="3" xfId="31" applyBorder="1" applyAlignment="1">
      <alignment horizontal="center" vertical="center"/>
    </xf>
    <xf numFmtId="0" fontId="2" fillId="0" borderId="9" xfId="31" applyFill="1" applyBorder="1" applyAlignment="1">
      <alignment horizontal="left" vertical="center" wrapText="1"/>
    </xf>
    <xf numFmtId="0" fontId="9" fillId="0" borderId="3" xfId="1" applyFont="1" applyBorder="1"/>
    <xf numFmtId="0" fontId="9" fillId="0" borderId="3" xfId="31" applyFont="1" applyBorder="1" applyAlignment="1">
      <alignment horizontal="left" vertical="top" wrapText="1"/>
    </xf>
    <xf numFmtId="0" fontId="9" fillId="0" borderId="3" xfId="31" applyFont="1" applyBorder="1" applyAlignment="1">
      <alignment horizontal="center" vertical="center"/>
    </xf>
    <xf numFmtId="0" fontId="2" fillId="0" borderId="9" xfId="31" applyFont="1" applyFill="1" applyBorder="1" applyAlignment="1">
      <alignment horizontal="left" vertical="center" wrapText="1"/>
    </xf>
    <xf numFmtId="0" fontId="2" fillId="0" borderId="10" xfId="31" applyFill="1" applyBorder="1" applyAlignment="1">
      <alignment horizontal="left" vertical="center" wrapText="1"/>
    </xf>
    <xf numFmtId="0" fontId="2" fillId="0" borderId="3" xfId="31" applyFill="1" applyBorder="1" applyAlignment="1">
      <alignment horizontal="left" vertical="center" wrapText="1"/>
    </xf>
    <xf numFmtId="0" fontId="2" fillId="0" borderId="9" xfId="31" applyFont="1" applyFill="1" applyBorder="1" applyAlignment="1">
      <alignment horizontal="left" vertical="center"/>
    </xf>
    <xf numFmtId="0" fontId="2" fillId="0" borderId="10" xfId="31" applyFill="1" applyBorder="1" applyAlignment="1">
      <alignment horizontal="left" vertical="center"/>
    </xf>
    <xf numFmtId="0" fontId="2" fillId="0" borderId="3" xfId="31" applyFill="1" applyBorder="1" applyAlignment="1">
      <alignment horizontal="left" vertical="center"/>
    </xf>
    <xf numFmtId="0" fontId="2" fillId="0" borderId="11" xfId="31" applyBorder="1" applyAlignment="1">
      <alignment horizontal="left" vertical="top" wrapText="1"/>
    </xf>
    <xf numFmtId="0" fontId="2" fillId="0" borderId="12" xfId="31" applyBorder="1" applyAlignment="1">
      <alignment horizontal="left" vertical="top" wrapText="1"/>
    </xf>
    <xf numFmtId="0" fontId="2" fillId="0" borderId="13" xfId="31" applyBorder="1" applyAlignment="1">
      <alignment horizontal="center" vertical="center"/>
    </xf>
    <xf numFmtId="0" fontId="2" fillId="0" borderId="14" xfId="31" applyBorder="1" applyAlignment="1">
      <alignment horizontal="center" vertical="center"/>
    </xf>
  </cellXfs>
  <cellStyles count="43">
    <cellStyle name="Cancel" xfId="1"/>
    <cellStyle name="Cancel 2" xfId="2"/>
    <cellStyle name="Cancel 3" xfId="3"/>
    <cellStyle name="Cancel 4" xfId="4"/>
    <cellStyle name="Cancel 5" xfId="5"/>
    <cellStyle name="Cancel 6" xfId="6"/>
    <cellStyle name="Cancel 7" xfId="7"/>
    <cellStyle name="Cancel 8" xfId="37"/>
    <cellStyle name="Estilo 1" xfId="8"/>
    <cellStyle name="Estilo 1 2" xfId="9"/>
    <cellStyle name="Estilo 1 2 2" xfId="10"/>
    <cellStyle name="Estilo 1 2 3" xfId="11"/>
    <cellStyle name="Estilo 1 2 4" xfId="12"/>
    <cellStyle name="Estilo 1 2 5" xfId="13"/>
    <cellStyle name="Estilo 1 3" xfId="14"/>
    <cellStyle name="Estilo 1 4" xfId="38"/>
    <cellStyle name="Euro" xfId="15"/>
    <cellStyle name="Normal" xfId="0" builtinId="0"/>
    <cellStyle name="Normal 2" xfId="16"/>
    <cellStyle name="Normal 2 2" xfId="17"/>
    <cellStyle name="Normal 2 3" xfId="18"/>
    <cellStyle name="Normal 3" xfId="19"/>
    <cellStyle name="Normal 3 2" xfId="20"/>
    <cellStyle name="Normal 3 2 2" xfId="39"/>
    <cellStyle name="Normal 3 3" xfId="21"/>
    <cellStyle name="Normal 3 3 2" xfId="40"/>
    <cellStyle name="Normal 3 4" xfId="22"/>
    <cellStyle name="Normal 3 4 2" xfId="41"/>
    <cellStyle name="Normal 3 5" xfId="23"/>
    <cellStyle name="Normal 3 5 2" xfId="42"/>
    <cellStyle name="Normal 5" xfId="24"/>
    <cellStyle name="Normal 6" xfId="25"/>
    <cellStyle name="Normal_7 1 2R21 Modelo de Estimación Desarrollo a Medida CASCADA" xfId="26"/>
    <cellStyle name="Normal_7 7 5 R03 Solicitud de cambios a requerimientos" xfId="27"/>
    <cellStyle name="Normal_7.3.02.R02 Plantilla WBS" xfId="28"/>
    <cellStyle name="Normal_Copy of 7.7.2.R01 Lista de items de configuracion_Generico2" xfId="29"/>
    <cellStyle name="Normal_Pre_Analisis_OT617_20070403" xfId="30"/>
    <cellStyle name="Normal_REQM Atributos de lmr" xfId="31"/>
    <cellStyle name="Normal_sst36" xfId="32"/>
    <cellStyle name="Normal_sst36 2" xfId="33"/>
    <cellStyle name="Porcentual 2" xfId="34"/>
    <cellStyle name="Porcentual 3" xfId="35"/>
    <cellStyle name="Style 1" xfId="36"/>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180976</xdr:colOff>
      <xdr:row>1</xdr:row>
      <xdr:rowOff>104775</xdr:rowOff>
    </xdr:from>
    <xdr:to>
      <xdr:col>2</xdr:col>
      <xdr:colOff>523876</xdr:colOff>
      <xdr:row>1</xdr:row>
      <xdr:rowOff>555755</xdr:rowOff>
    </xdr:to>
    <xdr:pic>
      <xdr:nvPicPr>
        <xdr:cNvPr id="1091" name="Picture 4" descr="C:\Documents and Settings\np375151\Desktop\logo\logo\Logo_sura.jpg">
          <a:extLst>
            <a:ext uri="{FF2B5EF4-FFF2-40B4-BE49-F238E27FC236}">
              <a16:creationId xmlns:a16="http://schemas.microsoft.com/office/drawing/2014/main" id="{00000000-0008-0000-0000-000043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38151" y="266700"/>
          <a:ext cx="1104900" cy="450980"/>
        </a:xfrm>
        <a:prstGeom prst="rect">
          <a:avLst/>
        </a:prstGeom>
        <a:noFill/>
        <a:ln w="9525">
          <a:noFill/>
          <a:miter lim="800000"/>
          <a:headEnd/>
          <a:tailEnd/>
        </a:ln>
      </xdr:spPr>
    </xdr:pic>
    <xdr:clientData/>
  </xdr:twoCellAnchor>
  <xdr:twoCellAnchor>
    <xdr:from>
      <xdr:col>7</xdr:col>
      <xdr:colOff>342900</xdr:colOff>
      <xdr:row>1</xdr:row>
      <xdr:rowOff>28575</xdr:rowOff>
    </xdr:from>
    <xdr:to>
      <xdr:col>7</xdr:col>
      <xdr:colOff>1631576</xdr:colOff>
      <xdr:row>1</xdr:row>
      <xdr:rowOff>622487</xdr:rowOff>
    </xdr:to>
    <xdr:pic>
      <xdr:nvPicPr>
        <xdr:cNvPr id="5" name="Picture 3">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24700" y="190500"/>
          <a:ext cx="1288676" cy="5939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336177</xdr:colOff>
      <xdr:row>1</xdr:row>
      <xdr:rowOff>44823</xdr:rowOff>
    </xdr:from>
    <xdr:to>
      <xdr:col>2</xdr:col>
      <xdr:colOff>89647</xdr:colOff>
      <xdr:row>3</xdr:row>
      <xdr:rowOff>150184</xdr:rowOff>
    </xdr:to>
    <xdr:pic>
      <xdr:nvPicPr>
        <xdr:cNvPr id="6" name="Picture 14" descr="C:\Documents and Settings\np375151\Desktop\logo\logo\Logo_sura.jpg">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7883" y="190499"/>
          <a:ext cx="986117" cy="5087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201706</xdr:colOff>
      <xdr:row>1</xdr:row>
      <xdr:rowOff>33618</xdr:rowOff>
    </xdr:from>
    <xdr:to>
      <xdr:col>2</xdr:col>
      <xdr:colOff>685146</xdr:colOff>
      <xdr:row>3</xdr:row>
      <xdr:rowOff>89788</xdr:rowOff>
    </xdr:to>
    <xdr:pic>
      <xdr:nvPicPr>
        <xdr:cNvPr id="6" name="Picture 14" descr="C:\Documents and Settings\np375151\Desktop\logo\logo\Logo_sura.jpg">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90500"/>
          <a:ext cx="1357499" cy="459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114300</xdr:colOff>
      <xdr:row>1</xdr:row>
      <xdr:rowOff>28575</xdr:rowOff>
    </xdr:from>
    <xdr:to>
      <xdr:col>2</xdr:col>
      <xdr:colOff>957449</xdr:colOff>
      <xdr:row>3</xdr:row>
      <xdr:rowOff>88107</xdr:rowOff>
    </xdr:to>
    <xdr:pic>
      <xdr:nvPicPr>
        <xdr:cNvPr id="6" name="Picture 14" descr="C:\Documents and Settings\np375151\Desktop\logo\logo\Logo_sura.jpg">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190500"/>
          <a:ext cx="1357499" cy="459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166687</xdr:colOff>
      <xdr:row>1</xdr:row>
      <xdr:rowOff>95250</xdr:rowOff>
    </xdr:from>
    <xdr:to>
      <xdr:col>3</xdr:col>
      <xdr:colOff>500249</xdr:colOff>
      <xdr:row>1</xdr:row>
      <xdr:rowOff>554832</xdr:rowOff>
    </xdr:to>
    <xdr:pic>
      <xdr:nvPicPr>
        <xdr:cNvPr id="5" name="Picture 14" descr="C:\Documents and Settings\np375151\Desktop\logo\logo\Logo_sura.jp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261938"/>
          <a:ext cx="1357499" cy="459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392907</xdr:colOff>
      <xdr:row>1</xdr:row>
      <xdr:rowOff>47625</xdr:rowOff>
    </xdr:from>
    <xdr:to>
      <xdr:col>18</xdr:col>
      <xdr:colOff>476250</xdr:colOff>
      <xdr:row>1</xdr:row>
      <xdr:rowOff>581292</xdr:rowOff>
    </xdr:to>
    <xdr:pic>
      <xdr:nvPicPr>
        <xdr:cNvPr id="6" name="Picture 5" descr="C:\Users\xcueva\Documents\GMD\M&amp;I\Oportunidades de Mejora\OM-568 (El gran CANVIO)\Logos\Mejor este logo.jpg">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38182" y="209550"/>
          <a:ext cx="2245518" cy="5336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228600</xdr:colOff>
      <xdr:row>1</xdr:row>
      <xdr:rowOff>60325</xdr:rowOff>
    </xdr:from>
    <xdr:to>
      <xdr:col>3</xdr:col>
      <xdr:colOff>11299</xdr:colOff>
      <xdr:row>1</xdr:row>
      <xdr:rowOff>519907</xdr:rowOff>
    </xdr:to>
    <xdr:pic>
      <xdr:nvPicPr>
        <xdr:cNvPr id="5" name="Picture 14" descr="C:\Documents and Settings\np375151\Desktop\logo\logo\Logo_sura.jpg">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5600" y="225425"/>
          <a:ext cx="1357499" cy="459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150020</xdr:colOff>
      <xdr:row>1</xdr:row>
      <xdr:rowOff>38100</xdr:rowOff>
    </xdr:from>
    <xdr:to>
      <xdr:col>9</xdr:col>
      <xdr:colOff>927100</xdr:colOff>
      <xdr:row>1</xdr:row>
      <xdr:rowOff>571767</xdr:rowOff>
    </xdr:to>
    <xdr:pic>
      <xdr:nvPicPr>
        <xdr:cNvPr id="6" name="Picture 5" descr="C:\Users\xcueva\Documents\GMD\M&amp;I\Oportunidades de Mejora\OM-568 (El gran CANVIO)\Logos\Mejor este logo.jpg">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043320" y="203200"/>
          <a:ext cx="2021680" cy="5336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114300</xdr:colOff>
      <xdr:row>1</xdr:row>
      <xdr:rowOff>28575</xdr:rowOff>
    </xdr:from>
    <xdr:to>
      <xdr:col>2</xdr:col>
      <xdr:colOff>957449</xdr:colOff>
      <xdr:row>3</xdr:row>
      <xdr:rowOff>88107</xdr:rowOff>
    </xdr:to>
    <xdr:pic>
      <xdr:nvPicPr>
        <xdr:cNvPr id="7" name="Picture 14" descr="C:\Documents and Settings\np375151\Desktop\logo\logo\Logo_sura.jpg">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190500"/>
          <a:ext cx="1357499" cy="459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1</xdr:row>
      <xdr:rowOff>50800</xdr:rowOff>
    </xdr:from>
    <xdr:to>
      <xdr:col>1</xdr:col>
      <xdr:colOff>1486366</xdr:colOff>
      <xdr:row>3</xdr:row>
      <xdr:rowOff>107344</xdr:rowOff>
    </xdr:to>
    <xdr:pic>
      <xdr:nvPicPr>
        <xdr:cNvPr id="6" name="Picture 14" descr="C:\Documents and Settings\np375151\Desktop\logo\logo\Logo_sura.jpg">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6400" y="215900"/>
          <a:ext cx="1448266" cy="4629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1</xdr:row>
      <xdr:rowOff>50800</xdr:rowOff>
    </xdr:from>
    <xdr:to>
      <xdr:col>1</xdr:col>
      <xdr:colOff>1486366</xdr:colOff>
      <xdr:row>3</xdr:row>
      <xdr:rowOff>107344</xdr:rowOff>
    </xdr:to>
    <xdr:pic>
      <xdr:nvPicPr>
        <xdr:cNvPr id="5" name="Picture 14" descr="C:\Documents and Settings\np375151\Desktop\logo\logo\Logo_sura.jpg">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212725"/>
          <a:ext cx="1448266" cy="4565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72"/>
  <sheetViews>
    <sheetView showGridLines="0" workbookViewId="0">
      <selection activeCell="J8" sqref="J8"/>
    </sheetView>
  </sheetViews>
  <sheetFormatPr baseColWidth="10" defaultColWidth="11.42578125" defaultRowHeight="12.75"/>
  <cols>
    <col min="1" max="1" width="3.85546875" customWidth="1"/>
    <col min="5" max="5" width="22.85546875" customWidth="1"/>
    <col min="6" max="6" width="29.28515625" customWidth="1"/>
    <col min="8" max="8" width="27.140625" customWidth="1"/>
  </cols>
  <sheetData>
    <row r="2" spans="1:9" ht="50.25" customHeight="1">
      <c r="A2" s="51"/>
      <c r="B2" s="231"/>
      <c r="C2" s="231"/>
      <c r="D2" s="232" t="s">
        <v>217</v>
      </c>
      <c r="E2" s="233"/>
      <c r="F2" s="233"/>
      <c r="G2" s="234"/>
      <c r="H2" s="52"/>
    </row>
    <row r="3" spans="1:9">
      <c r="A3" s="51"/>
      <c r="B3" s="235" t="s">
        <v>326</v>
      </c>
      <c r="C3" s="236"/>
      <c r="D3" s="237" t="s">
        <v>328</v>
      </c>
      <c r="E3" s="238"/>
      <c r="F3" s="238"/>
      <c r="G3" s="239"/>
      <c r="H3" s="141" t="s">
        <v>340</v>
      </c>
      <c r="I3" s="50"/>
    </row>
    <row r="4" spans="1:9">
      <c r="A4" s="66"/>
      <c r="B4" s="85"/>
      <c r="C4" s="68"/>
      <c r="D4" s="68"/>
      <c r="E4" s="68"/>
      <c r="F4" s="68"/>
      <c r="G4" s="68"/>
      <c r="H4" s="69"/>
      <c r="I4" s="77"/>
    </row>
    <row r="5" spans="1:9" ht="15.75">
      <c r="A5" s="66"/>
      <c r="B5" s="240" t="s">
        <v>264</v>
      </c>
      <c r="C5" s="241"/>
      <c r="D5" s="241"/>
      <c r="E5" s="241"/>
      <c r="F5" s="241"/>
      <c r="G5" s="241"/>
      <c r="H5" s="242"/>
      <c r="I5" s="77"/>
    </row>
    <row r="6" spans="1:9">
      <c r="A6" s="66"/>
      <c r="B6" s="85"/>
      <c r="C6" s="68"/>
      <c r="D6" s="88"/>
      <c r="E6" s="88"/>
      <c r="F6" s="88"/>
      <c r="G6" s="88"/>
      <c r="H6" s="68"/>
      <c r="I6" s="77"/>
    </row>
    <row r="7" spans="1:9" ht="24">
      <c r="A7" s="66"/>
      <c r="B7" s="118" t="s">
        <v>202</v>
      </c>
      <c r="C7" s="118" t="s">
        <v>102</v>
      </c>
      <c r="D7" s="118" t="s">
        <v>103</v>
      </c>
      <c r="E7" s="118" t="s">
        <v>265</v>
      </c>
      <c r="F7" s="118" t="s">
        <v>1</v>
      </c>
      <c r="G7" s="118" t="s">
        <v>266</v>
      </c>
      <c r="H7" s="118" t="s">
        <v>267</v>
      </c>
      <c r="I7" s="77"/>
    </row>
    <row r="8" spans="1:9" ht="24">
      <c r="A8" s="66"/>
      <c r="B8" s="119">
        <v>1</v>
      </c>
      <c r="C8" s="120">
        <v>0.1</v>
      </c>
      <c r="D8" s="117">
        <v>2007</v>
      </c>
      <c r="E8" s="122" t="s">
        <v>268</v>
      </c>
      <c r="F8" s="122" t="s">
        <v>269</v>
      </c>
      <c r="G8" s="119" t="s">
        <v>270</v>
      </c>
      <c r="H8" s="119" t="s">
        <v>271</v>
      </c>
      <c r="I8" s="77"/>
    </row>
    <row r="9" spans="1:9" ht="24">
      <c r="A9" s="66"/>
      <c r="B9" s="119">
        <v>2</v>
      </c>
      <c r="C9" s="120">
        <v>1</v>
      </c>
      <c r="D9" s="117">
        <v>2007</v>
      </c>
      <c r="E9" s="122" t="s">
        <v>268</v>
      </c>
      <c r="F9" s="122" t="s">
        <v>269</v>
      </c>
      <c r="G9" s="119" t="s">
        <v>272</v>
      </c>
      <c r="H9" s="119" t="s">
        <v>271</v>
      </c>
      <c r="I9" s="77"/>
    </row>
    <row r="10" spans="1:9" ht="36">
      <c r="A10" s="66"/>
      <c r="B10" s="119">
        <v>3</v>
      </c>
      <c r="C10" s="120">
        <v>1.1000000000000001</v>
      </c>
      <c r="D10" s="121">
        <v>41628</v>
      </c>
      <c r="E10" s="122" t="s">
        <v>324</v>
      </c>
      <c r="F10" s="122" t="s">
        <v>273</v>
      </c>
      <c r="G10" s="119" t="s">
        <v>270</v>
      </c>
      <c r="H10" s="119" t="s">
        <v>274</v>
      </c>
      <c r="I10" s="77"/>
    </row>
    <row r="11" spans="1:9" ht="36">
      <c r="A11" s="66"/>
      <c r="B11" s="119">
        <v>4</v>
      </c>
      <c r="C11" s="120">
        <v>2</v>
      </c>
      <c r="D11" s="121">
        <v>41638</v>
      </c>
      <c r="E11" s="122" t="s">
        <v>324</v>
      </c>
      <c r="F11" s="122" t="s">
        <v>273</v>
      </c>
      <c r="G11" s="119" t="s">
        <v>272</v>
      </c>
      <c r="H11" s="119" t="s">
        <v>274</v>
      </c>
      <c r="I11" s="77"/>
    </row>
    <row r="12" spans="1:9" ht="24">
      <c r="A12" s="80"/>
      <c r="B12" s="119">
        <v>5</v>
      </c>
      <c r="C12" s="120">
        <v>2.1</v>
      </c>
      <c r="D12" s="121">
        <v>41662</v>
      </c>
      <c r="E12" s="122" t="s">
        <v>324</v>
      </c>
      <c r="F12" s="122" t="s">
        <v>275</v>
      </c>
      <c r="G12" s="119" t="s">
        <v>270</v>
      </c>
      <c r="H12" s="119" t="s">
        <v>274</v>
      </c>
      <c r="I12" s="77"/>
    </row>
    <row r="13" spans="1:9" ht="24">
      <c r="A13" s="68"/>
      <c r="B13" s="119">
        <v>6</v>
      </c>
      <c r="C13" s="120">
        <v>3</v>
      </c>
      <c r="D13" s="121">
        <v>41666</v>
      </c>
      <c r="E13" s="122" t="s">
        <v>276</v>
      </c>
      <c r="F13" s="122" t="s">
        <v>275</v>
      </c>
      <c r="G13" s="119" t="s">
        <v>272</v>
      </c>
      <c r="H13" s="119" t="s">
        <v>274</v>
      </c>
    </row>
    <row r="14" spans="1:9" ht="24">
      <c r="A14" s="104"/>
      <c r="B14" s="119">
        <v>7</v>
      </c>
      <c r="C14" s="120">
        <v>3.1</v>
      </c>
      <c r="D14" s="121">
        <v>41731</v>
      </c>
      <c r="E14" s="122" t="s">
        <v>324</v>
      </c>
      <c r="F14" s="122" t="s">
        <v>323</v>
      </c>
      <c r="G14" s="119" t="s">
        <v>270</v>
      </c>
      <c r="H14" s="119" t="s">
        <v>274</v>
      </c>
    </row>
    <row r="15" spans="1:9" ht="24">
      <c r="A15" s="68"/>
      <c r="B15" s="119">
        <v>8</v>
      </c>
      <c r="C15" s="120">
        <v>4</v>
      </c>
      <c r="D15" s="121">
        <v>41732</v>
      </c>
      <c r="E15" s="122" t="s">
        <v>324</v>
      </c>
      <c r="F15" s="122" t="s">
        <v>323</v>
      </c>
      <c r="G15" s="119" t="s">
        <v>272</v>
      </c>
      <c r="H15" s="119" t="s">
        <v>274</v>
      </c>
    </row>
    <row r="16" spans="1:9" ht="36">
      <c r="A16" s="104"/>
      <c r="B16" s="119">
        <v>9</v>
      </c>
      <c r="C16" s="120">
        <v>4.0999999999999996</v>
      </c>
      <c r="D16" s="121">
        <v>42205</v>
      </c>
      <c r="E16" s="122" t="s">
        <v>338</v>
      </c>
      <c r="F16" s="122" t="s">
        <v>327</v>
      </c>
      <c r="G16" s="119" t="s">
        <v>270</v>
      </c>
      <c r="H16" s="119" t="s">
        <v>339</v>
      </c>
    </row>
    <row r="17" spans="1:8" ht="36">
      <c r="A17" s="68"/>
      <c r="B17" s="119">
        <v>10</v>
      </c>
      <c r="C17" s="120">
        <v>5</v>
      </c>
      <c r="D17" s="121">
        <v>42208</v>
      </c>
      <c r="E17" s="122" t="s">
        <v>337</v>
      </c>
      <c r="F17" s="122" t="s">
        <v>327</v>
      </c>
      <c r="G17" s="119" t="s">
        <v>272</v>
      </c>
      <c r="H17" s="119" t="s">
        <v>339</v>
      </c>
    </row>
    <row r="18" spans="1:8">
      <c r="A18" s="68"/>
      <c r="B18" s="243"/>
      <c r="C18" s="243"/>
      <c r="D18" s="243"/>
      <c r="E18" s="243"/>
      <c r="F18" s="243"/>
      <c r="G18" s="243"/>
      <c r="H18" s="243"/>
    </row>
    <row r="19" spans="1:8">
      <c r="A19" s="68"/>
      <c r="B19" s="92"/>
      <c r="C19" s="92"/>
      <c r="D19" s="92"/>
      <c r="E19" s="92"/>
      <c r="F19" s="92"/>
      <c r="G19" s="92"/>
      <c r="H19" s="92"/>
    </row>
    <row r="20" spans="1:8">
      <c r="A20" s="68"/>
      <c r="B20" s="93"/>
      <c r="C20" s="228"/>
      <c r="D20" s="228"/>
      <c r="E20" s="228"/>
      <c r="F20" s="228"/>
      <c r="G20" s="228"/>
      <c r="H20" s="228"/>
    </row>
    <row r="21" spans="1:8">
      <c r="A21" s="68"/>
      <c r="B21" s="94"/>
      <c r="C21" s="92"/>
      <c r="D21" s="92"/>
      <c r="E21" s="92"/>
      <c r="F21" s="92"/>
      <c r="G21" s="92"/>
      <c r="H21" s="92"/>
    </row>
    <row r="22" spans="1:8">
      <c r="A22" s="68"/>
      <c r="B22" s="95"/>
      <c r="C22" s="227"/>
      <c r="D22" s="228"/>
      <c r="E22" s="228"/>
      <c r="F22" s="228"/>
      <c r="G22" s="228"/>
      <c r="H22" s="228"/>
    </row>
    <row r="23" spans="1:8">
      <c r="A23" s="68"/>
      <c r="B23" s="96"/>
      <c r="C23" s="92"/>
      <c r="D23" s="92"/>
      <c r="E23" s="92"/>
      <c r="F23" s="92"/>
      <c r="G23" s="92"/>
      <c r="H23" s="92"/>
    </row>
    <row r="24" spans="1:8">
      <c r="A24" s="68"/>
      <c r="B24" s="93"/>
      <c r="C24" s="228"/>
      <c r="D24" s="228"/>
      <c r="E24" s="228"/>
      <c r="F24" s="228"/>
      <c r="G24" s="228"/>
      <c r="H24" s="228"/>
    </row>
    <row r="25" spans="1:8">
      <c r="A25" s="68"/>
      <c r="B25" s="94"/>
      <c r="C25" s="92"/>
      <c r="D25" s="92"/>
      <c r="E25" s="92"/>
      <c r="F25" s="92"/>
      <c r="G25" s="92"/>
      <c r="H25" s="92"/>
    </row>
    <row r="26" spans="1:8">
      <c r="A26" s="68"/>
      <c r="B26" s="95"/>
      <c r="C26" s="227"/>
      <c r="D26" s="228"/>
      <c r="E26" s="228"/>
      <c r="F26" s="228"/>
      <c r="G26" s="228"/>
      <c r="H26" s="228"/>
    </row>
    <row r="27" spans="1:8">
      <c r="A27" s="68"/>
      <c r="B27" s="94"/>
      <c r="C27" s="92"/>
      <c r="D27" s="92"/>
      <c r="E27" s="92"/>
      <c r="F27" s="92"/>
      <c r="G27" s="92"/>
      <c r="H27" s="92"/>
    </row>
    <row r="28" spans="1:8">
      <c r="A28" s="68"/>
      <c r="B28" s="94"/>
      <c r="C28" s="92"/>
      <c r="D28" s="92"/>
      <c r="E28" s="92"/>
      <c r="F28" s="92"/>
      <c r="G28" s="92"/>
      <c r="H28" s="92"/>
    </row>
    <row r="29" spans="1:8">
      <c r="A29" s="68"/>
      <c r="B29" s="93"/>
      <c r="C29" s="228"/>
      <c r="D29" s="228"/>
      <c r="E29" s="228"/>
      <c r="F29" s="228"/>
      <c r="G29" s="228"/>
      <c r="H29" s="228"/>
    </row>
    <row r="30" spans="1:8">
      <c r="A30" s="68"/>
      <c r="B30" s="92"/>
      <c r="C30" s="92"/>
      <c r="D30" s="92"/>
      <c r="E30" s="92"/>
      <c r="F30" s="92"/>
      <c r="G30" s="92"/>
      <c r="H30" s="92"/>
    </row>
    <row r="31" spans="1:8">
      <c r="A31" s="68"/>
      <c r="B31" s="95"/>
      <c r="C31" s="227"/>
      <c r="D31" s="228"/>
      <c r="E31" s="228"/>
      <c r="F31" s="228"/>
      <c r="G31" s="228"/>
      <c r="H31" s="228"/>
    </row>
    <row r="32" spans="1:8">
      <c r="A32" s="68"/>
      <c r="B32" s="95"/>
      <c r="C32" s="227"/>
      <c r="D32" s="228"/>
      <c r="E32" s="228"/>
      <c r="F32" s="228"/>
      <c r="G32" s="228"/>
      <c r="H32" s="228"/>
    </row>
    <row r="33" spans="1:8">
      <c r="A33" s="68"/>
      <c r="B33" s="95"/>
      <c r="C33" s="244"/>
      <c r="D33" s="245"/>
      <c r="E33" s="245"/>
      <c r="F33" s="245"/>
      <c r="G33" s="245"/>
      <c r="H33" s="245"/>
    </row>
    <row r="34" spans="1:8">
      <c r="A34" s="68"/>
      <c r="B34" s="97"/>
      <c r="C34" s="226"/>
      <c r="D34" s="226"/>
      <c r="E34" s="98"/>
      <c r="F34" s="98"/>
      <c r="G34" s="98"/>
      <c r="H34" s="99"/>
    </row>
    <row r="35" spans="1:8">
      <c r="A35" s="68"/>
      <c r="B35" s="97"/>
      <c r="C35" s="226"/>
      <c r="D35" s="226"/>
      <c r="E35" s="98"/>
      <c r="F35" s="98"/>
      <c r="G35" s="98"/>
      <c r="H35" s="99"/>
    </row>
    <row r="36" spans="1:8">
      <c r="A36" s="68"/>
      <c r="B36" s="97"/>
      <c r="C36" s="226"/>
      <c r="D36" s="226"/>
      <c r="E36" s="98"/>
      <c r="F36" s="98"/>
      <c r="G36" s="98"/>
      <c r="H36" s="99"/>
    </row>
    <row r="37" spans="1:8">
      <c r="A37" s="68"/>
      <c r="B37" s="97"/>
      <c r="C37" s="226"/>
      <c r="D37" s="226"/>
      <c r="E37" s="98"/>
      <c r="F37" s="98"/>
      <c r="G37" s="98"/>
      <c r="H37" s="99"/>
    </row>
    <row r="38" spans="1:8">
      <c r="A38" s="68"/>
      <c r="B38" s="97"/>
      <c r="C38" s="226"/>
      <c r="D38" s="226"/>
      <c r="E38" s="98"/>
      <c r="F38" s="98"/>
      <c r="G38" s="98"/>
      <c r="H38" s="99"/>
    </row>
    <row r="39" spans="1:8">
      <c r="A39" s="68"/>
      <c r="B39" s="97"/>
      <c r="C39" s="226"/>
      <c r="D39" s="226"/>
      <c r="E39" s="98"/>
      <c r="F39" s="98"/>
      <c r="G39" s="98"/>
      <c r="H39" s="99"/>
    </row>
    <row r="40" spans="1:8">
      <c r="A40" s="68"/>
      <c r="B40" s="97"/>
      <c r="C40" s="226"/>
      <c r="D40" s="226"/>
      <c r="E40" s="98"/>
      <c r="F40" s="98"/>
      <c r="G40" s="98"/>
      <c r="H40" s="100"/>
    </row>
    <row r="41" spans="1:8">
      <c r="A41" s="68"/>
      <c r="B41" s="97"/>
      <c r="C41" s="226"/>
      <c r="D41" s="226"/>
      <c r="E41" s="98"/>
      <c r="F41" s="98"/>
      <c r="G41" s="98"/>
      <c r="H41" s="100"/>
    </row>
    <row r="42" spans="1:8">
      <c r="A42" s="68"/>
      <c r="B42" s="97"/>
      <c r="C42" s="226"/>
      <c r="D42" s="226"/>
      <c r="E42" s="98"/>
      <c r="F42" s="98"/>
      <c r="G42" s="98"/>
      <c r="H42" s="100"/>
    </row>
    <row r="43" spans="1:8">
      <c r="A43" s="68"/>
      <c r="B43" s="97"/>
      <c r="C43" s="226"/>
      <c r="D43" s="226"/>
      <c r="E43" s="98"/>
      <c r="F43" s="98"/>
      <c r="G43" s="98"/>
      <c r="H43" s="100"/>
    </row>
    <row r="44" spans="1:8">
      <c r="A44" s="68"/>
      <c r="B44" s="97"/>
      <c r="C44" s="229"/>
      <c r="D44" s="229"/>
      <c r="E44" s="229"/>
      <c r="F44" s="229"/>
      <c r="G44" s="229"/>
      <c r="H44" s="229"/>
    </row>
    <row r="45" spans="1:8">
      <c r="A45" s="68"/>
      <c r="B45" s="68"/>
      <c r="C45" s="80"/>
      <c r="D45" s="68"/>
      <c r="E45" s="68"/>
      <c r="F45" s="68"/>
      <c r="G45" s="68"/>
      <c r="H45" s="68"/>
    </row>
    <row r="46" spans="1:8">
      <c r="A46" s="104"/>
      <c r="B46" s="68"/>
      <c r="C46" s="68"/>
      <c r="D46" s="68"/>
      <c r="E46" s="68"/>
      <c r="F46" s="68"/>
      <c r="G46" s="68"/>
      <c r="H46" s="68"/>
    </row>
    <row r="47" spans="1:8">
      <c r="A47" s="68"/>
      <c r="B47" s="68"/>
      <c r="C47" s="68"/>
      <c r="D47" s="68"/>
      <c r="E47" s="68"/>
      <c r="F47" s="68"/>
      <c r="G47" s="68"/>
      <c r="H47" s="68"/>
    </row>
    <row r="48" spans="1:8">
      <c r="A48" s="95"/>
      <c r="B48" s="68"/>
      <c r="C48" s="68"/>
      <c r="D48" s="68"/>
      <c r="E48" s="68"/>
      <c r="F48" s="68"/>
      <c r="G48" s="68"/>
      <c r="H48" s="68"/>
    </row>
    <row r="49" spans="1:8">
      <c r="A49" s="95"/>
      <c r="B49" s="68"/>
      <c r="C49" s="68"/>
      <c r="D49" s="68"/>
      <c r="E49" s="68"/>
      <c r="F49" s="68"/>
      <c r="G49" s="68"/>
      <c r="H49" s="68"/>
    </row>
    <row r="50" spans="1:8">
      <c r="A50" s="95"/>
      <c r="B50" s="68"/>
      <c r="C50" s="68"/>
      <c r="D50" s="68"/>
      <c r="E50" s="68"/>
      <c r="F50" s="68"/>
      <c r="G50" s="68"/>
      <c r="H50" s="68"/>
    </row>
    <row r="51" spans="1:8">
      <c r="A51" s="68"/>
      <c r="B51" s="226"/>
      <c r="C51" s="226"/>
      <c r="D51" s="68"/>
      <c r="E51" s="68"/>
      <c r="F51" s="68"/>
      <c r="G51" s="68"/>
      <c r="H51" s="68"/>
    </row>
    <row r="52" spans="1:8">
      <c r="A52" s="68"/>
      <c r="B52" s="226"/>
      <c r="C52" s="226"/>
      <c r="D52" s="68"/>
      <c r="E52" s="68"/>
      <c r="F52" s="68"/>
      <c r="G52" s="68"/>
      <c r="H52" s="68"/>
    </row>
    <row r="53" spans="1:8">
      <c r="A53" s="68"/>
      <c r="B53" s="226"/>
      <c r="C53" s="226"/>
      <c r="D53" s="68"/>
      <c r="E53" s="68"/>
      <c r="F53" s="68"/>
      <c r="G53" s="68"/>
      <c r="H53" s="68"/>
    </row>
    <row r="54" spans="1:8">
      <c r="A54" s="68"/>
      <c r="B54" s="226"/>
      <c r="C54" s="226"/>
      <c r="D54" s="68"/>
      <c r="E54" s="68"/>
      <c r="F54" s="68"/>
      <c r="G54" s="68"/>
      <c r="H54" s="68"/>
    </row>
    <row r="55" spans="1:8">
      <c r="A55" s="68"/>
      <c r="B55" s="226"/>
      <c r="C55" s="226"/>
      <c r="D55" s="68"/>
      <c r="E55" s="68"/>
      <c r="F55" s="68"/>
      <c r="G55" s="68"/>
      <c r="H55" s="68"/>
    </row>
    <row r="56" spans="1:8">
      <c r="A56" s="68"/>
      <c r="B56" s="226"/>
      <c r="C56" s="226"/>
      <c r="D56" s="68"/>
      <c r="E56" s="68"/>
      <c r="F56" s="68"/>
      <c r="G56" s="68"/>
      <c r="H56" s="68"/>
    </row>
    <row r="57" spans="1:8">
      <c r="A57" s="68"/>
      <c r="B57" s="226"/>
      <c r="C57" s="226"/>
      <c r="D57" s="68"/>
      <c r="E57" s="68"/>
      <c r="F57" s="68"/>
      <c r="G57" s="68"/>
      <c r="H57" s="68"/>
    </row>
    <row r="58" spans="1:8">
      <c r="A58" s="68"/>
      <c r="B58" s="226"/>
      <c r="C58" s="226"/>
      <c r="D58" s="68"/>
      <c r="E58" s="68"/>
      <c r="F58" s="68"/>
      <c r="G58" s="68"/>
      <c r="H58" s="68"/>
    </row>
    <row r="59" spans="1:8">
      <c r="A59" s="68"/>
      <c r="B59" s="226"/>
      <c r="C59" s="226"/>
      <c r="D59" s="68"/>
      <c r="E59" s="68"/>
      <c r="F59" s="68"/>
      <c r="G59" s="68"/>
      <c r="H59" s="68"/>
    </row>
    <row r="60" spans="1:8">
      <c r="A60" s="68"/>
      <c r="B60" s="226"/>
      <c r="C60" s="226"/>
      <c r="D60" s="68"/>
      <c r="E60" s="68"/>
      <c r="F60" s="68"/>
      <c r="G60" s="68"/>
      <c r="H60" s="68"/>
    </row>
    <row r="61" spans="1:8">
      <c r="A61" s="68"/>
      <c r="B61" s="226"/>
      <c r="C61" s="226"/>
      <c r="D61" s="68"/>
      <c r="E61" s="68"/>
      <c r="F61" s="68"/>
      <c r="G61" s="68"/>
      <c r="H61" s="68"/>
    </row>
    <row r="62" spans="1:8">
      <c r="A62" s="68"/>
      <c r="B62" s="226"/>
      <c r="C62" s="226"/>
      <c r="D62" s="68"/>
      <c r="E62" s="68"/>
      <c r="F62" s="68"/>
      <c r="G62" s="68"/>
      <c r="H62" s="68"/>
    </row>
    <row r="63" spans="1:8">
      <c r="A63" s="95"/>
      <c r="B63" s="68"/>
      <c r="C63" s="98"/>
      <c r="D63" s="68"/>
      <c r="E63" s="68"/>
      <c r="F63" s="68"/>
      <c r="G63" s="68"/>
      <c r="H63" s="68"/>
    </row>
    <row r="64" spans="1:8">
      <c r="A64" s="95"/>
      <c r="B64" s="228"/>
      <c r="C64" s="228"/>
      <c r="D64" s="228"/>
      <c r="E64" s="228"/>
      <c r="F64" s="228"/>
      <c r="G64" s="228"/>
      <c r="H64" s="228"/>
    </row>
    <row r="65" spans="1:8">
      <c r="A65" s="95"/>
      <c r="B65" s="228"/>
      <c r="C65" s="228"/>
      <c r="D65" s="228"/>
      <c r="E65" s="228"/>
      <c r="F65" s="228"/>
      <c r="G65" s="228"/>
      <c r="H65" s="228"/>
    </row>
    <row r="66" spans="1:8">
      <c r="A66" s="68"/>
      <c r="B66" s="68"/>
      <c r="C66" s="68"/>
      <c r="D66" s="68"/>
      <c r="E66" s="68"/>
      <c r="F66" s="68"/>
      <c r="G66" s="68"/>
      <c r="H66" s="68"/>
    </row>
    <row r="67" spans="1:8">
      <c r="A67" s="104"/>
      <c r="B67" s="68"/>
      <c r="C67" s="68"/>
      <c r="D67" s="68"/>
      <c r="E67" s="68"/>
      <c r="F67" s="68"/>
      <c r="G67" s="68"/>
      <c r="H67" s="68"/>
    </row>
    <row r="68" spans="1:8">
      <c r="A68" s="68"/>
      <c r="B68" s="68"/>
      <c r="C68" s="68"/>
      <c r="D68" s="68"/>
      <c r="E68" s="68"/>
      <c r="F68" s="68"/>
      <c r="G68" s="68"/>
      <c r="H68" s="68"/>
    </row>
    <row r="69" spans="1:8">
      <c r="A69" s="95"/>
      <c r="B69" s="230"/>
      <c r="C69" s="230"/>
      <c r="D69" s="230"/>
      <c r="E69" s="230"/>
      <c r="F69" s="230"/>
      <c r="G69" s="230"/>
      <c r="H69" s="230"/>
    </row>
    <row r="70" spans="1:8">
      <c r="A70" s="95"/>
      <c r="B70" s="230"/>
      <c r="C70" s="230"/>
      <c r="D70" s="230"/>
      <c r="E70" s="230"/>
      <c r="F70" s="230"/>
      <c r="G70" s="230"/>
      <c r="H70" s="230"/>
    </row>
    <row r="71" spans="1:8">
      <c r="A71" s="95"/>
      <c r="B71" s="230"/>
      <c r="C71" s="230"/>
      <c r="D71" s="230"/>
      <c r="E71" s="230"/>
      <c r="F71" s="230"/>
      <c r="G71" s="230"/>
      <c r="H71" s="230"/>
    </row>
    <row r="72" spans="1:8">
      <c r="A72" s="95"/>
      <c r="B72" s="230"/>
      <c r="C72" s="230"/>
      <c r="D72" s="230"/>
      <c r="E72" s="230"/>
      <c r="F72" s="230"/>
      <c r="G72" s="230"/>
      <c r="H72" s="230"/>
    </row>
  </sheetData>
  <mergeCells count="43">
    <mergeCell ref="B57:C57"/>
    <mergeCell ref="B58:C58"/>
    <mergeCell ref="C22:H22"/>
    <mergeCell ref="C24:H24"/>
    <mergeCell ref="B2:C2"/>
    <mergeCell ref="D2:G2"/>
    <mergeCell ref="B3:C3"/>
    <mergeCell ref="D3:G3"/>
    <mergeCell ref="B5:H5"/>
    <mergeCell ref="B18:H18"/>
    <mergeCell ref="C20:H20"/>
    <mergeCell ref="B55:C55"/>
    <mergeCell ref="C33:H33"/>
    <mergeCell ref="C34:D34"/>
    <mergeCell ref="C40:D40"/>
    <mergeCell ref="C41:D41"/>
    <mergeCell ref="B72:H72"/>
    <mergeCell ref="B65:H65"/>
    <mergeCell ref="C31:H31"/>
    <mergeCell ref="C32:H32"/>
    <mergeCell ref="B69:H69"/>
    <mergeCell ref="B70:H70"/>
    <mergeCell ref="B71:H71"/>
    <mergeCell ref="C43:D43"/>
    <mergeCell ref="B59:C59"/>
    <mergeCell ref="B60:C60"/>
    <mergeCell ref="B61:C61"/>
    <mergeCell ref="B62:C62"/>
    <mergeCell ref="B64:H64"/>
    <mergeCell ref="B53:C53"/>
    <mergeCell ref="B54:C54"/>
    <mergeCell ref="B56:C56"/>
    <mergeCell ref="B52:C52"/>
    <mergeCell ref="C26:H26"/>
    <mergeCell ref="C35:D35"/>
    <mergeCell ref="C36:D36"/>
    <mergeCell ref="C37:D37"/>
    <mergeCell ref="C38:D38"/>
    <mergeCell ref="C42:D42"/>
    <mergeCell ref="C39:D39"/>
    <mergeCell ref="C29:H29"/>
    <mergeCell ref="C44:H44"/>
    <mergeCell ref="B51:C5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41"/>
  <sheetViews>
    <sheetView showGridLines="0" zoomScale="85" zoomScaleNormal="85" workbookViewId="0">
      <selection activeCell="C26" sqref="C26:G26"/>
    </sheetView>
  </sheetViews>
  <sheetFormatPr baseColWidth="10" defaultColWidth="9.140625" defaultRowHeight="12"/>
  <cols>
    <col min="1" max="1" width="3" style="50" customWidth="1"/>
    <col min="2" max="2" width="18.42578125" style="50" customWidth="1"/>
    <col min="3" max="3" width="11.5703125" style="50" customWidth="1"/>
    <col min="4" max="5" width="12.42578125" style="50" customWidth="1"/>
    <col min="6" max="6" width="60.42578125" style="50" customWidth="1"/>
    <col min="7" max="7" width="17.140625" style="50" customWidth="1"/>
    <col min="8" max="16384" width="9.140625" style="50"/>
  </cols>
  <sheetData>
    <row r="1" spans="1:17" ht="11.25" customHeight="1"/>
    <row r="2" spans="1:17" s="181" customFormat="1" ht="15.75" customHeight="1">
      <c r="B2" s="270"/>
      <c r="C2" s="271"/>
      <c r="D2" s="276" t="s">
        <v>374</v>
      </c>
      <c r="E2" s="277"/>
      <c r="F2" s="278"/>
      <c r="G2" s="182" t="s">
        <v>375</v>
      </c>
    </row>
    <row r="3" spans="1:17" s="181" customFormat="1" ht="15.75" customHeight="1">
      <c r="B3" s="272"/>
      <c r="C3" s="273"/>
      <c r="D3" s="279" t="s">
        <v>378</v>
      </c>
      <c r="E3" s="280"/>
      <c r="F3" s="281"/>
      <c r="G3" s="183" t="s">
        <v>376</v>
      </c>
    </row>
    <row r="4" spans="1:17" s="181" customFormat="1" ht="12.75">
      <c r="B4" s="274"/>
      <c r="C4" s="275"/>
      <c r="D4" s="282"/>
      <c r="E4" s="283"/>
      <c r="F4" s="284"/>
      <c r="G4" s="184" t="s">
        <v>377</v>
      </c>
    </row>
    <row r="5" spans="1:17" s="168" customFormat="1" ht="11.25" customHeight="1"/>
    <row r="6" spans="1:17" ht="21.75" customHeight="1">
      <c r="A6" s="51"/>
      <c r="B6" s="101" t="s">
        <v>104</v>
      </c>
      <c r="C6" s="53"/>
      <c r="D6" s="53"/>
      <c r="E6" s="53"/>
      <c r="F6" s="53"/>
    </row>
    <row r="7" spans="1:17" ht="13.5" customHeight="1">
      <c r="A7" s="51"/>
      <c r="B7" s="264" t="s">
        <v>9</v>
      </c>
      <c r="C7" s="264"/>
      <c r="D7" s="264"/>
      <c r="E7" s="264"/>
      <c r="F7" s="264"/>
      <c r="G7" s="264"/>
    </row>
    <row r="8" spans="1:17">
      <c r="A8" s="51"/>
      <c r="B8" s="54"/>
      <c r="C8" s="54"/>
      <c r="D8" s="54"/>
      <c r="E8" s="54"/>
      <c r="F8" s="54"/>
      <c r="G8" s="54"/>
    </row>
    <row r="9" spans="1:17">
      <c r="A9" s="51"/>
      <c r="B9" s="102" t="s">
        <v>0</v>
      </c>
      <c r="C9" s="53"/>
      <c r="D9" s="53"/>
      <c r="E9" s="53"/>
      <c r="F9" s="53"/>
      <c r="Q9" s="55" t="s">
        <v>200</v>
      </c>
    </row>
    <row r="10" spans="1:17">
      <c r="A10" s="51"/>
      <c r="B10" s="56" t="s">
        <v>0</v>
      </c>
      <c r="C10" s="57"/>
      <c r="D10" s="265" t="s">
        <v>1</v>
      </c>
      <c r="E10" s="265"/>
      <c r="F10" s="265"/>
      <c r="G10" s="265"/>
    </row>
    <row r="11" spans="1:17">
      <c r="A11" s="51"/>
      <c r="C11" s="53"/>
      <c r="D11" s="58"/>
      <c r="E11" s="58"/>
      <c r="F11" s="58"/>
      <c r="G11" s="58"/>
    </row>
    <row r="12" spans="1:17" ht="12" customHeight="1">
      <c r="A12" s="51"/>
      <c r="B12" s="59" t="s">
        <v>201</v>
      </c>
      <c r="D12" s="260" t="s">
        <v>2</v>
      </c>
      <c r="E12" s="260"/>
      <c r="F12" s="260"/>
      <c r="G12" s="260"/>
    </row>
    <row r="13" spans="1:17" ht="9.9499999999999993" customHeight="1">
      <c r="A13" s="51"/>
      <c r="B13" s="60"/>
    </row>
    <row r="14" spans="1:17" ht="12" customHeight="1">
      <c r="A14" s="51"/>
      <c r="B14" s="61" t="s">
        <v>201</v>
      </c>
      <c r="D14" s="260" t="s">
        <v>3</v>
      </c>
      <c r="E14" s="260"/>
      <c r="F14" s="260"/>
      <c r="G14" s="260"/>
    </row>
    <row r="15" spans="1:17" ht="9.9499999999999993" customHeight="1">
      <c r="A15" s="51"/>
    </row>
    <row r="16" spans="1:17" ht="12" customHeight="1">
      <c r="A16" s="62"/>
      <c r="B16" s="63" t="s">
        <v>201</v>
      </c>
      <c r="D16" s="260" t="s">
        <v>112</v>
      </c>
      <c r="E16" s="260"/>
      <c r="F16" s="260"/>
      <c r="G16" s="260"/>
    </row>
    <row r="17" spans="1:10">
      <c r="A17" s="62"/>
    </row>
    <row r="18" spans="1:10" ht="12" customHeight="1">
      <c r="A18" s="62"/>
      <c r="B18" s="64" t="s">
        <v>201</v>
      </c>
      <c r="D18" s="260" t="s">
        <v>160</v>
      </c>
      <c r="E18" s="260"/>
      <c r="F18" s="260"/>
      <c r="G18" s="260"/>
      <c r="J18" s="65"/>
    </row>
    <row r="19" spans="1:10" s="68" customFormat="1" ht="12" customHeight="1">
      <c r="A19" s="66"/>
      <c r="B19" s="67"/>
      <c r="D19" s="69"/>
      <c r="E19" s="69"/>
      <c r="F19" s="69"/>
      <c r="G19" s="69"/>
      <c r="J19" s="70"/>
    </row>
    <row r="20" spans="1:10">
      <c r="A20" s="62"/>
    </row>
    <row r="21" spans="1:10" s="44" customFormat="1" ht="16.5" customHeight="1">
      <c r="B21" s="248" t="s">
        <v>161</v>
      </c>
      <c r="C21" s="248"/>
      <c r="D21" s="248"/>
      <c r="E21" s="248"/>
      <c r="F21" s="248"/>
      <c r="G21" s="248"/>
    </row>
    <row r="22" spans="1:10" s="44" customFormat="1" ht="13.5" customHeight="1">
      <c r="B22" s="71" t="s">
        <v>162</v>
      </c>
      <c r="C22" s="249" t="s">
        <v>1</v>
      </c>
      <c r="D22" s="249"/>
      <c r="E22" s="249"/>
      <c r="F22" s="249"/>
      <c r="G22" s="249"/>
    </row>
    <row r="23" spans="1:10" s="44" customFormat="1" ht="12.75" customHeight="1">
      <c r="B23" s="45" t="s">
        <v>105</v>
      </c>
      <c r="C23" s="259" t="s">
        <v>163</v>
      </c>
      <c r="D23" s="259"/>
      <c r="E23" s="259"/>
      <c r="F23" s="259"/>
      <c r="G23" s="259"/>
    </row>
    <row r="24" spans="1:10" s="44" customFormat="1" ht="39.75" customHeight="1">
      <c r="B24" s="46" t="s">
        <v>12</v>
      </c>
      <c r="C24" s="258" t="s">
        <v>199</v>
      </c>
      <c r="D24" s="258"/>
      <c r="E24" s="258"/>
      <c r="F24" s="258"/>
      <c r="G24" s="258"/>
    </row>
    <row r="25" spans="1:10" s="44" customFormat="1" ht="52.5" customHeight="1">
      <c r="B25" s="46" t="s">
        <v>106</v>
      </c>
      <c r="C25" s="258" t="s">
        <v>111</v>
      </c>
      <c r="D25" s="258"/>
      <c r="E25" s="258"/>
      <c r="F25" s="258"/>
      <c r="G25" s="258"/>
    </row>
    <row r="26" spans="1:10" s="44" customFormat="1" ht="39.75" customHeight="1">
      <c r="B26" s="46" t="s">
        <v>13</v>
      </c>
      <c r="C26" s="258" t="s">
        <v>110</v>
      </c>
      <c r="D26" s="258"/>
      <c r="E26" s="258"/>
      <c r="F26" s="258"/>
      <c r="G26" s="258"/>
    </row>
    <row r="27" spans="1:10" s="44" customFormat="1" ht="13.5" customHeight="1">
      <c r="B27" s="46" t="s">
        <v>172</v>
      </c>
      <c r="C27" s="261" t="s">
        <v>173</v>
      </c>
      <c r="D27" s="262"/>
      <c r="E27" s="262"/>
      <c r="F27" s="262"/>
      <c r="G27" s="263"/>
    </row>
    <row r="28" spans="1:10" s="44" customFormat="1" ht="13.5" customHeight="1">
      <c r="B28" s="46" t="s">
        <v>10</v>
      </c>
      <c r="C28" s="258" t="s">
        <v>108</v>
      </c>
      <c r="D28" s="258"/>
      <c r="E28" s="258"/>
      <c r="F28" s="258"/>
      <c r="G28" s="258"/>
    </row>
    <row r="29" spans="1:10" s="44" customFormat="1" ht="13.5" customHeight="1">
      <c r="B29" s="46" t="s">
        <v>107</v>
      </c>
      <c r="C29" s="258" t="s">
        <v>109</v>
      </c>
      <c r="D29" s="258"/>
      <c r="E29" s="258"/>
      <c r="F29" s="258"/>
      <c r="G29" s="258"/>
    </row>
    <row r="30" spans="1:10" s="44" customFormat="1" ht="13.5" customHeight="1">
      <c r="B30" s="46" t="s">
        <v>260</v>
      </c>
      <c r="C30" s="258" t="s">
        <v>261</v>
      </c>
      <c r="D30" s="258"/>
      <c r="E30" s="258"/>
      <c r="F30" s="258"/>
      <c r="G30" s="258"/>
    </row>
    <row r="31" spans="1:10">
      <c r="A31" s="62"/>
      <c r="B31" s="102"/>
    </row>
    <row r="32" spans="1:10" s="44" customFormat="1" ht="16.5" customHeight="1">
      <c r="B32" s="248" t="s">
        <v>166</v>
      </c>
      <c r="C32" s="248"/>
      <c r="D32" s="248"/>
      <c r="E32" s="248"/>
      <c r="F32" s="248"/>
      <c r="G32" s="248"/>
    </row>
    <row r="33" spans="1:7" s="44" customFormat="1" ht="13.5" customHeight="1">
      <c r="B33" s="71" t="s">
        <v>162</v>
      </c>
      <c r="C33" s="249" t="s">
        <v>1</v>
      </c>
      <c r="D33" s="249"/>
      <c r="E33" s="249"/>
      <c r="F33" s="249"/>
      <c r="G33" s="249"/>
    </row>
    <row r="34" spans="1:7">
      <c r="A34" s="62"/>
      <c r="B34" s="250" t="s">
        <v>164</v>
      </c>
      <c r="C34" s="251"/>
      <c r="D34" s="251"/>
      <c r="E34" s="251"/>
      <c r="F34" s="251"/>
      <c r="G34" s="251"/>
    </row>
    <row r="35" spans="1:7" ht="18" customHeight="1">
      <c r="A35" s="62"/>
      <c r="B35" s="72" t="s">
        <v>167</v>
      </c>
      <c r="C35" s="246" t="s">
        <v>178</v>
      </c>
      <c r="D35" s="247"/>
      <c r="E35" s="247"/>
      <c r="F35" s="247"/>
      <c r="G35" s="247"/>
    </row>
    <row r="36" spans="1:7" ht="18" customHeight="1">
      <c r="A36" s="62"/>
      <c r="B36" s="72" t="s">
        <v>16</v>
      </c>
      <c r="C36" s="246" t="s">
        <v>179</v>
      </c>
      <c r="D36" s="247"/>
      <c r="E36" s="247"/>
      <c r="F36" s="247"/>
      <c r="G36" s="247"/>
    </row>
    <row r="37" spans="1:7" ht="18" customHeight="1">
      <c r="A37" s="62"/>
      <c r="B37" s="250" t="s">
        <v>165</v>
      </c>
      <c r="C37" s="251"/>
      <c r="D37" s="251"/>
      <c r="E37" s="251"/>
      <c r="F37" s="251"/>
      <c r="G37" s="251"/>
    </row>
    <row r="38" spans="1:7" ht="18" customHeight="1">
      <c r="A38" s="62"/>
      <c r="B38" s="72" t="s">
        <v>101</v>
      </c>
      <c r="C38" s="246" t="s">
        <v>256</v>
      </c>
      <c r="D38" s="247"/>
      <c r="E38" s="247"/>
      <c r="F38" s="247"/>
      <c r="G38" s="247"/>
    </row>
    <row r="39" spans="1:7" ht="18" customHeight="1">
      <c r="A39" s="62"/>
      <c r="B39" s="72" t="s">
        <v>215</v>
      </c>
      <c r="C39" s="266" t="s">
        <v>255</v>
      </c>
      <c r="D39" s="267"/>
      <c r="E39" s="267"/>
      <c r="F39" s="267"/>
      <c r="G39" s="268"/>
    </row>
    <row r="40" spans="1:7" ht="18" customHeight="1">
      <c r="A40" s="62"/>
      <c r="B40" s="72" t="s">
        <v>19</v>
      </c>
      <c r="C40" s="246" t="s">
        <v>181</v>
      </c>
      <c r="D40" s="247"/>
      <c r="E40" s="247"/>
      <c r="F40" s="247"/>
      <c r="G40" s="247"/>
    </row>
    <row r="41" spans="1:7" ht="18" customHeight="1">
      <c r="A41" s="62"/>
      <c r="B41" s="72" t="s">
        <v>29</v>
      </c>
      <c r="C41" s="246" t="s">
        <v>182</v>
      </c>
      <c r="D41" s="247"/>
      <c r="E41" s="247"/>
      <c r="F41" s="247"/>
      <c r="G41" s="247"/>
    </row>
    <row r="42" spans="1:7" ht="18" customHeight="1">
      <c r="A42" s="62"/>
      <c r="B42" s="72" t="s">
        <v>7</v>
      </c>
      <c r="C42" s="246" t="s">
        <v>183</v>
      </c>
      <c r="D42" s="247"/>
      <c r="E42" s="247"/>
      <c r="F42" s="247"/>
      <c r="G42" s="247"/>
    </row>
    <row r="43" spans="1:7" ht="109.5" customHeight="1">
      <c r="A43" s="62"/>
      <c r="B43" s="72" t="s">
        <v>5</v>
      </c>
      <c r="C43" s="255" t="s">
        <v>206</v>
      </c>
      <c r="D43" s="247"/>
      <c r="E43" s="247"/>
      <c r="F43" s="247"/>
      <c r="G43" s="247"/>
    </row>
    <row r="44" spans="1:7" ht="27" customHeight="1">
      <c r="A44" s="62"/>
      <c r="B44" s="73" t="s">
        <v>116</v>
      </c>
      <c r="C44" s="246" t="s">
        <v>184</v>
      </c>
      <c r="D44" s="247"/>
      <c r="E44" s="247"/>
      <c r="F44" s="247"/>
      <c r="G44" s="247"/>
    </row>
    <row r="45" spans="1:7" ht="27" customHeight="1">
      <c r="A45" s="62"/>
      <c r="B45" s="73" t="s">
        <v>200</v>
      </c>
      <c r="C45" s="255" t="s">
        <v>214</v>
      </c>
      <c r="D45" s="247"/>
      <c r="E45" s="247"/>
      <c r="F45" s="247"/>
      <c r="G45" s="247"/>
    </row>
    <row r="46" spans="1:7" ht="27" customHeight="1">
      <c r="A46" s="62"/>
      <c r="B46" s="73" t="s">
        <v>254</v>
      </c>
      <c r="C46" s="255" t="s">
        <v>257</v>
      </c>
      <c r="D46" s="247"/>
      <c r="E46" s="247"/>
      <c r="F46" s="247"/>
      <c r="G46" s="247"/>
    </row>
    <row r="47" spans="1:7">
      <c r="A47" s="62"/>
      <c r="B47" s="102"/>
    </row>
    <row r="48" spans="1:7" s="44" customFormat="1" ht="16.5" customHeight="1">
      <c r="B48" s="248" t="s">
        <v>168</v>
      </c>
      <c r="C48" s="248"/>
      <c r="D48" s="248"/>
      <c r="E48" s="248"/>
      <c r="F48" s="248"/>
      <c r="G48" s="248"/>
    </row>
    <row r="49" spans="1:7" s="44" customFormat="1" ht="13.5" customHeight="1">
      <c r="B49" s="71" t="s">
        <v>162</v>
      </c>
      <c r="C49" s="249" t="s">
        <v>1</v>
      </c>
      <c r="D49" s="249"/>
      <c r="E49" s="249"/>
      <c r="F49" s="249"/>
      <c r="G49" s="249"/>
    </row>
    <row r="50" spans="1:7">
      <c r="A50" s="62"/>
      <c r="B50" s="250" t="s">
        <v>164</v>
      </c>
      <c r="C50" s="251"/>
      <c r="D50" s="251"/>
      <c r="E50" s="251"/>
      <c r="F50" s="251"/>
      <c r="G50" s="251"/>
    </row>
    <row r="51" spans="1:7" ht="18" customHeight="1">
      <c r="A51" s="62"/>
      <c r="B51" s="72" t="s">
        <v>167</v>
      </c>
      <c r="C51" s="246" t="s">
        <v>178</v>
      </c>
      <c r="D51" s="247"/>
      <c r="E51" s="247"/>
      <c r="F51" s="247"/>
      <c r="G51" s="247"/>
    </row>
    <row r="52" spans="1:7" ht="18" customHeight="1">
      <c r="A52" s="62"/>
      <c r="B52" s="72" t="s">
        <v>16</v>
      </c>
      <c r="C52" s="246" t="s">
        <v>179</v>
      </c>
      <c r="D52" s="247"/>
      <c r="E52" s="247"/>
      <c r="F52" s="247"/>
      <c r="G52" s="247"/>
    </row>
    <row r="53" spans="1:7" ht="18" customHeight="1">
      <c r="A53" s="62"/>
      <c r="B53" s="250" t="s">
        <v>165</v>
      </c>
      <c r="C53" s="251"/>
      <c r="D53" s="251"/>
      <c r="E53" s="251"/>
      <c r="F53" s="251"/>
      <c r="G53" s="251"/>
    </row>
    <row r="54" spans="1:7" ht="18" customHeight="1">
      <c r="A54" s="62"/>
      <c r="B54" s="72" t="s">
        <v>101</v>
      </c>
      <c r="C54" s="246" t="s">
        <v>180</v>
      </c>
      <c r="D54" s="247"/>
      <c r="E54" s="247"/>
      <c r="F54" s="247"/>
      <c r="G54" s="247"/>
    </row>
    <row r="55" spans="1:7" ht="18" customHeight="1">
      <c r="A55" s="62"/>
      <c r="B55" s="72" t="s">
        <v>215</v>
      </c>
      <c r="C55" s="246" t="s">
        <v>258</v>
      </c>
      <c r="D55" s="247"/>
      <c r="E55" s="247"/>
      <c r="F55" s="247"/>
      <c r="G55" s="247"/>
    </row>
    <row r="56" spans="1:7" ht="28.5" customHeight="1">
      <c r="A56" s="62"/>
      <c r="B56" s="72" t="s">
        <v>19</v>
      </c>
      <c r="C56" s="252" t="s">
        <v>185</v>
      </c>
      <c r="D56" s="253"/>
      <c r="E56" s="253"/>
      <c r="F56" s="253"/>
      <c r="G56" s="254"/>
    </row>
    <row r="57" spans="1:7" ht="18" customHeight="1">
      <c r="A57" s="62"/>
      <c r="B57" s="72" t="s">
        <v>18</v>
      </c>
      <c r="C57" s="252" t="s">
        <v>186</v>
      </c>
      <c r="D57" s="253"/>
      <c r="E57" s="253"/>
      <c r="F57" s="253"/>
      <c r="G57" s="254"/>
    </row>
    <row r="58" spans="1:7" ht="36">
      <c r="A58" s="62"/>
      <c r="B58" s="73" t="s">
        <v>120</v>
      </c>
      <c r="C58" s="246" t="s">
        <v>187</v>
      </c>
      <c r="D58" s="247"/>
      <c r="E58" s="247"/>
      <c r="F58" s="247"/>
      <c r="G58" s="247"/>
    </row>
    <row r="59" spans="1:7" ht="40.5" customHeight="1">
      <c r="A59" s="62"/>
      <c r="B59" s="72" t="s">
        <v>26</v>
      </c>
      <c r="C59" s="255" t="s">
        <v>188</v>
      </c>
      <c r="D59" s="247"/>
      <c r="E59" s="247"/>
      <c r="F59" s="247"/>
      <c r="G59" s="247"/>
    </row>
    <row r="60" spans="1:7" ht="42.75" customHeight="1">
      <c r="A60" s="62"/>
      <c r="B60" s="72" t="s">
        <v>25</v>
      </c>
      <c r="C60" s="255" t="s">
        <v>208</v>
      </c>
      <c r="D60" s="247"/>
      <c r="E60" s="247"/>
      <c r="F60" s="247"/>
      <c r="G60" s="247"/>
    </row>
    <row r="61" spans="1:7" ht="28.5" customHeight="1">
      <c r="A61" s="62"/>
      <c r="B61" s="72" t="s">
        <v>23</v>
      </c>
      <c r="C61" s="255" t="s">
        <v>209</v>
      </c>
      <c r="D61" s="247"/>
      <c r="E61" s="247"/>
      <c r="F61" s="247"/>
      <c r="G61" s="247"/>
    </row>
    <row r="62" spans="1:7" ht="18" customHeight="1">
      <c r="A62" s="62"/>
      <c r="B62" s="72" t="s">
        <v>24</v>
      </c>
      <c r="C62" s="246" t="s">
        <v>189</v>
      </c>
      <c r="D62" s="247"/>
      <c r="E62" s="247"/>
      <c r="F62" s="247"/>
      <c r="G62" s="247"/>
    </row>
    <row r="63" spans="1:7" ht="60" customHeight="1">
      <c r="A63" s="62"/>
      <c r="B63" s="72" t="s">
        <v>97</v>
      </c>
      <c r="C63" s="255" t="s">
        <v>210</v>
      </c>
      <c r="D63" s="247"/>
      <c r="E63" s="247"/>
      <c r="F63" s="247"/>
      <c r="G63" s="247"/>
    </row>
    <row r="64" spans="1:7" ht="42.75" customHeight="1">
      <c r="A64" s="62"/>
      <c r="B64" s="73" t="s">
        <v>27</v>
      </c>
      <c r="C64" s="255" t="s">
        <v>190</v>
      </c>
      <c r="D64" s="247"/>
      <c r="E64" s="247"/>
      <c r="F64" s="247"/>
      <c r="G64" s="247"/>
    </row>
    <row r="65" spans="1:7" ht="93.75" customHeight="1">
      <c r="A65" s="62"/>
      <c r="B65" s="73" t="s">
        <v>5</v>
      </c>
      <c r="C65" s="255" t="s">
        <v>207</v>
      </c>
      <c r="D65" s="247"/>
      <c r="E65" s="247"/>
      <c r="F65" s="247"/>
      <c r="G65" s="247"/>
    </row>
    <row r="66" spans="1:7" ht="27" customHeight="1">
      <c r="A66" s="62"/>
      <c r="B66" s="73" t="s">
        <v>116</v>
      </c>
      <c r="C66" s="255" t="s">
        <v>169</v>
      </c>
      <c r="D66" s="247"/>
      <c r="E66" s="247"/>
      <c r="F66" s="247"/>
      <c r="G66" s="247"/>
    </row>
    <row r="67" spans="1:7" ht="180.75" customHeight="1">
      <c r="A67" s="62"/>
      <c r="B67" s="143" t="s">
        <v>17</v>
      </c>
      <c r="C67" s="256" t="s">
        <v>330</v>
      </c>
      <c r="D67" s="257"/>
      <c r="E67" s="257"/>
      <c r="F67" s="257"/>
      <c r="G67" s="257"/>
    </row>
    <row r="68" spans="1:7" ht="25.5" customHeight="1">
      <c r="A68" s="62"/>
      <c r="B68" s="73" t="s">
        <v>200</v>
      </c>
      <c r="C68" s="255" t="s">
        <v>36</v>
      </c>
      <c r="D68" s="247"/>
      <c r="E68" s="247"/>
      <c r="F68" s="247"/>
      <c r="G68" s="247"/>
    </row>
    <row r="69" spans="1:7" ht="36">
      <c r="A69" s="62"/>
      <c r="B69" s="73" t="s">
        <v>121</v>
      </c>
      <c r="C69" s="255" t="s">
        <v>170</v>
      </c>
      <c r="D69" s="247"/>
      <c r="E69" s="247"/>
      <c r="F69" s="247"/>
      <c r="G69" s="247"/>
    </row>
    <row r="70" spans="1:7" ht="42.75" customHeight="1">
      <c r="A70" s="62"/>
      <c r="B70" s="73" t="s">
        <v>20</v>
      </c>
      <c r="C70" s="255" t="s">
        <v>191</v>
      </c>
      <c r="D70" s="247"/>
      <c r="E70" s="247"/>
      <c r="F70" s="247"/>
      <c r="G70" s="247"/>
    </row>
    <row r="71" spans="1:7" ht="45" customHeight="1">
      <c r="A71" s="62"/>
      <c r="B71" s="73" t="s">
        <v>4</v>
      </c>
      <c r="C71" s="255" t="s">
        <v>192</v>
      </c>
      <c r="D71" s="247"/>
      <c r="E71" s="247"/>
      <c r="F71" s="247"/>
      <c r="G71" s="247"/>
    </row>
    <row r="72" spans="1:7" s="44" customFormat="1" ht="13.5" customHeight="1">
      <c r="B72" s="47"/>
      <c r="C72" s="48"/>
      <c r="D72" s="48"/>
      <c r="E72" s="48"/>
      <c r="F72" s="48"/>
      <c r="G72" s="48"/>
    </row>
    <row r="73" spans="1:7">
      <c r="A73" s="62"/>
      <c r="B73" s="102"/>
    </row>
    <row r="74" spans="1:7" s="44" customFormat="1" ht="16.5" customHeight="1">
      <c r="B74" s="248" t="s">
        <v>171</v>
      </c>
      <c r="C74" s="248"/>
      <c r="D74" s="248"/>
      <c r="E74" s="248"/>
      <c r="F74" s="248"/>
      <c r="G74" s="248"/>
    </row>
    <row r="75" spans="1:7" s="44" customFormat="1" ht="13.5" customHeight="1">
      <c r="B75" s="71" t="s">
        <v>162</v>
      </c>
      <c r="C75" s="249" t="s">
        <v>1</v>
      </c>
      <c r="D75" s="249"/>
      <c r="E75" s="249"/>
      <c r="F75" s="249"/>
      <c r="G75" s="249"/>
    </row>
    <row r="76" spans="1:7">
      <c r="A76" s="62"/>
      <c r="B76" s="250" t="s">
        <v>164</v>
      </c>
      <c r="C76" s="251"/>
      <c r="D76" s="251"/>
      <c r="E76" s="251"/>
      <c r="F76" s="251"/>
      <c r="G76" s="251"/>
    </row>
    <row r="77" spans="1:7" ht="18" customHeight="1">
      <c r="A77" s="62"/>
      <c r="B77" s="72" t="s">
        <v>167</v>
      </c>
      <c r="C77" s="246" t="s">
        <v>178</v>
      </c>
      <c r="D77" s="247"/>
      <c r="E77" s="247"/>
      <c r="F77" s="247"/>
      <c r="G77" s="247"/>
    </row>
    <row r="78" spans="1:7" ht="18" customHeight="1">
      <c r="A78" s="62"/>
      <c r="B78" s="72" t="s">
        <v>16</v>
      </c>
      <c r="C78" s="246" t="s">
        <v>179</v>
      </c>
      <c r="D78" s="247"/>
      <c r="E78" s="247"/>
      <c r="F78" s="247"/>
      <c r="G78" s="247"/>
    </row>
    <row r="79" spans="1:7" ht="18" customHeight="1">
      <c r="A79" s="62"/>
      <c r="B79" s="250" t="s">
        <v>165</v>
      </c>
      <c r="C79" s="251"/>
      <c r="D79" s="251"/>
      <c r="E79" s="251"/>
      <c r="F79" s="251"/>
      <c r="G79" s="251"/>
    </row>
    <row r="80" spans="1:7" ht="18" customHeight="1">
      <c r="A80" s="62"/>
      <c r="B80" s="72" t="s">
        <v>101</v>
      </c>
      <c r="C80" s="246" t="s">
        <v>180</v>
      </c>
      <c r="D80" s="247"/>
      <c r="E80" s="247"/>
      <c r="F80" s="247"/>
      <c r="G80" s="247"/>
    </row>
    <row r="81" spans="1:7" ht="18" customHeight="1">
      <c r="A81" s="62"/>
      <c r="B81" s="72" t="s">
        <v>215</v>
      </c>
      <c r="C81" s="246" t="s">
        <v>259</v>
      </c>
      <c r="D81" s="247"/>
      <c r="E81" s="247"/>
      <c r="F81" s="247"/>
      <c r="G81" s="247"/>
    </row>
    <row r="82" spans="1:7" ht="18" customHeight="1">
      <c r="A82" s="62"/>
      <c r="B82" s="72" t="s">
        <v>14</v>
      </c>
      <c r="C82" s="252" t="s">
        <v>48</v>
      </c>
      <c r="D82" s="253"/>
      <c r="E82" s="253"/>
      <c r="F82" s="253"/>
      <c r="G82" s="254"/>
    </row>
    <row r="83" spans="1:7" ht="30" customHeight="1">
      <c r="A83" s="62"/>
      <c r="B83" s="73" t="s">
        <v>15</v>
      </c>
      <c r="C83" s="252" t="s">
        <v>44</v>
      </c>
      <c r="D83" s="253"/>
      <c r="E83" s="253"/>
      <c r="F83" s="253"/>
      <c r="G83" s="254"/>
    </row>
    <row r="84" spans="1:7" ht="143.25" customHeight="1">
      <c r="A84" s="62"/>
      <c r="B84" s="144" t="s">
        <v>17</v>
      </c>
      <c r="C84" s="256" t="s">
        <v>329</v>
      </c>
      <c r="D84" s="257"/>
      <c r="E84" s="257"/>
      <c r="F84" s="257"/>
      <c r="G84" s="257"/>
    </row>
    <row r="85" spans="1:7" ht="28.5" customHeight="1">
      <c r="A85" s="62"/>
      <c r="B85" s="72" t="s">
        <v>125</v>
      </c>
      <c r="C85" s="255" t="s">
        <v>193</v>
      </c>
      <c r="D85" s="247"/>
      <c r="E85" s="247"/>
      <c r="F85" s="247"/>
      <c r="G85" s="247"/>
    </row>
    <row r="86" spans="1:7" ht="38.25" customHeight="1">
      <c r="A86" s="62"/>
      <c r="B86" s="72" t="s">
        <v>5</v>
      </c>
      <c r="C86" s="255" t="s">
        <v>194</v>
      </c>
      <c r="D86" s="247"/>
      <c r="E86" s="247"/>
      <c r="F86" s="247"/>
      <c r="G86" s="247"/>
    </row>
    <row r="87" spans="1:7" ht="27.75" customHeight="1">
      <c r="A87" s="62"/>
      <c r="B87" s="73" t="s">
        <v>139</v>
      </c>
      <c r="C87" s="246" t="s">
        <v>169</v>
      </c>
      <c r="D87" s="247"/>
      <c r="E87" s="247"/>
      <c r="F87" s="247"/>
      <c r="G87" s="247"/>
    </row>
    <row r="88" spans="1:7" ht="18" customHeight="1">
      <c r="A88" s="62"/>
      <c r="B88" s="72" t="s">
        <v>126</v>
      </c>
      <c r="C88" s="246" t="s">
        <v>213</v>
      </c>
      <c r="D88" s="247"/>
      <c r="E88" s="247"/>
      <c r="F88" s="247"/>
      <c r="G88" s="247"/>
    </row>
    <row r="89" spans="1:7" s="44" customFormat="1" ht="13.5" customHeight="1">
      <c r="B89" s="47"/>
      <c r="C89" s="48"/>
      <c r="D89" s="48"/>
      <c r="E89" s="48"/>
      <c r="F89" s="48"/>
      <c r="G89" s="48"/>
    </row>
    <row r="90" spans="1:7">
      <c r="A90" s="62"/>
      <c r="B90" s="102"/>
    </row>
    <row r="91" spans="1:7" s="44" customFormat="1" ht="16.5" customHeight="1">
      <c r="B91" s="248" t="s">
        <v>174</v>
      </c>
      <c r="C91" s="248"/>
      <c r="D91" s="248"/>
      <c r="E91" s="248"/>
      <c r="F91" s="248"/>
      <c r="G91" s="248"/>
    </row>
    <row r="92" spans="1:7" s="44" customFormat="1" ht="13.5" customHeight="1">
      <c r="B92" s="71" t="s">
        <v>162</v>
      </c>
      <c r="C92" s="249" t="s">
        <v>1</v>
      </c>
      <c r="D92" s="249"/>
      <c r="E92" s="249"/>
      <c r="F92" s="249"/>
      <c r="G92" s="249"/>
    </row>
    <row r="93" spans="1:7">
      <c r="A93" s="62"/>
      <c r="B93" s="250" t="s">
        <v>164</v>
      </c>
      <c r="C93" s="251"/>
      <c r="D93" s="251"/>
      <c r="E93" s="251"/>
      <c r="F93" s="251"/>
      <c r="G93" s="251"/>
    </row>
    <row r="94" spans="1:7" ht="18" customHeight="1">
      <c r="A94" s="62"/>
      <c r="B94" s="72" t="s">
        <v>167</v>
      </c>
      <c r="C94" s="246" t="s">
        <v>178</v>
      </c>
      <c r="D94" s="247"/>
      <c r="E94" s="247"/>
      <c r="F94" s="247"/>
      <c r="G94" s="247"/>
    </row>
    <row r="95" spans="1:7" ht="18" customHeight="1">
      <c r="A95" s="62"/>
      <c r="B95" s="72" t="s">
        <v>16</v>
      </c>
      <c r="C95" s="246" t="s">
        <v>179</v>
      </c>
      <c r="D95" s="247"/>
      <c r="E95" s="247"/>
      <c r="F95" s="247"/>
      <c r="G95" s="247"/>
    </row>
    <row r="96" spans="1:7" ht="18" customHeight="1">
      <c r="A96" s="62"/>
      <c r="B96" s="250" t="s">
        <v>165</v>
      </c>
      <c r="C96" s="251"/>
      <c r="D96" s="251"/>
      <c r="E96" s="251"/>
      <c r="F96" s="251"/>
      <c r="G96" s="251"/>
    </row>
    <row r="97" spans="1:10" ht="28.5" customHeight="1">
      <c r="A97" s="62"/>
      <c r="B97" s="72" t="s">
        <v>128</v>
      </c>
      <c r="C97" s="252" t="s">
        <v>195</v>
      </c>
      <c r="D97" s="253"/>
      <c r="E97" s="253"/>
      <c r="F97" s="253"/>
      <c r="G97" s="254"/>
    </row>
    <row r="98" spans="1:10" ht="18" customHeight="1">
      <c r="A98" s="62"/>
      <c r="B98" s="72" t="s">
        <v>129</v>
      </c>
      <c r="C98" s="246" t="s">
        <v>175</v>
      </c>
      <c r="D98" s="247"/>
      <c r="E98" s="247"/>
      <c r="F98" s="247"/>
      <c r="G98" s="247"/>
    </row>
    <row r="99" spans="1:10" ht="28.5" customHeight="1">
      <c r="A99" s="62"/>
      <c r="B99" s="73" t="s">
        <v>130</v>
      </c>
      <c r="C99" s="246" t="s">
        <v>196</v>
      </c>
      <c r="D99" s="247"/>
      <c r="E99" s="247"/>
      <c r="F99" s="247"/>
      <c r="G99" s="247"/>
    </row>
    <row r="100" spans="1:10" ht="18" customHeight="1">
      <c r="A100" s="62"/>
      <c r="B100" s="72" t="s">
        <v>103</v>
      </c>
      <c r="C100" s="246" t="s">
        <v>176</v>
      </c>
      <c r="D100" s="247"/>
      <c r="E100" s="247"/>
      <c r="F100" s="247"/>
      <c r="G100" s="247"/>
    </row>
    <row r="101" spans="1:10" s="44" customFormat="1" ht="13.5" customHeight="1">
      <c r="B101" s="47"/>
      <c r="C101" s="48"/>
      <c r="D101" s="48"/>
      <c r="E101" s="48"/>
      <c r="F101" s="48"/>
      <c r="G101" s="48"/>
    </row>
    <row r="102" spans="1:10">
      <c r="A102" s="62"/>
      <c r="B102" s="102"/>
    </row>
    <row r="103" spans="1:10" s="44" customFormat="1" ht="16.5" customHeight="1">
      <c r="B103" s="248" t="s">
        <v>177</v>
      </c>
      <c r="C103" s="248"/>
      <c r="D103" s="248"/>
      <c r="E103" s="248"/>
      <c r="F103" s="248"/>
      <c r="G103" s="248"/>
    </row>
    <row r="104" spans="1:10" s="44" customFormat="1" ht="13.5" customHeight="1">
      <c r="B104" s="71" t="s">
        <v>162</v>
      </c>
      <c r="C104" s="249" t="s">
        <v>1</v>
      </c>
      <c r="D104" s="249"/>
      <c r="E104" s="249"/>
      <c r="F104" s="249"/>
      <c r="G104" s="249"/>
    </row>
    <row r="105" spans="1:10">
      <c r="A105" s="62"/>
      <c r="B105" s="250" t="s">
        <v>165</v>
      </c>
      <c r="C105" s="251"/>
      <c r="D105" s="251"/>
      <c r="E105" s="251"/>
      <c r="F105" s="251"/>
      <c r="G105" s="251"/>
    </row>
    <row r="106" spans="1:10" ht="18" customHeight="1">
      <c r="A106" s="62"/>
      <c r="B106" s="72" t="s">
        <v>152</v>
      </c>
      <c r="C106" s="246" t="s">
        <v>197</v>
      </c>
      <c r="D106" s="247"/>
      <c r="E106" s="247"/>
      <c r="F106" s="247"/>
      <c r="G106" s="247"/>
    </row>
    <row r="107" spans="1:10" ht="18" customHeight="1">
      <c r="A107" s="62"/>
      <c r="B107" s="72" t="s">
        <v>153</v>
      </c>
      <c r="C107" s="246" t="s">
        <v>198</v>
      </c>
      <c r="D107" s="247"/>
      <c r="E107" s="247"/>
      <c r="F107" s="247"/>
      <c r="G107" s="247"/>
    </row>
    <row r="108" spans="1:10" ht="18" customHeight="1">
      <c r="A108" s="62"/>
      <c r="B108" s="74"/>
      <c r="C108" s="74"/>
      <c r="D108" s="49"/>
      <c r="E108" s="49"/>
      <c r="F108" s="49"/>
      <c r="G108" s="49"/>
    </row>
    <row r="109" spans="1:10">
      <c r="A109" s="66"/>
      <c r="B109" s="75"/>
      <c r="C109" s="68"/>
      <c r="D109" s="76"/>
      <c r="E109" s="76"/>
      <c r="F109" s="76"/>
      <c r="G109" s="68"/>
      <c r="H109" s="77"/>
      <c r="I109" s="77"/>
      <c r="J109" s="77"/>
    </row>
    <row r="110" spans="1:10">
      <c r="A110" s="66"/>
      <c r="B110" s="75"/>
      <c r="C110" s="68"/>
      <c r="D110" s="76"/>
      <c r="E110" s="76"/>
      <c r="F110" s="76"/>
      <c r="G110" s="68"/>
      <c r="H110" s="77"/>
      <c r="I110" s="77"/>
      <c r="J110" s="77"/>
    </row>
    <row r="111" spans="1:10">
      <c r="A111" s="66"/>
      <c r="B111" s="75"/>
      <c r="C111" s="68"/>
      <c r="D111" s="76"/>
      <c r="E111" s="76"/>
      <c r="F111" s="76"/>
      <c r="G111" s="68"/>
      <c r="H111" s="77"/>
      <c r="I111" s="77"/>
      <c r="J111" s="77"/>
    </row>
    <row r="112" spans="1:10">
      <c r="A112" s="66"/>
      <c r="B112" s="75"/>
      <c r="C112" s="68"/>
      <c r="D112" s="76"/>
      <c r="E112" s="76"/>
      <c r="F112" s="76"/>
      <c r="G112" s="68"/>
      <c r="H112" s="77"/>
      <c r="I112" s="77"/>
      <c r="J112" s="77"/>
    </row>
    <row r="113" spans="1:10">
      <c r="A113" s="66"/>
      <c r="B113" s="75"/>
      <c r="C113" s="68"/>
      <c r="D113" s="76"/>
      <c r="E113" s="76"/>
      <c r="F113" s="76"/>
      <c r="G113" s="68"/>
      <c r="H113" s="77"/>
      <c r="I113" s="77"/>
      <c r="J113" s="77"/>
    </row>
    <row r="114" spans="1:10" ht="20.25" customHeight="1">
      <c r="A114" s="66"/>
      <c r="B114" s="75"/>
      <c r="C114" s="68"/>
      <c r="D114" s="68"/>
      <c r="E114" s="68"/>
      <c r="F114" s="68"/>
      <c r="G114" s="68"/>
      <c r="H114" s="77"/>
      <c r="I114" s="77"/>
      <c r="J114" s="77"/>
    </row>
    <row r="115" spans="1:10" ht="20.25" customHeight="1">
      <c r="A115" s="66"/>
      <c r="B115" s="269"/>
      <c r="C115" s="269"/>
      <c r="D115" s="68"/>
      <c r="E115" s="68"/>
      <c r="F115" s="68"/>
      <c r="G115" s="68"/>
      <c r="H115" s="77"/>
      <c r="I115" s="77"/>
      <c r="J115" s="77"/>
    </row>
    <row r="116" spans="1:10" ht="20.25" customHeight="1">
      <c r="A116" s="66"/>
      <c r="B116" s="75"/>
      <c r="C116" s="68"/>
      <c r="D116" s="68"/>
      <c r="E116" s="68"/>
      <c r="F116" s="68"/>
      <c r="G116" s="68"/>
      <c r="H116" s="77"/>
      <c r="I116" s="77"/>
      <c r="J116" s="77"/>
    </row>
    <row r="117" spans="1:10" ht="20.25" customHeight="1">
      <c r="A117" s="66"/>
      <c r="B117" s="75"/>
      <c r="C117" s="68"/>
      <c r="D117" s="68"/>
      <c r="E117" s="68"/>
      <c r="F117" s="68"/>
      <c r="G117" s="68"/>
      <c r="H117" s="77"/>
      <c r="I117" s="77"/>
      <c r="J117" s="77"/>
    </row>
    <row r="118" spans="1:10" ht="30.75" customHeight="1">
      <c r="A118" s="66"/>
      <c r="B118" s="269"/>
      <c r="C118" s="269"/>
      <c r="D118" s="78"/>
      <c r="E118" s="78"/>
      <c r="F118" s="78"/>
      <c r="G118" s="68"/>
      <c r="H118" s="77"/>
      <c r="I118" s="77"/>
      <c r="J118" s="77"/>
    </row>
    <row r="119" spans="1:10">
      <c r="A119" s="66"/>
      <c r="B119" s="75"/>
      <c r="C119" s="75"/>
      <c r="D119" s="68"/>
      <c r="E119" s="68"/>
      <c r="F119" s="68"/>
      <c r="G119" s="68"/>
      <c r="H119" s="77"/>
      <c r="I119" s="77"/>
      <c r="J119" s="77"/>
    </row>
    <row r="120" spans="1:10">
      <c r="A120" s="66"/>
      <c r="B120" s="75"/>
      <c r="C120" s="75"/>
      <c r="D120" s="68"/>
      <c r="E120" s="68"/>
      <c r="F120" s="68"/>
      <c r="G120" s="68"/>
      <c r="H120" s="77"/>
      <c r="I120" s="77"/>
      <c r="J120" s="77"/>
    </row>
    <row r="121" spans="1:10">
      <c r="A121" s="66"/>
      <c r="B121" s="75"/>
      <c r="C121" s="75"/>
      <c r="D121" s="68"/>
      <c r="E121" s="68"/>
      <c r="F121" s="68"/>
      <c r="G121" s="68"/>
      <c r="H121" s="77"/>
      <c r="I121" s="77"/>
      <c r="J121" s="77"/>
    </row>
    <row r="122" spans="1:10">
      <c r="A122" s="66"/>
      <c r="B122" s="75"/>
      <c r="C122" s="75"/>
      <c r="D122" s="68"/>
      <c r="E122" s="68"/>
      <c r="F122" s="68"/>
      <c r="G122" s="68"/>
      <c r="H122" s="77"/>
      <c r="I122" s="77"/>
      <c r="J122" s="77"/>
    </row>
    <row r="123" spans="1:10" ht="27.75" customHeight="1">
      <c r="A123" s="66"/>
      <c r="B123" s="269"/>
      <c r="C123" s="269"/>
      <c r="D123" s="78"/>
      <c r="E123" s="78"/>
      <c r="F123" s="78"/>
      <c r="G123" s="68"/>
      <c r="H123" s="77"/>
      <c r="I123" s="77"/>
      <c r="J123" s="77"/>
    </row>
    <row r="124" spans="1:10">
      <c r="A124" s="66"/>
      <c r="B124" s="75"/>
      <c r="C124" s="75"/>
      <c r="D124" s="68"/>
      <c r="E124" s="68"/>
      <c r="F124" s="68"/>
      <c r="G124" s="68"/>
      <c r="H124" s="77"/>
      <c r="I124" s="77"/>
      <c r="J124" s="77"/>
    </row>
    <row r="125" spans="1:10">
      <c r="A125" s="66"/>
      <c r="B125" s="75"/>
      <c r="C125" s="75"/>
      <c r="D125" s="68"/>
      <c r="E125" s="68"/>
      <c r="F125" s="68"/>
      <c r="G125" s="68"/>
      <c r="H125" s="77"/>
      <c r="I125" s="77"/>
      <c r="J125" s="77"/>
    </row>
    <row r="126" spans="1:10">
      <c r="A126" s="66"/>
      <c r="B126" s="79"/>
      <c r="C126" s="68"/>
      <c r="D126" s="68"/>
      <c r="E126" s="68"/>
      <c r="F126" s="68"/>
      <c r="G126" s="68"/>
      <c r="H126" s="77"/>
      <c r="I126" s="77"/>
      <c r="J126" s="77"/>
    </row>
    <row r="127" spans="1:10" s="68" customFormat="1">
      <c r="A127" s="66"/>
      <c r="B127" s="79"/>
      <c r="H127" s="80"/>
      <c r="I127" s="80"/>
      <c r="J127" s="80"/>
    </row>
    <row r="128" spans="1:10" ht="18.75" customHeight="1">
      <c r="A128" s="66"/>
      <c r="B128" s="103"/>
      <c r="C128" s="68"/>
      <c r="D128" s="68"/>
      <c r="E128" s="68"/>
      <c r="F128" s="68"/>
      <c r="G128" s="68"/>
      <c r="H128" s="77"/>
      <c r="I128" s="77"/>
      <c r="J128" s="77"/>
    </row>
    <row r="129" spans="1:10">
      <c r="A129" s="66"/>
      <c r="B129" s="103"/>
      <c r="C129" s="68"/>
      <c r="D129" s="68"/>
      <c r="E129" s="68"/>
      <c r="F129" s="68"/>
      <c r="G129" s="68"/>
      <c r="H129" s="77"/>
      <c r="I129" s="77"/>
      <c r="J129" s="77"/>
    </row>
    <row r="130" spans="1:10" ht="17.25" customHeight="1">
      <c r="A130" s="66"/>
      <c r="B130" s="269"/>
      <c r="C130" s="269"/>
      <c r="D130" s="68"/>
      <c r="E130" s="68"/>
      <c r="F130" s="68"/>
      <c r="G130" s="68"/>
      <c r="H130" s="77"/>
      <c r="I130" s="77"/>
      <c r="J130" s="77"/>
    </row>
    <row r="131" spans="1:10" ht="17.25" customHeight="1">
      <c r="A131" s="66"/>
      <c r="B131" s="269"/>
      <c r="C131" s="269"/>
      <c r="D131" s="68"/>
      <c r="E131" s="68"/>
      <c r="F131" s="68"/>
      <c r="G131" s="68"/>
      <c r="H131" s="77"/>
      <c r="I131" s="77"/>
      <c r="J131" s="77"/>
    </row>
    <row r="132" spans="1:10" ht="17.25" customHeight="1">
      <c r="A132" s="66"/>
      <c r="B132" s="269"/>
      <c r="C132" s="269"/>
      <c r="D132" s="68"/>
      <c r="E132" s="68"/>
      <c r="F132" s="68"/>
      <c r="G132" s="68"/>
      <c r="H132" s="77"/>
      <c r="I132" s="77"/>
      <c r="J132" s="77"/>
    </row>
    <row r="133" spans="1:10" ht="23.25" customHeight="1">
      <c r="A133" s="66"/>
      <c r="B133" s="269"/>
      <c r="C133" s="269"/>
      <c r="D133" s="78"/>
      <c r="E133" s="78"/>
      <c r="F133" s="78"/>
      <c r="G133" s="68"/>
      <c r="H133" s="77"/>
      <c r="I133" s="77"/>
      <c r="J133" s="77"/>
    </row>
    <row r="134" spans="1:10">
      <c r="A134" s="66"/>
      <c r="B134" s="81"/>
      <c r="C134" s="68"/>
      <c r="D134" s="68"/>
      <c r="E134" s="68"/>
      <c r="F134" s="68"/>
      <c r="G134" s="68"/>
      <c r="H134" s="77"/>
      <c r="I134" s="77"/>
      <c r="J134" s="77"/>
    </row>
    <row r="135" spans="1:10">
      <c r="A135" s="66"/>
      <c r="B135" s="103"/>
      <c r="C135" s="68"/>
      <c r="D135" s="68"/>
      <c r="E135" s="68"/>
      <c r="F135" s="68"/>
      <c r="G135" s="68"/>
      <c r="H135" s="77"/>
      <c r="I135" s="77"/>
      <c r="J135" s="77"/>
    </row>
    <row r="136" spans="1:10">
      <c r="A136" s="66"/>
      <c r="B136" s="103"/>
      <c r="C136" s="68"/>
      <c r="D136" s="68"/>
      <c r="E136" s="68"/>
      <c r="F136" s="68"/>
      <c r="G136" s="68"/>
      <c r="H136" s="77"/>
      <c r="I136" s="77"/>
      <c r="J136" s="77"/>
    </row>
    <row r="137" spans="1:10">
      <c r="A137" s="66"/>
      <c r="B137" s="104"/>
      <c r="C137" s="68"/>
      <c r="D137" s="68"/>
      <c r="E137" s="68"/>
      <c r="F137" s="68"/>
      <c r="G137" s="68"/>
      <c r="H137" s="77"/>
      <c r="I137" s="77"/>
      <c r="J137" s="77"/>
    </row>
    <row r="138" spans="1:10" ht="18.75" customHeight="1">
      <c r="A138" s="62"/>
      <c r="B138" s="82"/>
      <c r="G138" s="83"/>
      <c r="H138" s="77"/>
      <c r="I138" s="77"/>
      <c r="J138" s="77"/>
    </row>
    <row r="139" spans="1:10" ht="18.75" customHeight="1">
      <c r="A139" s="66"/>
      <c r="B139" s="103"/>
      <c r="C139" s="68"/>
      <c r="D139" s="68"/>
      <c r="E139" s="68"/>
      <c r="F139" s="68"/>
      <c r="G139" s="68"/>
      <c r="H139" s="77"/>
      <c r="I139" s="77"/>
      <c r="J139" s="77"/>
    </row>
    <row r="140" spans="1:10" ht="18.75" customHeight="1">
      <c r="A140" s="66"/>
      <c r="B140" s="104"/>
      <c r="C140" s="68"/>
      <c r="D140" s="68"/>
      <c r="E140" s="68"/>
      <c r="F140" s="68"/>
      <c r="G140" s="68"/>
      <c r="H140" s="77"/>
      <c r="I140" s="77"/>
      <c r="J140" s="77"/>
    </row>
    <row r="141" spans="1:10">
      <c r="A141" s="66"/>
      <c r="B141" s="84"/>
      <c r="C141" s="68"/>
      <c r="D141" s="68"/>
      <c r="E141" s="68"/>
      <c r="F141" s="68"/>
      <c r="G141" s="68"/>
      <c r="H141" s="77"/>
      <c r="I141" s="77"/>
      <c r="J141" s="77"/>
    </row>
    <row r="142" spans="1:10" ht="16.5" customHeight="1">
      <c r="A142" s="66"/>
      <c r="B142" s="85"/>
      <c r="C142" s="68"/>
      <c r="D142" s="78"/>
      <c r="E142" s="78"/>
      <c r="F142" s="78"/>
      <c r="G142" s="68"/>
      <c r="H142" s="77"/>
      <c r="I142" s="77"/>
      <c r="J142" s="77"/>
    </row>
    <row r="143" spans="1:10" ht="18.75" customHeight="1">
      <c r="A143" s="66"/>
      <c r="B143" s="85"/>
      <c r="C143" s="68"/>
      <c r="D143" s="86"/>
      <c r="E143" s="86"/>
      <c r="F143" s="86"/>
      <c r="G143" s="86"/>
      <c r="H143" s="77"/>
      <c r="I143" s="77"/>
      <c r="J143" s="77"/>
    </row>
    <row r="144" spans="1:10" ht="18.75" customHeight="1">
      <c r="A144" s="66"/>
      <c r="B144" s="85"/>
      <c r="C144" s="68"/>
      <c r="D144" s="78"/>
      <c r="E144" s="78"/>
      <c r="F144" s="78"/>
      <c r="G144" s="68"/>
      <c r="H144" s="77"/>
      <c r="I144" s="77"/>
      <c r="J144" s="77"/>
    </row>
    <row r="145" spans="1:10" ht="18.75" customHeight="1">
      <c r="A145" s="66"/>
      <c r="B145" s="85"/>
      <c r="C145" s="68"/>
      <c r="D145" s="78"/>
      <c r="E145" s="78"/>
      <c r="F145" s="78"/>
      <c r="G145" s="68"/>
      <c r="H145" s="77"/>
      <c r="I145" s="77"/>
      <c r="J145" s="77"/>
    </row>
    <row r="146" spans="1:10" ht="18.75" customHeight="1">
      <c r="A146" s="66"/>
      <c r="B146" s="85"/>
      <c r="C146" s="68"/>
      <c r="D146" s="78"/>
      <c r="E146" s="78"/>
      <c r="F146" s="78"/>
      <c r="G146" s="68"/>
      <c r="H146" s="77"/>
      <c r="I146" s="77"/>
      <c r="J146" s="77"/>
    </row>
    <row r="147" spans="1:10" ht="18.75" customHeight="1">
      <c r="A147" s="66"/>
      <c r="B147" s="85"/>
      <c r="C147" s="68"/>
      <c r="D147" s="78"/>
      <c r="E147" s="78"/>
      <c r="F147" s="78"/>
      <c r="G147" s="68"/>
      <c r="H147" s="77"/>
      <c r="I147" s="77"/>
      <c r="J147" s="77"/>
    </row>
    <row r="148" spans="1:10" ht="18.75" customHeight="1">
      <c r="A148" s="66"/>
      <c r="B148" s="85"/>
      <c r="C148" s="68"/>
      <c r="D148" s="78"/>
      <c r="E148" s="78"/>
      <c r="F148" s="78"/>
      <c r="G148" s="68"/>
      <c r="H148" s="77"/>
      <c r="I148" s="77"/>
      <c r="J148" s="77"/>
    </row>
    <row r="149" spans="1:10" ht="18.75" customHeight="1">
      <c r="A149" s="66"/>
      <c r="B149" s="85"/>
      <c r="C149" s="68"/>
      <c r="D149" s="78"/>
      <c r="E149" s="78"/>
      <c r="F149" s="78"/>
      <c r="G149" s="68"/>
      <c r="H149" s="77"/>
      <c r="I149" s="77"/>
      <c r="J149" s="77"/>
    </row>
    <row r="150" spans="1:10" ht="18.75" customHeight="1">
      <c r="A150" s="66"/>
      <c r="B150" s="85"/>
      <c r="C150" s="68"/>
      <c r="D150" s="78"/>
      <c r="E150" s="78"/>
      <c r="F150" s="78"/>
      <c r="G150" s="68"/>
      <c r="H150" s="77"/>
      <c r="I150" s="77"/>
      <c r="J150" s="77"/>
    </row>
    <row r="151" spans="1:10" ht="18.75" customHeight="1">
      <c r="A151" s="66"/>
      <c r="B151" s="85"/>
      <c r="C151" s="68"/>
      <c r="D151" s="78"/>
      <c r="E151" s="78"/>
      <c r="F151" s="78"/>
      <c r="G151" s="68"/>
      <c r="H151" s="77"/>
      <c r="I151" s="77"/>
      <c r="J151" s="77"/>
    </row>
    <row r="152" spans="1:10" ht="18.75" customHeight="1">
      <c r="A152" s="66"/>
      <c r="B152" s="85"/>
      <c r="C152" s="68"/>
      <c r="D152" s="78"/>
      <c r="E152" s="78"/>
      <c r="F152" s="78"/>
      <c r="G152" s="68"/>
      <c r="H152" s="77"/>
      <c r="I152" s="77"/>
      <c r="J152" s="77"/>
    </row>
    <row r="153" spans="1:10" ht="18.75" customHeight="1">
      <c r="A153" s="66"/>
      <c r="B153" s="85"/>
      <c r="C153" s="68"/>
      <c r="D153" s="78"/>
      <c r="E153" s="78"/>
      <c r="F153" s="78"/>
      <c r="G153" s="68"/>
      <c r="H153" s="77"/>
      <c r="I153" s="77"/>
      <c r="J153" s="77"/>
    </row>
    <row r="154" spans="1:10" ht="18.75" customHeight="1">
      <c r="A154" s="66"/>
      <c r="B154" s="85"/>
      <c r="C154" s="68"/>
      <c r="D154" s="78"/>
      <c r="E154" s="78"/>
      <c r="F154" s="78"/>
      <c r="G154" s="68"/>
      <c r="H154" s="77"/>
      <c r="I154" s="77"/>
      <c r="J154" s="77"/>
    </row>
    <row r="155" spans="1:10" ht="18.75" customHeight="1">
      <c r="A155" s="66"/>
      <c r="B155" s="85"/>
      <c r="C155" s="68"/>
      <c r="D155" s="78"/>
      <c r="E155" s="78"/>
      <c r="F155" s="78"/>
      <c r="G155" s="68"/>
      <c r="H155" s="77"/>
      <c r="I155" s="77"/>
      <c r="J155" s="77"/>
    </row>
    <row r="156" spans="1:10" ht="18.75" customHeight="1">
      <c r="A156" s="66"/>
      <c r="B156" s="85"/>
      <c r="C156" s="68"/>
      <c r="D156" s="78"/>
      <c r="E156" s="78"/>
      <c r="F156" s="78"/>
      <c r="G156" s="68"/>
      <c r="H156" s="77"/>
      <c r="I156" s="77"/>
      <c r="J156" s="77"/>
    </row>
    <row r="157" spans="1:10" ht="18.75" customHeight="1">
      <c r="A157" s="66"/>
      <c r="B157" s="85"/>
      <c r="C157" s="68"/>
      <c r="D157" s="78"/>
      <c r="E157" s="78"/>
      <c r="F157" s="78"/>
      <c r="G157" s="68"/>
      <c r="H157" s="77"/>
      <c r="I157" s="77"/>
      <c r="J157" s="77"/>
    </row>
    <row r="158" spans="1:10" ht="33.75" customHeight="1">
      <c r="A158" s="66"/>
      <c r="B158" s="85"/>
      <c r="C158" s="68"/>
      <c r="D158" s="245"/>
      <c r="E158" s="245"/>
      <c r="F158" s="245"/>
      <c r="G158" s="245"/>
      <c r="H158" s="77"/>
      <c r="I158" s="77"/>
      <c r="J158" s="77"/>
    </row>
    <row r="159" spans="1:10" ht="18.75" customHeight="1">
      <c r="A159" s="66"/>
      <c r="B159" s="85"/>
      <c r="C159" s="68"/>
      <c r="D159" s="78"/>
      <c r="E159" s="78"/>
      <c r="F159" s="78"/>
      <c r="G159" s="68"/>
      <c r="H159" s="77"/>
      <c r="I159" s="77"/>
      <c r="J159" s="77"/>
    </row>
    <row r="160" spans="1:10" ht="18.75" customHeight="1">
      <c r="A160" s="66"/>
      <c r="B160" s="85"/>
      <c r="C160" s="68"/>
      <c r="D160" s="87"/>
      <c r="E160" s="87"/>
      <c r="F160" s="87"/>
      <c r="G160" s="68"/>
      <c r="H160" s="77"/>
      <c r="I160" s="77"/>
      <c r="J160" s="77"/>
    </row>
    <row r="161" spans="1:10" ht="18.75" customHeight="1">
      <c r="A161" s="66"/>
      <c r="B161" s="85"/>
      <c r="C161" s="68"/>
      <c r="D161" s="87"/>
      <c r="E161" s="87"/>
      <c r="F161" s="87"/>
      <c r="G161" s="68"/>
      <c r="H161" s="77"/>
      <c r="I161" s="77"/>
      <c r="J161" s="77"/>
    </row>
    <row r="162" spans="1:10" ht="18.75" customHeight="1">
      <c r="A162" s="66"/>
      <c r="B162" s="85"/>
      <c r="C162" s="68"/>
      <c r="D162" s="88"/>
      <c r="E162" s="88"/>
      <c r="F162" s="88"/>
      <c r="G162" s="68"/>
      <c r="H162" s="77"/>
      <c r="I162" s="77"/>
      <c r="J162" s="77"/>
    </row>
    <row r="163" spans="1:10" ht="18.75" customHeight="1">
      <c r="A163" s="66"/>
      <c r="B163" s="85"/>
      <c r="C163" s="68"/>
      <c r="D163" s="88"/>
      <c r="E163" s="88"/>
      <c r="F163" s="88"/>
      <c r="G163" s="68"/>
      <c r="H163" s="77"/>
      <c r="I163" s="77"/>
      <c r="J163" s="77"/>
    </row>
    <row r="164" spans="1:10" ht="18.75" customHeight="1">
      <c r="A164" s="66"/>
      <c r="B164" s="85"/>
      <c r="C164" s="68"/>
      <c r="D164" s="68"/>
      <c r="E164" s="68"/>
      <c r="F164" s="68"/>
      <c r="G164" s="68"/>
      <c r="H164" s="77"/>
      <c r="I164" s="77"/>
      <c r="J164" s="77"/>
    </row>
    <row r="165" spans="1:10" ht="18.75" customHeight="1">
      <c r="A165" s="66"/>
      <c r="B165" s="85"/>
      <c r="C165" s="68"/>
      <c r="D165" s="89"/>
      <c r="E165" s="89"/>
      <c r="F165" s="89"/>
      <c r="G165" s="78"/>
      <c r="H165" s="77"/>
      <c r="I165" s="77"/>
      <c r="J165" s="77"/>
    </row>
    <row r="166" spans="1:10" ht="18.75" customHeight="1">
      <c r="A166" s="66"/>
      <c r="B166" s="85"/>
      <c r="C166" s="68"/>
      <c r="D166" s="89"/>
      <c r="E166" s="89"/>
      <c r="F166" s="89"/>
      <c r="G166" s="78"/>
      <c r="H166" s="77"/>
      <c r="I166" s="77"/>
      <c r="J166" s="77"/>
    </row>
    <row r="167" spans="1:10" ht="18.75" customHeight="1">
      <c r="A167" s="66"/>
      <c r="B167" s="85"/>
      <c r="C167" s="68"/>
      <c r="D167" s="89"/>
      <c r="E167" s="89"/>
      <c r="F167" s="89"/>
      <c r="G167" s="78"/>
      <c r="H167" s="77"/>
      <c r="I167" s="77"/>
      <c r="J167" s="77"/>
    </row>
    <row r="168" spans="1:10" ht="18.75" customHeight="1">
      <c r="A168" s="66"/>
      <c r="B168" s="85"/>
      <c r="C168" s="68"/>
      <c r="D168" s="89"/>
      <c r="E168" s="89"/>
      <c r="F168" s="89"/>
      <c r="G168" s="78"/>
      <c r="H168" s="77"/>
      <c r="I168" s="77"/>
      <c r="J168" s="77"/>
    </row>
    <row r="169" spans="1:10" ht="18.75" customHeight="1">
      <c r="A169" s="66"/>
      <c r="B169" s="85"/>
      <c r="C169" s="68"/>
      <c r="D169" s="89"/>
      <c r="E169" s="89"/>
      <c r="F169" s="89"/>
      <c r="G169" s="78"/>
      <c r="H169" s="77"/>
      <c r="I169" s="77"/>
      <c r="J169" s="77"/>
    </row>
    <row r="170" spans="1:10" ht="18" customHeight="1">
      <c r="A170" s="66"/>
      <c r="B170" s="85"/>
      <c r="C170" s="68"/>
      <c r="D170" s="89"/>
      <c r="E170" s="89"/>
      <c r="F170" s="89"/>
      <c r="G170" s="78"/>
      <c r="H170" s="77"/>
      <c r="I170" s="77"/>
      <c r="J170" s="77"/>
    </row>
    <row r="171" spans="1:10" ht="18" customHeight="1">
      <c r="A171" s="66"/>
      <c r="B171" s="85"/>
      <c r="C171" s="68"/>
      <c r="D171" s="88"/>
      <c r="E171" s="88"/>
      <c r="F171" s="88"/>
      <c r="G171" s="68"/>
      <c r="H171" s="77"/>
      <c r="I171" s="77"/>
      <c r="J171" s="77"/>
    </row>
    <row r="172" spans="1:10" ht="18" customHeight="1">
      <c r="A172" s="66"/>
      <c r="B172" s="85"/>
      <c r="C172" s="68"/>
      <c r="D172" s="88"/>
      <c r="E172" s="88"/>
      <c r="F172" s="88"/>
      <c r="G172" s="68"/>
      <c r="H172" s="77"/>
      <c r="I172" s="77"/>
      <c r="J172" s="77"/>
    </row>
    <row r="173" spans="1:10" ht="18.75" customHeight="1">
      <c r="A173" s="66"/>
      <c r="B173" s="85"/>
      <c r="C173" s="68"/>
      <c r="D173" s="68"/>
      <c r="E173" s="68"/>
      <c r="F173" s="68"/>
      <c r="G173" s="68"/>
      <c r="H173" s="77"/>
      <c r="I173" s="77"/>
      <c r="J173" s="77"/>
    </row>
    <row r="174" spans="1:10" ht="26.25" customHeight="1">
      <c r="A174" s="66"/>
      <c r="B174" s="85"/>
      <c r="C174" s="68"/>
      <c r="D174" s="68"/>
      <c r="E174" s="68"/>
      <c r="F174" s="68"/>
      <c r="G174" s="69"/>
      <c r="H174" s="77"/>
      <c r="I174" s="77"/>
      <c r="J174" s="77"/>
    </row>
    <row r="175" spans="1:10" ht="18.75" customHeight="1">
      <c r="A175" s="66"/>
      <c r="B175" s="85"/>
      <c r="C175" s="68"/>
      <c r="D175" s="68"/>
      <c r="E175" s="68"/>
      <c r="F175" s="68"/>
      <c r="G175" s="68"/>
      <c r="H175" s="77"/>
      <c r="I175" s="77"/>
      <c r="J175" s="77"/>
    </row>
    <row r="176" spans="1:10" ht="18.75" customHeight="1">
      <c r="A176" s="66"/>
      <c r="B176" s="85"/>
      <c r="C176" s="68"/>
      <c r="D176" s="88"/>
      <c r="E176" s="88"/>
      <c r="F176" s="88"/>
      <c r="G176" s="68"/>
      <c r="H176" s="77"/>
      <c r="I176" s="77"/>
      <c r="J176" s="77"/>
    </row>
    <row r="177" spans="1:10" ht="18.75" customHeight="1">
      <c r="A177" s="66"/>
      <c r="B177" s="90"/>
      <c r="C177" s="68"/>
      <c r="D177" s="68"/>
      <c r="E177" s="68"/>
      <c r="F177" s="68"/>
      <c r="G177" s="68"/>
      <c r="H177" s="77"/>
      <c r="I177" s="77"/>
      <c r="J177" s="77"/>
    </row>
    <row r="178" spans="1:10" ht="15" customHeight="1">
      <c r="A178" s="66"/>
      <c r="B178" s="104"/>
      <c r="C178" s="68"/>
      <c r="D178" s="68"/>
      <c r="E178" s="68"/>
      <c r="F178" s="68"/>
      <c r="G178" s="68"/>
      <c r="H178" s="77"/>
      <c r="I178" s="77"/>
      <c r="J178" s="77"/>
    </row>
    <row r="179" spans="1:10" ht="15" customHeight="1">
      <c r="A179" s="66"/>
      <c r="B179" s="104"/>
      <c r="C179" s="68"/>
      <c r="D179" s="68"/>
      <c r="E179" s="68"/>
      <c r="F179" s="68"/>
      <c r="G179" s="68"/>
      <c r="H179" s="77"/>
      <c r="I179" s="77"/>
      <c r="J179" s="77"/>
    </row>
    <row r="180" spans="1:10" ht="15" customHeight="1">
      <c r="A180" s="66"/>
      <c r="B180" s="104"/>
      <c r="C180" s="68"/>
      <c r="D180" s="68"/>
      <c r="E180" s="68"/>
      <c r="F180" s="68"/>
      <c r="G180" s="68"/>
      <c r="H180" s="77"/>
      <c r="I180" s="77"/>
      <c r="J180" s="77"/>
    </row>
    <row r="181" spans="1:10">
      <c r="A181" s="80"/>
      <c r="B181" s="80"/>
      <c r="C181" s="80"/>
      <c r="D181" s="91"/>
      <c r="E181" s="91"/>
      <c r="F181" s="91"/>
      <c r="G181" s="91"/>
      <c r="H181" s="77"/>
      <c r="I181" s="77"/>
      <c r="J181" s="77"/>
    </row>
    <row r="182" spans="1:10">
      <c r="A182" s="68"/>
      <c r="B182" s="68"/>
      <c r="C182" s="68"/>
      <c r="D182" s="68"/>
      <c r="E182" s="68"/>
      <c r="F182" s="68"/>
      <c r="G182" s="68"/>
    </row>
    <row r="183" spans="1:10">
      <c r="A183" s="104"/>
      <c r="B183" s="68"/>
      <c r="C183" s="68"/>
      <c r="D183" s="68"/>
      <c r="E183" s="68"/>
      <c r="F183" s="68"/>
      <c r="G183" s="68"/>
    </row>
    <row r="184" spans="1:10">
      <c r="A184" s="68"/>
      <c r="B184" s="68"/>
      <c r="C184" s="68"/>
      <c r="D184" s="68"/>
      <c r="E184" s="68"/>
      <c r="F184" s="68"/>
      <c r="G184" s="68"/>
    </row>
    <row r="185" spans="1:10">
      <c r="A185" s="104"/>
      <c r="B185" s="68"/>
      <c r="C185" s="68"/>
      <c r="D185" s="68"/>
      <c r="E185" s="68"/>
      <c r="F185" s="68"/>
      <c r="G185" s="68"/>
    </row>
    <row r="186" spans="1:10">
      <c r="A186" s="68"/>
      <c r="B186" s="105"/>
      <c r="C186" s="68"/>
      <c r="D186" s="68"/>
      <c r="E186" s="68"/>
      <c r="F186" s="68"/>
      <c r="G186" s="68"/>
    </row>
    <row r="187" spans="1:10" ht="30.75" customHeight="1">
      <c r="A187" s="68"/>
      <c r="B187" s="243"/>
      <c r="C187" s="243"/>
      <c r="D187" s="243"/>
      <c r="E187" s="243"/>
      <c r="F187" s="243"/>
      <c r="G187" s="243"/>
    </row>
    <row r="188" spans="1:10">
      <c r="A188" s="68"/>
      <c r="B188" s="92"/>
      <c r="C188" s="92"/>
      <c r="D188" s="92"/>
      <c r="E188" s="92"/>
      <c r="F188" s="92"/>
      <c r="G188" s="92"/>
    </row>
    <row r="189" spans="1:10">
      <c r="A189" s="68"/>
      <c r="B189" s="93"/>
      <c r="C189" s="228"/>
      <c r="D189" s="228"/>
      <c r="E189" s="228"/>
      <c r="F189" s="228"/>
      <c r="G189" s="228"/>
    </row>
    <row r="190" spans="1:10">
      <c r="A190" s="68"/>
      <c r="B190" s="94"/>
      <c r="C190" s="92"/>
      <c r="D190" s="92"/>
      <c r="E190" s="92"/>
      <c r="F190" s="92"/>
      <c r="G190" s="92"/>
    </row>
    <row r="191" spans="1:10" ht="49.5" customHeight="1">
      <c r="A191" s="68"/>
      <c r="B191" s="95"/>
      <c r="C191" s="227"/>
      <c r="D191" s="228"/>
      <c r="E191" s="228"/>
      <c r="F191" s="228"/>
      <c r="G191" s="228"/>
    </row>
    <row r="192" spans="1:10">
      <c r="A192" s="68"/>
      <c r="B192" s="96"/>
      <c r="C192" s="92"/>
      <c r="D192" s="92"/>
      <c r="E192" s="92"/>
      <c r="F192" s="92"/>
      <c r="G192" s="92"/>
    </row>
    <row r="193" spans="1:7">
      <c r="A193" s="68"/>
      <c r="B193" s="93"/>
      <c r="C193" s="228"/>
      <c r="D193" s="228"/>
      <c r="E193" s="228"/>
      <c r="F193" s="228"/>
      <c r="G193" s="228"/>
    </row>
    <row r="194" spans="1:7">
      <c r="A194" s="68"/>
      <c r="B194" s="94"/>
      <c r="C194" s="92"/>
      <c r="D194" s="92"/>
      <c r="E194" s="92"/>
      <c r="F194" s="92"/>
      <c r="G194" s="92"/>
    </row>
    <row r="195" spans="1:7" ht="78.75" customHeight="1">
      <c r="A195" s="68"/>
      <c r="B195" s="95"/>
      <c r="C195" s="227"/>
      <c r="D195" s="228"/>
      <c r="E195" s="228"/>
      <c r="F195" s="228"/>
      <c r="G195" s="228"/>
    </row>
    <row r="196" spans="1:7">
      <c r="A196" s="68"/>
      <c r="B196" s="94"/>
      <c r="C196" s="92"/>
      <c r="D196" s="92"/>
      <c r="E196" s="92"/>
      <c r="F196" s="92"/>
      <c r="G196" s="92"/>
    </row>
    <row r="197" spans="1:7">
      <c r="A197" s="68"/>
      <c r="B197" s="94"/>
      <c r="C197" s="92"/>
      <c r="D197" s="92"/>
      <c r="E197" s="92"/>
      <c r="F197" s="92"/>
      <c r="G197" s="92"/>
    </row>
    <row r="198" spans="1:7">
      <c r="A198" s="68"/>
      <c r="B198" s="93"/>
      <c r="C198" s="228"/>
      <c r="D198" s="228"/>
      <c r="E198" s="228"/>
      <c r="F198" s="228"/>
      <c r="G198" s="228"/>
    </row>
    <row r="199" spans="1:7">
      <c r="A199" s="68"/>
      <c r="B199" s="92"/>
      <c r="C199" s="92"/>
      <c r="D199" s="92"/>
      <c r="E199" s="92"/>
      <c r="F199" s="92"/>
      <c r="G199" s="92"/>
    </row>
    <row r="200" spans="1:7" ht="58.5" customHeight="1">
      <c r="A200" s="68"/>
      <c r="B200" s="95"/>
      <c r="C200" s="227"/>
      <c r="D200" s="228"/>
      <c r="E200" s="228"/>
      <c r="F200" s="228"/>
      <c r="G200" s="228"/>
    </row>
    <row r="201" spans="1:7" ht="90" customHeight="1">
      <c r="A201" s="68"/>
      <c r="B201" s="95"/>
      <c r="C201" s="227"/>
      <c r="D201" s="228"/>
      <c r="E201" s="228"/>
      <c r="F201" s="228"/>
      <c r="G201" s="228"/>
    </row>
    <row r="202" spans="1:7">
      <c r="A202" s="68"/>
      <c r="B202" s="95"/>
      <c r="C202" s="244"/>
      <c r="D202" s="245"/>
      <c r="E202" s="245"/>
      <c r="F202" s="245"/>
      <c r="G202" s="245"/>
    </row>
    <row r="203" spans="1:7">
      <c r="A203" s="68"/>
      <c r="B203" s="97"/>
      <c r="C203" s="226"/>
      <c r="D203" s="226"/>
      <c r="E203" s="98"/>
      <c r="F203" s="98"/>
      <c r="G203" s="99"/>
    </row>
    <row r="204" spans="1:7">
      <c r="A204" s="68"/>
      <c r="B204" s="97"/>
      <c r="C204" s="226"/>
      <c r="D204" s="226"/>
      <c r="E204" s="98"/>
      <c r="F204" s="98"/>
      <c r="G204" s="99"/>
    </row>
    <row r="205" spans="1:7">
      <c r="A205" s="68"/>
      <c r="B205" s="97"/>
      <c r="C205" s="226"/>
      <c r="D205" s="226"/>
      <c r="E205" s="98"/>
      <c r="F205" s="98"/>
      <c r="G205" s="99"/>
    </row>
    <row r="206" spans="1:7">
      <c r="A206" s="68"/>
      <c r="B206" s="97"/>
      <c r="C206" s="226"/>
      <c r="D206" s="226"/>
      <c r="E206" s="98"/>
      <c r="F206" s="98"/>
      <c r="G206" s="99"/>
    </row>
    <row r="207" spans="1:7">
      <c r="A207" s="68"/>
      <c r="B207" s="97"/>
      <c r="C207" s="226"/>
      <c r="D207" s="226"/>
      <c r="E207" s="98"/>
      <c r="F207" s="98"/>
      <c r="G207" s="99"/>
    </row>
    <row r="208" spans="1:7">
      <c r="A208" s="68"/>
      <c r="B208" s="97"/>
      <c r="C208" s="226"/>
      <c r="D208" s="226"/>
      <c r="E208" s="98"/>
      <c r="F208" s="98"/>
      <c r="G208" s="99"/>
    </row>
    <row r="209" spans="1:7">
      <c r="A209" s="68"/>
      <c r="B209" s="97"/>
      <c r="C209" s="226"/>
      <c r="D209" s="226"/>
      <c r="E209" s="98"/>
      <c r="F209" s="98"/>
      <c r="G209" s="100"/>
    </row>
    <row r="210" spans="1:7">
      <c r="A210" s="68"/>
      <c r="B210" s="97"/>
      <c r="C210" s="226"/>
      <c r="D210" s="226"/>
      <c r="E210" s="98"/>
      <c r="F210" s="98"/>
      <c r="G210" s="100"/>
    </row>
    <row r="211" spans="1:7">
      <c r="A211" s="68"/>
      <c r="B211" s="97"/>
      <c r="C211" s="226"/>
      <c r="D211" s="226"/>
      <c r="E211" s="98"/>
      <c r="F211" s="98"/>
      <c r="G211" s="100"/>
    </row>
    <row r="212" spans="1:7">
      <c r="A212" s="68"/>
      <c r="B212" s="97"/>
      <c r="C212" s="226"/>
      <c r="D212" s="226"/>
      <c r="E212" s="98"/>
      <c r="F212" s="98"/>
      <c r="G212" s="100"/>
    </row>
    <row r="213" spans="1:7" ht="26.25" customHeight="1">
      <c r="A213" s="68"/>
      <c r="B213" s="97"/>
      <c r="C213" s="229"/>
      <c r="D213" s="229"/>
      <c r="E213" s="229"/>
      <c r="F213" s="229"/>
      <c r="G213" s="229"/>
    </row>
    <row r="214" spans="1:7">
      <c r="A214" s="68"/>
      <c r="B214" s="68"/>
      <c r="C214" s="80"/>
      <c r="D214" s="68"/>
      <c r="E214" s="68"/>
      <c r="F214" s="68"/>
      <c r="G214" s="68"/>
    </row>
    <row r="215" spans="1:7">
      <c r="A215" s="104"/>
      <c r="B215" s="68"/>
      <c r="C215" s="68"/>
      <c r="D215" s="68"/>
      <c r="E215" s="68"/>
      <c r="F215" s="68"/>
      <c r="G215" s="68"/>
    </row>
    <row r="216" spans="1:7">
      <c r="A216" s="68"/>
      <c r="B216" s="68"/>
      <c r="C216" s="68"/>
      <c r="D216" s="68"/>
      <c r="E216" s="68"/>
      <c r="F216" s="68"/>
      <c r="G216" s="68"/>
    </row>
    <row r="217" spans="1:7">
      <c r="A217" s="95"/>
      <c r="B217" s="68"/>
      <c r="C217" s="68"/>
      <c r="D217" s="68"/>
      <c r="E217" s="68"/>
      <c r="F217" s="68"/>
      <c r="G217" s="68"/>
    </row>
    <row r="218" spans="1:7">
      <c r="A218" s="95"/>
      <c r="B218" s="68"/>
      <c r="C218" s="68"/>
      <c r="D218" s="68"/>
      <c r="E218" s="68"/>
      <c r="F218" s="68"/>
      <c r="G218" s="68"/>
    </row>
    <row r="219" spans="1:7">
      <c r="A219" s="95"/>
      <c r="B219" s="68"/>
      <c r="C219" s="68"/>
      <c r="D219" s="68"/>
      <c r="E219" s="68"/>
      <c r="F219" s="68"/>
      <c r="G219" s="68"/>
    </row>
    <row r="220" spans="1:7">
      <c r="A220" s="68"/>
      <c r="B220" s="226"/>
      <c r="C220" s="226"/>
      <c r="D220" s="68"/>
      <c r="E220" s="68"/>
      <c r="F220" s="68"/>
      <c r="G220" s="68"/>
    </row>
    <row r="221" spans="1:7">
      <c r="A221" s="68"/>
      <c r="B221" s="226"/>
      <c r="C221" s="226"/>
      <c r="D221" s="68"/>
      <c r="E221" s="68"/>
      <c r="F221" s="68"/>
      <c r="G221" s="68"/>
    </row>
    <row r="222" spans="1:7">
      <c r="A222" s="68"/>
      <c r="B222" s="226"/>
      <c r="C222" s="226"/>
      <c r="D222" s="68"/>
      <c r="E222" s="68"/>
      <c r="F222" s="68"/>
      <c r="G222" s="68"/>
    </row>
    <row r="223" spans="1:7">
      <c r="A223" s="68"/>
      <c r="B223" s="226"/>
      <c r="C223" s="226"/>
      <c r="D223" s="68"/>
      <c r="E223" s="68"/>
      <c r="F223" s="68"/>
      <c r="G223" s="68"/>
    </row>
    <row r="224" spans="1:7">
      <c r="A224" s="68"/>
      <c r="B224" s="226"/>
      <c r="C224" s="226"/>
      <c r="D224" s="68"/>
      <c r="E224" s="68"/>
      <c r="F224" s="68"/>
      <c r="G224" s="68"/>
    </row>
    <row r="225" spans="1:7">
      <c r="A225" s="68"/>
      <c r="B225" s="226"/>
      <c r="C225" s="226"/>
      <c r="D225" s="68"/>
      <c r="E225" s="68"/>
      <c r="F225" s="68"/>
      <c r="G225" s="68"/>
    </row>
    <row r="226" spans="1:7">
      <c r="A226" s="68"/>
      <c r="B226" s="226"/>
      <c r="C226" s="226"/>
      <c r="D226" s="68"/>
      <c r="E226" s="68"/>
      <c r="F226" s="68"/>
      <c r="G226" s="68"/>
    </row>
    <row r="227" spans="1:7">
      <c r="A227" s="68"/>
      <c r="B227" s="226"/>
      <c r="C227" s="226"/>
      <c r="D227" s="68"/>
      <c r="E227" s="68"/>
      <c r="F227" s="68"/>
      <c r="G227" s="68"/>
    </row>
    <row r="228" spans="1:7">
      <c r="A228" s="68"/>
      <c r="B228" s="226"/>
      <c r="C228" s="226"/>
      <c r="D228" s="68"/>
      <c r="E228" s="68"/>
      <c r="F228" s="68"/>
      <c r="G228" s="68"/>
    </row>
    <row r="229" spans="1:7">
      <c r="A229" s="68"/>
      <c r="B229" s="226"/>
      <c r="C229" s="226"/>
      <c r="D229" s="68"/>
      <c r="E229" s="68"/>
      <c r="F229" s="68"/>
      <c r="G229" s="68"/>
    </row>
    <row r="230" spans="1:7">
      <c r="A230" s="68"/>
      <c r="B230" s="226"/>
      <c r="C230" s="226"/>
      <c r="D230" s="68"/>
      <c r="E230" s="68"/>
      <c r="F230" s="68"/>
      <c r="G230" s="68"/>
    </row>
    <row r="231" spans="1:7">
      <c r="A231" s="68"/>
      <c r="B231" s="226"/>
      <c r="C231" s="226"/>
      <c r="D231" s="68"/>
      <c r="E231" s="68"/>
      <c r="F231" s="68"/>
      <c r="G231" s="68"/>
    </row>
    <row r="232" spans="1:7">
      <c r="A232" s="95"/>
      <c r="B232" s="68"/>
      <c r="C232" s="98"/>
      <c r="D232" s="68"/>
      <c r="E232" s="68"/>
      <c r="F232" s="68"/>
      <c r="G232" s="68"/>
    </row>
    <row r="233" spans="1:7" ht="15" customHeight="1">
      <c r="A233" s="95"/>
      <c r="B233" s="228"/>
      <c r="C233" s="228"/>
      <c r="D233" s="228"/>
      <c r="E233" s="228"/>
      <c r="F233" s="228"/>
      <c r="G233" s="228"/>
    </row>
    <row r="234" spans="1:7" ht="32.25" customHeight="1">
      <c r="A234" s="95"/>
      <c r="B234" s="228"/>
      <c r="C234" s="228"/>
      <c r="D234" s="228"/>
      <c r="E234" s="228"/>
      <c r="F234" s="228"/>
      <c r="G234" s="228"/>
    </row>
    <row r="235" spans="1:7">
      <c r="A235" s="68"/>
      <c r="B235" s="68"/>
      <c r="C235" s="68"/>
      <c r="D235" s="68"/>
      <c r="E235" s="68"/>
      <c r="F235" s="68"/>
      <c r="G235" s="68"/>
    </row>
    <row r="236" spans="1:7">
      <c r="A236" s="104"/>
      <c r="B236" s="68"/>
      <c r="C236" s="68"/>
      <c r="D236" s="68"/>
      <c r="E236" s="68"/>
      <c r="F236" s="68"/>
      <c r="G236" s="68"/>
    </row>
    <row r="237" spans="1:7">
      <c r="A237" s="68"/>
      <c r="B237" s="68"/>
      <c r="C237" s="68"/>
      <c r="D237" s="68"/>
      <c r="E237" s="68"/>
      <c r="F237" s="68"/>
      <c r="G237" s="68"/>
    </row>
    <row r="238" spans="1:7" ht="32.25" customHeight="1">
      <c r="A238" s="95"/>
      <c r="B238" s="230"/>
      <c r="C238" s="230"/>
      <c r="D238" s="230"/>
      <c r="E238" s="230"/>
      <c r="F238" s="230"/>
      <c r="G238" s="230"/>
    </row>
    <row r="239" spans="1:7" ht="17.25" customHeight="1">
      <c r="A239" s="95"/>
      <c r="B239" s="230"/>
      <c r="C239" s="230"/>
      <c r="D239" s="230"/>
      <c r="E239" s="230"/>
      <c r="F239" s="230"/>
      <c r="G239" s="230"/>
    </row>
    <row r="240" spans="1:7" ht="18" customHeight="1">
      <c r="A240" s="95"/>
      <c r="B240" s="230"/>
      <c r="C240" s="230"/>
      <c r="D240" s="230"/>
      <c r="E240" s="230"/>
      <c r="F240" s="230"/>
      <c r="G240" s="230"/>
    </row>
    <row r="241" spans="1:7">
      <c r="A241" s="95"/>
      <c r="B241" s="230"/>
      <c r="C241" s="230"/>
      <c r="D241" s="230"/>
      <c r="E241" s="230"/>
      <c r="F241" s="230"/>
      <c r="G241" s="230"/>
    </row>
  </sheetData>
  <mergeCells count="134">
    <mergeCell ref="B2:C4"/>
    <mergeCell ref="D2:F2"/>
    <mergeCell ref="D3:F4"/>
    <mergeCell ref="B239:G239"/>
    <mergeCell ref="B240:G240"/>
    <mergeCell ref="B241:G241"/>
    <mergeCell ref="B230:C230"/>
    <mergeCell ref="B231:C231"/>
    <mergeCell ref="B233:G233"/>
    <mergeCell ref="B234:G234"/>
    <mergeCell ref="B238:G238"/>
    <mergeCell ref="B221:C221"/>
    <mergeCell ref="B226:C226"/>
    <mergeCell ref="B227:C227"/>
    <mergeCell ref="B228:C228"/>
    <mergeCell ref="B229:C229"/>
    <mergeCell ref="B222:C222"/>
    <mergeCell ref="B223:C223"/>
    <mergeCell ref="B224:C224"/>
    <mergeCell ref="B225:C225"/>
    <mergeCell ref="C206:D206"/>
    <mergeCell ref="C207:D207"/>
    <mergeCell ref="C193:G193"/>
    <mergeCell ref="C195:G195"/>
    <mergeCell ref="C198:G198"/>
    <mergeCell ref="B133:C133"/>
    <mergeCell ref="C212:D212"/>
    <mergeCell ref="C213:G213"/>
    <mergeCell ref="B220:C220"/>
    <mergeCell ref="C208:D208"/>
    <mergeCell ref="C209:D209"/>
    <mergeCell ref="C210:D210"/>
    <mergeCell ref="C211:D211"/>
    <mergeCell ref="C204:D204"/>
    <mergeCell ref="C205:D205"/>
    <mergeCell ref="C200:G200"/>
    <mergeCell ref="C201:G201"/>
    <mergeCell ref="C202:G202"/>
    <mergeCell ref="C203:D203"/>
    <mergeCell ref="C39:G39"/>
    <mergeCell ref="C45:G45"/>
    <mergeCell ref="C55:G55"/>
    <mergeCell ref="C81:G81"/>
    <mergeCell ref="C191:G191"/>
    <mergeCell ref="C33:G33"/>
    <mergeCell ref="B34:G34"/>
    <mergeCell ref="C35:G35"/>
    <mergeCell ref="B123:C123"/>
    <mergeCell ref="B130:C130"/>
    <mergeCell ref="B131:C131"/>
    <mergeCell ref="D158:G158"/>
    <mergeCell ref="B187:G187"/>
    <mergeCell ref="C189:G189"/>
    <mergeCell ref="B132:C132"/>
    <mergeCell ref="B115:C115"/>
    <mergeCell ref="B118:C118"/>
    <mergeCell ref="C64:G64"/>
    <mergeCell ref="C65:G65"/>
    <mergeCell ref="C66:G66"/>
    <mergeCell ref="C54:G54"/>
    <mergeCell ref="C78:G78"/>
    <mergeCell ref="C75:G75"/>
    <mergeCell ref="C41:G41"/>
    <mergeCell ref="C36:G36"/>
    <mergeCell ref="C22:G22"/>
    <mergeCell ref="C23:G23"/>
    <mergeCell ref="C24:G24"/>
    <mergeCell ref="D14:G14"/>
    <mergeCell ref="C27:G27"/>
    <mergeCell ref="C30:G30"/>
    <mergeCell ref="B32:G32"/>
    <mergeCell ref="B7:G7"/>
    <mergeCell ref="D10:G10"/>
    <mergeCell ref="D12:G12"/>
    <mergeCell ref="D16:G16"/>
    <mergeCell ref="D18:G18"/>
    <mergeCell ref="B21:G21"/>
    <mergeCell ref="C25:G25"/>
    <mergeCell ref="C42:G42"/>
    <mergeCell ref="C43:G43"/>
    <mergeCell ref="C57:G57"/>
    <mergeCell ref="C58:G58"/>
    <mergeCell ref="C59:G59"/>
    <mergeCell ref="C60:G60"/>
    <mergeCell ref="C67:G67"/>
    <mergeCell ref="C68:G68"/>
    <mergeCell ref="C26:G26"/>
    <mergeCell ref="C28:G28"/>
    <mergeCell ref="C29:G29"/>
    <mergeCell ref="C61:G61"/>
    <mergeCell ref="C62:G62"/>
    <mergeCell ref="C63:G63"/>
    <mergeCell ref="B37:G37"/>
    <mergeCell ref="C38:G38"/>
    <mergeCell ref="C40:G40"/>
    <mergeCell ref="C56:G56"/>
    <mergeCell ref="C44:G44"/>
    <mergeCell ref="B48:G48"/>
    <mergeCell ref="C49:G49"/>
    <mergeCell ref="B50:G50"/>
    <mergeCell ref="C46:G46"/>
    <mergeCell ref="C51:G51"/>
    <mergeCell ref="C52:G52"/>
    <mergeCell ref="B53:G53"/>
    <mergeCell ref="C69:G69"/>
    <mergeCell ref="C70:G70"/>
    <mergeCell ref="C71:G71"/>
    <mergeCell ref="B74:G74"/>
    <mergeCell ref="C94:G94"/>
    <mergeCell ref="C95:G95"/>
    <mergeCell ref="C84:G84"/>
    <mergeCell ref="C85:G85"/>
    <mergeCell ref="C86:G86"/>
    <mergeCell ref="C87:G87"/>
    <mergeCell ref="B76:G76"/>
    <mergeCell ref="C77:G77"/>
    <mergeCell ref="C82:G82"/>
    <mergeCell ref="C83:G83"/>
    <mergeCell ref="B79:G79"/>
    <mergeCell ref="C80:G80"/>
    <mergeCell ref="C88:G88"/>
    <mergeCell ref="B91:G91"/>
    <mergeCell ref="B93:G93"/>
    <mergeCell ref="C92:G92"/>
    <mergeCell ref="C107:G107"/>
    <mergeCell ref="B103:G103"/>
    <mergeCell ref="C104:G104"/>
    <mergeCell ref="B105:G105"/>
    <mergeCell ref="C106:G106"/>
    <mergeCell ref="C98:G98"/>
    <mergeCell ref="C99:G99"/>
    <mergeCell ref="C100:G100"/>
    <mergeCell ref="B96:G96"/>
    <mergeCell ref="C97:G97"/>
  </mergeCells>
  <phoneticPr fontId="3" type="noConversion"/>
  <conditionalFormatting sqref="B126:B127">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1.07" right="0.75" top="0.42" bottom="0.17" header="0.19" footer="0.17"/>
  <pageSetup paperSize="9" scale="70" orientation="portrait" verticalDpi="0" r:id="rId1"/>
  <headerFooter alignWithMargins="0"/>
  <rowBreaks count="1" manualBreakCount="1">
    <brk id="72"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33"/>
  <sheetViews>
    <sheetView showGridLines="0" zoomScaleNormal="100" workbookViewId="0">
      <selection activeCell="D10" sqref="D10"/>
    </sheetView>
  </sheetViews>
  <sheetFormatPr baseColWidth="10" defaultColWidth="9.140625" defaultRowHeight="12.75"/>
  <cols>
    <col min="1" max="1" width="2.7109375" style="155" customWidth="1"/>
    <col min="2" max="2" width="13.140625" style="155" customWidth="1"/>
    <col min="3" max="3" width="16.7109375" style="155" customWidth="1"/>
    <col min="4" max="4" width="22.7109375" style="155" customWidth="1"/>
    <col min="5" max="5" width="37.42578125" style="155" customWidth="1"/>
    <col min="6" max="6" width="38.7109375" style="155" customWidth="1"/>
    <col min="7" max="7" width="24.7109375" style="155" customWidth="1"/>
    <col min="8" max="16384" width="9.140625" style="155"/>
  </cols>
  <sheetData>
    <row r="2" spans="1:13" s="181" customFormat="1" ht="15.75" customHeight="1">
      <c r="B2" s="289"/>
      <c r="C2" s="290"/>
      <c r="D2" s="295" t="s">
        <v>374</v>
      </c>
      <c r="E2" s="296"/>
      <c r="F2" s="297"/>
      <c r="G2" s="185" t="s">
        <v>375</v>
      </c>
    </row>
    <row r="3" spans="1:13" s="181" customFormat="1" ht="15.75" customHeight="1">
      <c r="B3" s="291"/>
      <c r="C3" s="292"/>
      <c r="D3" s="298" t="str">
        <f>Instrucciones!D3</f>
        <v>DS.F.178  ICO-Lista Maestra de Requerimientos_INTEGRA</v>
      </c>
      <c r="E3" s="299"/>
      <c r="F3" s="300"/>
      <c r="G3" s="186" t="str">
        <f>Instrucciones!G3</f>
        <v>Versión: 2.0</v>
      </c>
    </row>
    <row r="4" spans="1:13" s="181" customFormat="1">
      <c r="B4" s="293"/>
      <c r="C4" s="294"/>
      <c r="D4" s="301"/>
      <c r="E4" s="302"/>
      <c r="F4" s="303"/>
      <c r="G4" s="186" t="str">
        <f>Instrucciones!G4</f>
        <v>Fecha:  07/05/2019</v>
      </c>
    </row>
    <row r="5" spans="1:13" s="157" customFormat="1">
      <c r="A5" s="154"/>
      <c r="B5" s="285"/>
      <c r="C5" s="285"/>
      <c r="D5" s="285"/>
      <c r="E5" s="285"/>
      <c r="F5" s="285"/>
      <c r="G5" s="285"/>
      <c r="H5" s="156"/>
      <c r="I5" s="156"/>
      <c r="J5" s="156"/>
      <c r="K5" s="156"/>
      <c r="L5" s="156"/>
      <c r="M5" s="156"/>
    </row>
    <row r="6" spans="1:13" s="157" customFormat="1">
      <c r="A6" s="154"/>
      <c r="B6" s="154"/>
      <c r="C6" s="286" t="s">
        <v>322</v>
      </c>
      <c r="D6" s="287"/>
      <c r="E6" s="287"/>
      <c r="F6" s="288"/>
      <c r="G6" s="154"/>
      <c r="H6" s="156"/>
      <c r="I6" s="156"/>
      <c r="J6" s="156"/>
      <c r="K6" s="156"/>
      <c r="L6" s="156"/>
      <c r="M6" s="156"/>
    </row>
    <row r="7" spans="1:13" s="157" customFormat="1">
      <c r="A7" s="154"/>
      <c r="B7" s="154"/>
      <c r="C7" s="111" t="s">
        <v>102</v>
      </c>
      <c r="D7" s="111" t="s">
        <v>103</v>
      </c>
      <c r="E7" s="111" t="s">
        <v>265</v>
      </c>
      <c r="F7" s="111" t="s">
        <v>321</v>
      </c>
      <c r="G7" s="156"/>
      <c r="H7" s="156"/>
      <c r="I7" s="156"/>
      <c r="J7" s="156"/>
      <c r="K7" s="156"/>
      <c r="L7" s="156"/>
      <c r="M7" s="156"/>
    </row>
    <row r="8" spans="1:13" s="157" customFormat="1">
      <c r="A8" s="154"/>
      <c r="B8" s="154"/>
      <c r="C8" s="130">
        <v>1</v>
      </c>
      <c r="D8" s="196">
        <v>44900</v>
      </c>
      <c r="E8" s="130" t="s">
        <v>226</v>
      </c>
      <c r="F8" s="131" t="s">
        <v>418</v>
      </c>
      <c r="G8" s="156"/>
      <c r="H8" s="156"/>
      <c r="I8" s="156"/>
      <c r="J8" s="156"/>
      <c r="K8" s="156"/>
      <c r="L8" s="156"/>
      <c r="M8" s="156"/>
    </row>
    <row r="9" spans="1:13" s="157" customFormat="1">
      <c r="A9" s="154"/>
      <c r="B9" s="154"/>
      <c r="C9" s="130"/>
      <c r="D9" s="132"/>
      <c r="E9" s="130"/>
      <c r="F9" s="223"/>
      <c r="G9" s="156"/>
      <c r="H9" s="156"/>
      <c r="I9" s="156"/>
      <c r="J9" s="156"/>
      <c r="K9" s="156"/>
      <c r="L9" s="156"/>
      <c r="M9" s="156"/>
    </row>
    <row r="10" spans="1:13" s="157" customFormat="1">
      <c r="A10" s="154"/>
      <c r="B10" s="154"/>
      <c r="C10" s="130"/>
      <c r="D10" s="132"/>
      <c r="E10" s="130"/>
      <c r="F10" s="131"/>
      <c r="G10" s="156"/>
      <c r="H10" s="156"/>
      <c r="I10" s="156"/>
      <c r="J10" s="156"/>
      <c r="K10" s="156"/>
      <c r="L10" s="156"/>
      <c r="M10" s="156"/>
    </row>
    <row r="11" spans="1:13" s="157" customFormat="1">
      <c r="A11" s="154"/>
      <c r="B11" s="154"/>
      <c r="C11" s="130"/>
      <c r="D11" s="132"/>
      <c r="E11" s="130"/>
      <c r="F11" s="131"/>
      <c r="G11" s="156"/>
      <c r="H11" s="156"/>
      <c r="I11" s="156"/>
      <c r="J11" s="156"/>
      <c r="K11" s="156"/>
      <c r="L11" s="156"/>
      <c r="M11" s="156"/>
    </row>
    <row r="12" spans="1:13" s="157" customFormat="1">
      <c r="A12" s="154"/>
      <c r="B12" s="154"/>
      <c r="C12" s="138"/>
      <c r="D12" s="129"/>
      <c r="E12" s="130"/>
      <c r="F12" s="139"/>
      <c r="G12" s="156"/>
      <c r="H12" s="156"/>
      <c r="I12" s="156"/>
      <c r="J12" s="156"/>
      <c r="K12" s="156"/>
      <c r="L12" s="156"/>
      <c r="M12" s="156"/>
    </row>
    <row r="13" spans="1:13" s="157" customFormat="1">
      <c r="A13" s="154"/>
      <c r="B13" s="154"/>
      <c r="C13" s="138"/>
      <c r="D13" s="129"/>
      <c r="E13" s="130"/>
      <c r="F13" s="139"/>
      <c r="G13" s="156"/>
      <c r="H13" s="156"/>
      <c r="I13" s="156"/>
      <c r="J13" s="156"/>
      <c r="K13" s="156"/>
      <c r="L13" s="156"/>
      <c r="M13" s="156"/>
    </row>
    <row r="14" spans="1:13" s="157" customFormat="1">
      <c r="A14" s="154"/>
      <c r="B14" s="154"/>
      <c r="C14" s="138"/>
      <c r="D14" s="129"/>
      <c r="E14" s="130"/>
      <c r="F14" s="139"/>
      <c r="G14" s="156"/>
      <c r="H14" s="156"/>
      <c r="I14" s="156"/>
      <c r="J14" s="156"/>
      <c r="K14" s="156"/>
      <c r="L14" s="156"/>
      <c r="M14" s="156"/>
    </row>
    <row r="15" spans="1:13" s="157" customFormat="1">
      <c r="A15" s="154"/>
      <c r="B15" s="154"/>
      <c r="C15" s="138"/>
      <c r="D15" s="129"/>
      <c r="E15" s="130"/>
      <c r="F15" s="139"/>
      <c r="G15" s="156"/>
      <c r="H15" s="156"/>
      <c r="I15" s="156"/>
      <c r="J15" s="156"/>
      <c r="K15" s="156"/>
      <c r="L15" s="156"/>
      <c r="M15" s="156"/>
    </row>
    <row r="16" spans="1:13" s="157" customFormat="1">
      <c r="A16" s="154"/>
      <c r="B16" s="154"/>
      <c r="C16" s="138"/>
      <c r="D16" s="129"/>
      <c r="E16" s="130"/>
      <c r="F16" s="139"/>
      <c r="G16" s="156"/>
      <c r="H16" s="156"/>
      <c r="I16" s="156"/>
      <c r="J16" s="156"/>
      <c r="K16" s="156"/>
      <c r="L16" s="156"/>
      <c r="M16" s="156"/>
    </row>
    <row r="17" spans="1:13" s="157" customFormat="1">
      <c r="A17" s="154"/>
      <c r="B17" s="154"/>
      <c r="C17" s="138"/>
      <c r="D17" s="129"/>
      <c r="E17" s="130"/>
      <c r="F17" s="139"/>
      <c r="G17" s="156"/>
      <c r="H17" s="156"/>
      <c r="I17" s="156"/>
      <c r="J17" s="156"/>
      <c r="K17" s="156"/>
      <c r="L17" s="156"/>
      <c r="M17" s="156"/>
    </row>
    <row r="18" spans="1:13" s="156" customFormat="1"/>
    <row r="19" spans="1:13" s="156" customFormat="1"/>
    <row r="20" spans="1:13" s="156" customFormat="1"/>
    <row r="21" spans="1:13" s="156" customFormat="1">
      <c r="C21" s="286" t="s">
        <v>316</v>
      </c>
      <c r="D21" s="287"/>
      <c r="E21" s="287"/>
      <c r="F21" s="288"/>
    </row>
    <row r="22" spans="1:13" s="156" customFormat="1" ht="25.5">
      <c r="C22" s="111" t="s">
        <v>317</v>
      </c>
      <c r="D22" s="111" t="s">
        <v>103</v>
      </c>
      <c r="E22" s="111" t="s">
        <v>318</v>
      </c>
      <c r="F22" s="111" t="s">
        <v>319</v>
      </c>
    </row>
    <row r="23" spans="1:13" s="156" customFormat="1">
      <c r="C23" s="133">
        <v>1</v>
      </c>
      <c r="D23" s="196"/>
      <c r="E23" s="130" t="s">
        <v>320</v>
      </c>
      <c r="F23" s="153" t="str">
        <f>IF(E23="", "",IF(E23="Equipo Calidad", "Analista de Calidad", "Analista de Sistemas"))</f>
        <v>Analista de Calidad</v>
      </c>
    </row>
    <row r="24" spans="1:13" s="156" customFormat="1">
      <c r="C24" s="158"/>
      <c r="D24" s="159"/>
      <c r="E24" s="130"/>
      <c r="F24" s="153" t="str">
        <f t="shared" ref="F24:F32" si="0">IF(E24="", "",IF(E24="Equipo Calidad", "Analista de Calidad", "Analista de Sistemas"))</f>
        <v/>
      </c>
    </row>
    <row r="25" spans="1:13" s="156" customFormat="1">
      <c r="C25" s="158"/>
      <c r="D25" s="159"/>
      <c r="E25" s="130"/>
      <c r="F25" s="153" t="str">
        <f t="shared" si="0"/>
        <v/>
      </c>
    </row>
    <row r="26" spans="1:13" s="156" customFormat="1">
      <c r="C26" s="158"/>
      <c r="D26" s="159"/>
      <c r="E26" s="130"/>
      <c r="F26" s="153" t="str">
        <f t="shared" si="0"/>
        <v/>
      </c>
    </row>
    <row r="27" spans="1:13" s="156" customFormat="1">
      <c r="C27" s="158"/>
      <c r="D27" s="159"/>
      <c r="E27" s="130"/>
      <c r="F27" s="153" t="str">
        <f t="shared" si="0"/>
        <v/>
      </c>
    </row>
    <row r="28" spans="1:13" s="156" customFormat="1">
      <c r="C28" s="160"/>
      <c r="D28" s="159"/>
      <c r="E28" s="130"/>
      <c r="F28" s="153" t="str">
        <f t="shared" si="0"/>
        <v/>
      </c>
    </row>
    <row r="29" spans="1:13" s="156" customFormat="1">
      <c r="C29" s="160"/>
      <c r="D29" s="159"/>
      <c r="E29" s="130"/>
      <c r="F29" s="153" t="str">
        <f t="shared" si="0"/>
        <v/>
      </c>
    </row>
    <row r="30" spans="1:13" s="156" customFormat="1">
      <c r="C30" s="160"/>
      <c r="D30" s="159"/>
      <c r="E30" s="130"/>
      <c r="F30" s="153" t="str">
        <f t="shared" si="0"/>
        <v/>
      </c>
    </row>
    <row r="31" spans="1:13" s="156" customFormat="1">
      <c r="C31" s="160"/>
      <c r="D31" s="159"/>
      <c r="E31" s="130"/>
      <c r="F31" s="153" t="str">
        <f t="shared" si="0"/>
        <v/>
      </c>
    </row>
    <row r="32" spans="1:13" s="156" customFormat="1">
      <c r="C32" s="160"/>
      <c r="D32" s="159"/>
      <c r="E32" s="130"/>
      <c r="F32" s="153" t="str">
        <f t="shared" si="0"/>
        <v/>
      </c>
    </row>
    <row r="33" s="156" customFormat="1"/>
  </sheetData>
  <sheetProtection formatCells="0" formatColumns="0" formatRows="0" insertColumns="0"/>
  <mergeCells count="6">
    <mergeCell ref="B5:G5"/>
    <mergeCell ref="C6:F6"/>
    <mergeCell ref="C21:F21"/>
    <mergeCell ref="B2:C4"/>
    <mergeCell ref="D2:F2"/>
    <mergeCell ref="D3:F4"/>
  </mergeCells>
  <dataValidations count="2">
    <dataValidation type="list" allowBlank="1" showInputMessage="1" showErrorMessage="1" sqref="E8:E17">
      <formula1>Autor_Registro</formula1>
    </dataValidation>
    <dataValidation type="list" allowBlank="1" showInputMessage="1" showErrorMessage="1" sqref="E23:E32">
      <formula1>Revisores</formula1>
    </dataValidation>
  </dataValidations>
  <pageMargins left="0.7" right="0.7" top="0.75" bottom="0.75" header="0.3" footer="0.3"/>
  <pageSetup paperSize="9" orientation="portrait" r:id="rId1"/>
  <ignoredErrors>
    <ignoredError sqref="F24:F32"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7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N267"/>
  <sheetViews>
    <sheetView showGridLines="0" zoomScale="115" zoomScaleNormal="115" workbookViewId="0">
      <pane ySplit="12" topLeftCell="A13" activePane="bottomLeft" state="frozen"/>
      <selection activeCell="G23" sqref="G23"/>
      <selection pane="bottomLeft" activeCell="E16" sqref="E16"/>
    </sheetView>
  </sheetViews>
  <sheetFormatPr baseColWidth="10" defaultColWidth="11.42578125" defaultRowHeight="12.75"/>
  <cols>
    <col min="1" max="1" width="5.42578125" style="34" customWidth="1"/>
    <col min="2" max="2" width="7.7109375" style="34" customWidth="1"/>
    <col min="3" max="3" width="16.140625" style="34" customWidth="1"/>
    <col min="4" max="4" width="15.5703125" style="34" customWidth="1"/>
    <col min="5" max="5" width="31.42578125" style="34" customWidth="1"/>
    <col min="6" max="6" width="14.85546875" style="34" customWidth="1"/>
    <col min="7" max="7" width="18.140625" style="134" customWidth="1"/>
    <col min="8" max="8" width="18.7109375" style="34" hidden="1" customWidth="1"/>
    <col min="9" max="9" width="3.140625" style="34" hidden="1" customWidth="1"/>
    <col min="10" max="10" width="5.85546875" style="34" hidden="1" customWidth="1"/>
    <col min="11" max="11" width="16" style="34" customWidth="1"/>
    <col min="12" max="12" width="27" style="34" customWidth="1"/>
    <col min="13" max="16384" width="11.42578125" style="34"/>
  </cols>
  <sheetData>
    <row r="2" spans="1:14" s="181" customFormat="1" ht="15.75" customHeight="1">
      <c r="B2" s="304"/>
      <c r="C2" s="304"/>
      <c r="D2" s="305" t="s">
        <v>374</v>
      </c>
      <c r="E2" s="305"/>
      <c r="F2" s="305"/>
      <c r="G2" s="305"/>
      <c r="H2" s="305"/>
      <c r="I2" s="305"/>
      <c r="J2" s="305"/>
      <c r="K2" s="305"/>
      <c r="L2" s="185" t="s">
        <v>375</v>
      </c>
    </row>
    <row r="3" spans="1:14" s="181" customFormat="1" ht="15.75" customHeight="1">
      <c r="B3" s="304"/>
      <c r="C3" s="304"/>
      <c r="D3" s="305" t="str">
        <f>Instrucciones!D3</f>
        <v>DS.F.178  ICO-Lista Maestra de Requerimientos_INTEGRA</v>
      </c>
      <c r="E3" s="305"/>
      <c r="F3" s="305"/>
      <c r="G3" s="305"/>
      <c r="H3" s="305"/>
      <c r="I3" s="305"/>
      <c r="J3" s="305"/>
      <c r="K3" s="305"/>
      <c r="L3" s="187" t="str">
        <f>Instrucciones!G3</f>
        <v>Versión: 2.0</v>
      </c>
    </row>
    <row r="4" spans="1:14" s="181" customFormat="1">
      <c r="B4" s="304"/>
      <c r="C4" s="304"/>
      <c r="D4" s="305"/>
      <c r="E4" s="305"/>
      <c r="F4" s="305"/>
      <c r="G4" s="305"/>
      <c r="H4" s="305"/>
      <c r="I4" s="305"/>
      <c r="J4" s="305"/>
      <c r="K4" s="305"/>
      <c r="L4" s="187" t="str">
        <f>Instrucciones!G4</f>
        <v>Fecha:  07/05/2019</v>
      </c>
    </row>
    <row r="6" spans="1:14" ht="18">
      <c r="B6" s="35" t="s">
        <v>154</v>
      </c>
      <c r="C6" s="35"/>
    </row>
    <row r="7" spans="1:14" ht="18">
      <c r="B7" s="35"/>
      <c r="C7" s="35"/>
    </row>
    <row r="8" spans="1:14" ht="12.75" customHeight="1">
      <c r="B8" s="306" t="s">
        <v>113</v>
      </c>
      <c r="C8" s="307"/>
      <c r="D8" s="308"/>
      <c r="E8" s="36" t="s">
        <v>219</v>
      </c>
    </row>
    <row r="9" spans="1:14" s="16" customFormat="1" ht="17.25" customHeight="1">
      <c r="A9" s="37"/>
      <c r="B9" s="309" t="s">
        <v>114</v>
      </c>
      <c r="C9" s="309"/>
      <c r="D9" s="309"/>
      <c r="E9" s="38" t="s">
        <v>366</v>
      </c>
      <c r="F9" s="15"/>
      <c r="G9" s="135"/>
      <c r="I9" s="15"/>
      <c r="J9" s="15"/>
    </row>
    <row r="10" spans="1:14" s="115" customFormat="1" ht="17.25" customHeight="1">
      <c r="A10" s="112"/>
      <c r="B10" s="113"/>
      <c r="C10" s="113"/>
      <c r="D10" s="113"/>
      <c r="E10" s="114"/>
      <c r="F10" s="15"/>
      <c r="G10" s="136"/>
      <c r="I10" s="15"/>
      <c r="J10" s="15"/>
      <c r="L10" s="111" t="s">
        <v>254</v>
      </c>
    </row>
    <row r="11" spans="1:14" ht="18">
      <c r="B11" s="35"/>
      <c r="C11" s="35"/>
      <c r="D11" s="35"/>
      <c r="L11" s="150"/>
    </row>
    <row r="12" spans="1:14" s="39" customFormat="1" ht="57" customHeight="1">
      <c r="B12" s="40" t="s">
        <v>101</v>
      </c>
      <c r="C12" s="106" t="s">
        <v>215</v>
      </c>
      <c r="D12" s="40" t="s">
        <v>19</v>
      </c>
      <c r="E12" s="40" t="s">
        <v>29</v>
      </c>
      <c r="F12" s="40" t="s">
        <v>7</v>
      </c>
      <c r="G12" s="111" t="s">
        <v>5</v>
      </c>
      <c r="H12" s="40" t="s">
        <v>117</v>
      </c>
      <c r="I12" s="40" t="s">
        <v>118</v>
      </c>
      <c r="J12" s="40" t="s">
        <v>119</v>
      </c>
      <c r="K12" s="111" t="s">
        <v>262</v>
      </c>
      <c r="L12" s="40" t="s">
        <v>200</v>
      </c>
      <c r="N12" s="41" t="s">
        <v>200</v>
      </c>
    </row>
    <row r="13" spans="1:14" ht="25.5">
      <c r="B13" s="38"/>
      <c r="C13" s="38"/>
      <c r="D13" s="38" t="s">
        <v>115</v>
      </c>
      <c r="E13" s="204" t="s">
        <v>439</v>
      </c>
      <c r="F13" s="204" t="s">
        <v>438</v>
      </c>
      <c r="G13" s="222" t="s">
        <v>67</v>
      </c>
      <c r="H13" s="36"/>
      <c r="I13" s="36"/>
      <c r="J13" s="36"/>
      <c r="K13" s="221">
        <v>44900</v>
      </c>
      <c r="L13" s="43"/>
    </row>
    <row r="14" spans="1:14">
      <c r="B14" s="151" t="str">
        <f>IF(NOT(ISBLANK($B$13)),$B$13,"  ")</f>
        <v xml:space="preserve">  </v>
      </c>
      <c r="C14" s="151" t="str">
        <f>IF(NOT(ISBLANK($C$13)),$C$13,"  ")</f>
        <v xml:space="preserve">  </v>
      </c>
      <c r="D14" s="38" t="s">
        <v>421</v>
      </c>
      <c r="E14" s="204" t="s">
        <v>440</v>
      </c>
      <c r="F14" s="204"/>
      <c r="G14" s="222" t="s">
        <v>67</v>
      </c>
      <c r="H14" s="36"/>
      <c r="I14" s="36"/>
      <c r="J14" s="36"/>
      <c r="K14" s="221">
        <v>44900</v>
      </c>
      <c r="L14" s="43"/>
    </row>
    <row r="15" spans="1:14">
      <c r="B15" s="151" t="str">
        <f t="shared" ref="B15:C76" si="0">IF(NOT(ISBLANK($B$13)),$B$13,"  ")</f>
        <v xml:space="preserve">  </v>
      </c>
      <c r="C15" s="151" t="str">
        <f t="shared" ref="C15:C76" si="1">IF(NOT(ISBLANK($C$13)),$C$13,"  ")</f>
        <v xml:space="preserve">  </v>
      </c>
      <c r="D15" s="38" t="s">
        <v>422</v>
      </c>
      <c r="E15" s="204" t="s">
        <v>441</v>
      </c>
      <c r="F15" s="204" t="s">
        <v>438</v>
      </c>
      <c r="G15" s="222" t="s">
        <v>67</v>
      </c>
      <c r="H15" s="36"/>
      <c r="I15" s="36"/>
      <c r="J15" s="36"/>
      <c r="K15" s="221">
        <v>44900</v>
      </c>
      <c r="L15" s="43"/>
    </row>
    <row r="16" spans="1:14">
      <c r="B16" s="151"/>
      <c r="C16" s="151"/>
      <c r="D16" s="38" t="s">
        <v>431</v>
      </c>
      <c r="E16" s="204" t="s">
        <v>442</v>
      </c>
      <c r="F16" s="204" t="s">
        <v>438</v>
      </c>
      <c r="G16" s="222" t="s">
        <v>67</v>
      </c>
      <c r="H16" s="36"/>
      <c r="I16" s="36"/>
      <c r="J16" s="36"/>
      <c r="K16" s="221">
        <v>44900</v>
      </c>
      <c r="L16" s="43"/>
    </row>
    <row r="17" spans="2:12">
      <c r="B17" s="151" t="str">
        <f t="shared" si="0"/>
        <v xml:space="preserve">  </v>
      </c>
      <c r="C17" s="151" t="str">
        <f t="shared" si="0"/>
        <v xml:space="preserve">  </v>
      </c>
      <c r="D17" s="38" t="s">
        <v>436</v>
      </c>
      <c r="E17" s="204" t="s">
        <v>443</v>
      </c>
      <c r="F17" s="204"/>
      <c r="G17" s="222" t="s">
        <v>67</v>
      </c>
      <c r="H17" s="36"/>
      <c r="I17" s="36"/>
      <c r="J17" s="36"/>
      <c r="K17" s="221">
        <v>44900</v>
      </c>
      <c r="L17" s="43"/>
    </row>
    <row r="18" spans="2:12" s="218" customFormat="1">
      <c r="B18" s="212"/>
      <c r="C18" s="212"/>
      <c r="D18" s="213"/>
      <c r="E18" s="219"/>
      <c r="F18" s="225"/>
      <c r="G18" s="214"/>
      <c r="H18" s="215"/>
      <c r="I18" s="215"/>
      <c r="J18" s="215"/>
      <c r="K18" s="216"/>
      <c r="L18" s="217"/>
    </row>
    <row r="19" spans="2:12" s="218" customFormat="1">
      <c r="B19" s="212"/>
      <c r="C19" s="212"/>
      <c r="D19" s="213"/>
      <c r="E19" s="219"/>
      <c r="F19" s="213"/>
      <c r="G19" s="214"/>
      <c r="H19" s="215"/>
      <c r="I19" s="215"/>
      <c r="J19" s="215"/>
      <c r="K19" s="216"/>
      <c r="L19" s="217"/>
    </row>
    <row r="20" spans="2:12" s="218" customFormat="1">
      <c r="B20" s="212"/>
      <c r="C20" s="212"/>
      <c r="D20" s="213"/>
      <c r="E20" s="219"/>
      <c r="F20" s="213"/>
      <c r="G20" s="214"/>
      <c r="H20" s="215"/>
      <c r="I20" s="215"/>
      <c r="J20" s="215"/>
      <c r="K20" s="216"/>
      <c r="L20" s="217"/>
    </row>
    <row r="21" spans="2:12" s="218" customFormat="1">
      <c r="B21" s="212"/>
      <c r="C21" s="212"/>
      <c r="D21" s="213"/>
      <c r="E21" s="219"/>
      <c r="F21" s="213"/>
      <c r="G21" s="214"/>
      <c r="H21" s="215"/>
      <c r="I21" s="215"/>
      <c r="J21" s="215"/>
      <c r="K21" s="216"/>
      <c r="L21" s="217"/>
    </row>
    <row r="22" spans="2:12" s="218" customFormat="1">
      <c r="B22" s="212"/>
      <c r="C22" s="212"/>
      <c r="D22" s="213"/>
      <c r="E22" s="219"/>
      <c r="F22" s="213"/>
      <c r="G22" s="214"/>
      <c r="H22" s="215"/>
      <c r="I22" s="215"/>
      <c r="J22" s="215"/>
      <c r="K22" s="216"/>
      <c r="L22" s="217"/>
    </row>
    <row r="23" spans="2:12" s="218" customFormat="1">
      <c r="B23" s="212"/>
      <c r="C23" s="212"/>
      <c r="D23" s="213"/>
      <c r="E23" s="219"/>
      <c r="F23" s="213"/>
      <c r="G23" s="214"/>
      <c r="H23" s="215"/>
      <c r="I23" s="215"/>
      <c r="J23" s="215"/>
      <c r="K23" s="216"/>
      <c r="L23" s="217"/>
    </row>
    <row r="24" spans="2:12" s="218" customFormat="1">
      <c r="B24" s="212"/>
      <c r="C24" s="212"/>
      <c r="D24" s="213"/>
      <c r="E24" s="219"/>
      <c r="F24" s="213"/>
      <c r="G24" s="214"/>
      <c r="H24" s="215"/>
      <c r="I24" s="215"/>
      <c r="J24" s="215"/>
      <c r="K24" s="216"/>
      <c r="L24" s="217"/>
    </row>
    <row r="25" spans="2:12" s="218" customFormat="1">
      <c r="B25" s="212"/>
      <c r="C25" s="212"/>
      <c r="D25" s="213"/>
      <c r="E25" s="219"/>
      <c r="F25" s="213"/>
      <c r="G25" s="214"/>
      <c r="H25" s="215"/>
      <c r="I25" s="215"/>
      <c r="J25" s="215"/>
      <c r="K25" s="216"/>
      <c r="L25" s="217"/>
    </row>
    <row r="26" spans="2:12" s="218" customFormat="1">
      <c r="B26" s="212"/>
      <c r="C26" s="212"/>
      <c r="D26" s="213"/>
      <c r="E26" s="219"/>
      <c r="F26" s="213"/>
      <c r="G26" s="214"/>
      <c r="H26" s="215"/>
      <c r="I26" s="215"/>
      <c r="J26" s="215"/>
      <c r="K26" s="216"/>
      <c r="L26" s="217"/>
    </row>
    <row r="27" spans="2:12" s="218" customFormat="1">
      <c r="B27" s="212"/>
      <c r="C27" s="212"/>
      <c r="D27" s="213"/>
      <c r="E27" s="219"/>
      <c r="F27" s="213"/>
      <c r="G27" s="214"/>
      <c r="H27" s="215"/>
      <c r="I27" s="215"/>
      <c r="J27" s="215"/>
      <c r="K27" s="216"/>
      <c r="L27" s="217"/>
    </row>
    <row r="28" spans="2:12" s="218" customFormat="1">
      <c r="B28" s="212"/>
      <c r="C28" s="212"/>
      <c r="D28" s="213"/>
      <c r="E28" s="219"/>
      <c r="F28" s="213"/>
      <c r="G28" s="214"/>
      <c r="H28" s="215"/>
      <c r="I28" s="215"/>
      <c r="J28" s="215"/>
      <c r="K28" s="216"/>
      <c r="L28" s="217"/>
    </row>
    <row r="29" spans="2:12" s="218" customFormat="1">
      <c r="B29" s="212"/>
      <c r="C29" s="212"/>
      <c r="D29" s="213"/>
      <c r="E29" s="219"/>
      <c r="F29" s="213"/>
      <c r="G29" s="214"/>
      <c r="H29" s="215"/>
      <c r="I29" s="215"/>
      <c r="J29" s="215"/>
      <c r="K29" s="216"/>
      <c r="L29" s="217"/>
    </row>
    <row r="30" spans="2:12" s="218" customFormat="1">
      <c r="B30" s="212"/>
      <c r="C30" s="212"/>
      <c r="D30" s="213"/>
      <c r="E30" s="219"/>
      <c r="F30" s="213"/>
      <c r="G30" s="214"/>
      <c r="H30" s="215"/>
      <c r="I30" s="215"/>
      <c r="J30" s="215"/>
      <c r="K30" s="216"/>
      <c r="L30" s="217"/>
    </row>
    <row r="31" spans="2:12" s="218" customFormat="1">
      <c r="B31" s="212"/>
      <c r="C31" s="212"/>
      <c r="D31" s="213"/>
      <c r="E31" s="219"/>
      <c r="F31" s="213"/>
      <c r="G31" s="214"/>
      <c r="H31" s="215"/>
      <c r="I31" s="215"/>
      <c r="J31" s="215"/>
      <c r="K31" s="216"/>
      <c r="L31" s="217"/>
    </row>
    <row r="32" spans="2:12" s="218" customFormat="1">
      <c r="B32" s="212"/>
      <c r="C32" s="212"/>
      <c r="D32" s="213"/>
      <c r="E32" s="219"/>
      <c r="F32" s="213"/>
      <c r="G32" s="214"/>
      <c r="H32" s="215"/>
      <c r="I32" s="215"/>
      <c r="J32" s="215"/>
      <c r="K32" s="216"/>
      <c r="L32" s="217"/>
    </row>
    <row r="33" spans="2:12" s="218" customFormat="1">
      <c r="B33" s="212"/>
      <c r="C33" s="212"/>
      <c r="D33" s="213"/>
      <c r="E33" s="219"/>
      <c r="F33" s="213"/>
      <c r="G33" s="214"/>
      <c r="H33" s="215"/>
      <c r="I33" s="215"/>
      <c r="J33" s="215"/>
      <c r="K33" s="216"/>
      <c r="L33" s="217"/>
    </row>
    <row r="34" spans="2:12" s="218" customFormat="1">
      <c r="B34" s="212"/>
      <c r="C34" s="212"/>
      <c r="D34" s="213"/>
      <c r="E34" s="219"/>
      <c r="F34" s="213"/>
      <c r="G34" s="214"/>
      <c r="H34" s="215"/>
      <c r="I34" s="215"/>
      <c r="J34" s="215"/>
      <c r="K34" s="216"/>
      <c r="L34" s="217"/>
    </row>
    <row r="35" spans="2:12" s="218" customFormat="1">
      <c r="B35" s="212"/>
      <c r="C35" s="212"/>
      <c r="D35" s="213"/>
      <c r="E35" s="219"/>
      <c r="F35" s="213"/>
      <c r="G35" s="214"/>
      <c r="H35" s="215"/>
      <c r="I35" s="215"/>
      <c r="J35" s="215"/>
      <c r="K35" s="216"/>
      <c r="L35" s="217"/>
    </row>
    <row r="36" spans="2:12" s="218" customFormat="1">
      <c r="B36" s="212"/>
      <c r="C36" s="212"/>
      <c r="D36" s="213"/>
      <c r="E36" s="219"/>
      <c r="F36" s="213"/>
      <c r="G36" s="214"/>
      <c r="H36" s="215"/>
      <c r="I36" s="215"/>
      <c r="J36" s="215"/>
      <c r="K36" s="216"/>
      <c r="L36" s="217"/>
    </row>
    <row r="37" spans="2:12" s="218" customFormat="1">
      <c r="B37" s="212"/>
      <c r="C37" s="212"/>
      <c r="D37" s="213"/>
      <c r="E37" s="220"/>
      <c r="F37" s="213"/>
      <c r="G37" s="214"/>
      <c r="H37" s="215"/>
      <c r="I37" s="215"/>
      <c r="J37" s="215"/>
      <c r="K37" s="216"/>
      <c r="L37" s="217"/>
    </row>
    <row r="38" spans="2:12" s="218" customFormat="1">
      <c r="B38" s="212"/>
      <c r="C38" s="212"/>
      <c r="D38" s="213"/>
      <c r="E38" s="219"/>
      <c r="F38" s="213"/>
      <c r="G38" s="214"/>
      <c r="H38" s="215"/>
      <c r="I38" s="215"/>
      <c r="J38" s="215"/>
      <c r="K38" s="216"/>
      <c r="L38" s="217"/>
    </row>
    <row r="39" spans="2:12" s="218" customFormat="1">
      <c r="B39" s="212"/>
      <c r="C39" s="212"/>
      <c r="D39" s="213"/>
      <c r="E39" s="219"/>
      <c r="F39" s="213"/>
      <c r="G39" s="214"/>
      <c r="H39" s="215"/>
      <c r="I39" s="215"/>
      <c r="J39" s="215"/>
      <c r="K39" s="216"/>
      <c r="L39" s="217"/>
    </row>
    <row r="40" spans="2:12" s="218" customFormat="1">
      <c r="B40" s="212"/>
      <c r="C40" s="212"/>
      <c r="D40" s="213"/>
      <c r="E40" s="219"/>
      <c r="F40" s="213"/>
      <c r="G40" s="214"/>
      <c r="H40" s="215"/>
      <c r="I40" s="215"/>
      <c r="J40" s="215"/>
      <c r="K40" s="216"/>
      <c r="L40" s="217"/>
    </row>
    <row r="41" spans="2:12" s="218" customFormat="1">
      <c r="B41" s="212"/>
      <c r="C41" s="212"/>
      <c r="D41" s="213"/>
      <c r="E41" s="219"/>
      <c r="F41" s="213"/>
      <c r="G41" s="214"/>
      <c r="H41" s="215"/>
      <c r="I41" s="215"/>
      <c r="J41" s="215"/>
      <c r="K41" s="216"/>
      <c r="L41" s="217"/>
    </row>
    <row r="42" spans="2:12" s="218" customFormat="1">
      <c r="B42" s="212"/>
      <c r="C42" s="212"/>
      <c r="D42" s="213"/>
      <c r="E42" s="219"/>
      <c r="F42" s="213"/>
      <c r="G42" s="214"/>
      <c r="H42" s="215"/>
      <c r="I42" s="215"/>
      <c r="J42" s="215"/>
      <c r="K42" s="216"/>
      <c r="L42" s="217"/>
    </row>
    <row r="43" spans="2:12" s="218" customFormat="1">
      <c r="B43" s="212"/>
      <c r="C43" s="212"/>
      <c r="D43" s="213"/>
      <c r="E43" s="219"/>
      <c r="F43" s="213"/>
      <c r="G43" s="214"/>
      <c r="H43" s="215"/>
      <c r="I43" s="215"/>
      <c r="J43" s="215"/>
      <c r="K43" s="216"/>
      <c r="L43" s="217"/>
    </row>
    <row r="44" spans="2:12" s="218" customFormat="1">
      <c r="B44" s="212"/>
      <c r="C44" s="212"/>
      <c r="D44" s="213"/>
      <c r="E44" s="219"/>
      <c r="F44" s="213"/>
      <c r="G44" s="214"/>
      <c r="H44" s="215"/>
      <c r="I44" s="215"/>
      <c r="J44" s="215"/>
      <c r="K44" s="216"/>
      <c r="L44" s="217"/>
    </row>
    <row r="45" spans="2:12" s="218" customFormat="1">
      <c r="B45" s="212"/>
      <c r="C45" s="212"/>
      <c r="D45" s="213"/>
      <c r="E45" s="219"/>
      <c r="F45" s="213"/>
      <c r="G45" s="214"/>
      <c r="H45" s="215"/>
      <c r="I45" s="215"/>
      <c r="J45" s="215"/>
      <c r="K45" s="216"/>
      <c r="L45" s="217"/>
    </row>
    <row r="46" spans="2:12" s="218" customFormat="1">
      <c r="B46" s="212"/>
      <c r="C46" s="212"/>
      <c r="D46" s="213"/>
      <c r="E46" s="219"/>
      <c r="F46" s="213"/>
      <c r="G46" s="214"/>
      <c r="H46" s="215"/>
      <c r="I46" s="215"/>
      <c r="J46" s="215"/>
      <c r="K46" s="216"/>
      <c r="L46" s="217"/>
    </row>
    <row r="47" spans="2:12" s="218" customFormat="1">
      <c r="B47" s="212"/>
      <c r="C47" s="212"/>
      <c r="D47" s="213"/>
      <c r="E47" s="219"/>
      <c r="F47" s="213"/>
      <c r="G47" s="214"/>
      <c r="H47" s="215"/>
      <c r="I47" s="215"/>
      <c r="J47" s="215"/>
      <c r="K47" s="216"/>
      <c r="L47" s="217"/>
    </row>
    <row r="48" spans="2:12" s="218" customFormat="1">
      <c r="B48" s="212"/>
      <c r="C48" s="212"/>
      <c r="D48" s="213"/>
      <c r="E48" s="219"/>
      <c r="F48" s="213"/>
      <c r="G48" s="214"/>
      <c r="H48" s="215"/>
      <c r="I48" s="215"/>
      <c r="J48" s="215"/>
      <c r="K48" s="216"/>
      <c r="L48" s="217"/>
    </row>
    <row r="49" spans="2:12" s="218" customFormat="1">
      <c r="B49" s="212"/>
      <c r="C49" s="212"/>
      <c r="D49" s="213"/>
      <c r="E49" s="219"/>
      <c r="F49" s="213"/>
      <c r="G49" s="214"/>
      <c r="H49" s="215"/>
      <c r="I49" s="215"/>
      <c r="J49" s="215"/>
      <c r="K49" s="216"/>
      <c r="L49" s="217"/>
    </row>
    <row r="50" spans="2:12" s="218" customFormat="1">
      <c r="B50" s="212"/>
      <c r="C50" s="212"/>
      <c r="D50" s="213"/>
      <c r="E50" s="219"/>
      <c r="F50" s="213"/>
      <c r="G50" s="214"/>
      <c r="H50" s="215"/>
      <c r="I50" s="215"/>
      <c r="J50" s="215"/>
      <c r="K50" s="216"/>
      <c r="L50" s="217"/>
    </row>
    <row r="51" spans="2:12" s="218" customFormat="1">
      <c r="B51" s="212"/>
      <c r="C51" s="212"/>
      <c r="D51" s="213"/>
      <c r="E51" s="219"/>
      <c r="F51" s="213"/>
      <c r="G51" s="214"/>
      <c r="H51" s="215"/>
      <c r="I51" s="215"/>
      <c r="J51" s="215"/>
      <c r="K51" s="216"/>
      <c r="L51" s="217"/>
    </row>
    <row r="52" spans="2:12" s="218" customFormat="1">
      <c r="B52" s="212"/>
      <c r="C52" s="212"/>
      <c r="D52" s="213"/>
      <c r="E52" s="219"/>
      <c r="F52" s="213"/>
      <c r="G52" s="214"/>
      <c r="H52" s="215"/>
      <c r="I52" s="215"/>
      <c r="J52" s="215"/>
      <c r="K52" s="216"/>
      <c r="L52" s="217"/>
    </row>
    <row r="53" spans="2:12" s="218" customFormat="1">
      <c r="B53" s="212"/>
      <c r="C53" s="212"/>
      <c r="D53" s="213"/>
      <c r="E53" s="219"/>
      <c r="F53" s="213"/>
      <c r="G53" s="214"/>
      <c r="H53" s="215"/>
      <c r="I53" s="215"/>
      <c r="J53" s="215"/>
      <c r="K53" s="216"/>
      <c r="L53" s="217"/>
    </row>
    <row r="54" spans="2:12" s="218" customFormat="1">
      <c r="B54" s="212"/>
      <c r="C54" s="212"/>
      <c r="D54" s="213"/>
      <c r="E54" s="219"/>
      <c r="F54" s="213"/>
      <c r="G54" s="214"/>
      <c r="H54" s="215"/>
      <c r="I54" s="215"/>
      <c r="J54" s="215"/>
      <c r="K54" s="216"/>
      <c r="L54" s="217"/>
    </row>
    <row r="55" spans="2:12" s="218" customFormat="1">
      <c r="B55" s="212"/>
      <c r="C55" s="212"/>
      <c r="D55" s="213"/>
      <c r="E55" s="219"/>
      <c r="F55" s="213"/>
      <c r="G55" s="214"/>
      <c r="H55" s="215"/>
      <c r="I55" s="215"/>
      <c r="J55" s="215"/>
      <c r="K55" s="216"/>
      <c r="L55" s="217"/>
    </row>
    <row r="56" spans="2:12" s="218" customFormat="1">
      <c r="B56" s="212"/>
      <c r="C56" s="212"/>
      <c r="D56" s="213"/>
      <c r="E56" s="219"/>
      <c r="F56" s="213"/>
      <c r="G56" s="214"/>
      <c r="H56" s="215"/>
      <c r="I56" s="215"/>
      <c r="J56" s="215"/>
      <c r="K56" s="216"/>
      <c r="L56" s="217"/>
    </row>
    <row r="57" spans="2:12" s="218" customFormat="1">
      <c r="B57" s="212"/>
      <c r="C57" s="212"/>
      <c r="D57" s="213"/>
      <c r="E57" s="219"/>
      <c r="F57" s="213"/>
      <c r="G57" s="214"/>
      <c r="H57" s="215"/>
      <c r="I57" s="215"/>
      <c r="J57" s="215"/>
      <c r="K57" s="216"/>
      <c r="L57" s="217"/>
    </row>
    <row r="58" spans="2:12" s="218" customFormat="1">
      <c r="B58" s="212"/>
      <c r="C58" s="212"/>
      <c r="D58" s="213"/>
      <c r="E58" s="219"/>
      <c r="F58" s="213"/>
      <c r="G58" s="214"/>
      <c r="H58" s="215"/>
      <c r="I58" s="215"/>
      <c r="J58" s="215"/>
      <c r="K58" s="216"/>
      <c r="L58" s="217"/>
    </row>
    <row r="59" spans="2:12" s="218" customFormat="1">
      <c r="B59" s="212"/>
      <c r="C59" s="212"/>
      <c r="D59" s="213"/>
      <c r="E59" s="219"/>
      <c r="F59" s="213"/>
      <c r="G59" s="214"/>
      <c r="H59" s="215"/>
      <c r="I59" s="215"/>
      <c r="J59" s="215"/>
      <c r="K59" s="216"/>
      <c r="L59" s="217"/>
    </row>
    <row r="60" spans="2:12" s="218" customFormat="1">
      <c r="B60" s="212"/>
      <c r="C60" s="212"/>
      <c r="D60" s="213"/>
      <c r="E60" s="219"/>
      <c r="F60" s="213"/>
      <c r="G60" s="214"/>
      <c r="H60" s="215"/>
      <c r="I60" s="215"/>
      <c r="J60" s="215"/>
      <c r="K60" s="216"/>
      <c r="L60" s="217"/>
    </row>
    <row r="61" spans="2:12" s="218" customFormat="1">
      <c r="B61" s="212" t="str">
        <f t="shared" si="0"/>
        <v xml:space="preserve">  </v>
      </c>
      <c r="C61" s="212" t="str">
        <f t="shared" si="1"/>
        <v xml:space="preserve">  </v>
      </c>
      <c r="D61" s="213"/>
      <c r="E61" s="219"/>
      <c r="F61" s="213"/>
      <c r="G61" s="214"/>
      <c r="H61" s="215"/>
      <c r="I61" s="215"/>
      <c r="J61" s="215"/>
      <c r="K61" s="216"/>
      <c r="L61" s="217">
        <f>SUMIF('Requerimientos del sistema'!$D$10:$D$114,'Requerimientos de usuario'!$D$13:$D$53,'Requerimientos del sistema'!$P$10:$P$114)</f>
        <v>0</v>
      </c>
    </row>
    <row r="62" spans="2:12">
      <c r="B62" s="205" t="str">
        <f t="shared" si="0"/>
        <v xml:space="preserve">  </v>
      </c>
      <c r="C62" s="205" t="str">
        <f t="shared" si="1"/>
        <v xml:space="preserve">  </v>
      </c>
      <c r="D62" s="206"/>
      <c r="E62" s="207"/>
      <c r="F62" s="206"/>
      <c r="G62" s="208"/>
      <c r="H62" s="209"/>
      <c r="I62" s="209"/>
      <c r="J62" s="209"/>
      <c r="K62" s="210"/>
      <c r="L62" s="211">
        <f>SUMIF('Requerimientos del sistema'!$D$10:$D$114,'Requerimientos de usuario'!$D$13:$D$53,'Requerimientos del sistema'!$P$10:$P$114)</f>
        <v>0</v>
      </c>
    </row>
    <row r="63" spans="2:12">
      <c r="B63" s="151" t="str">
        <f t="shared" si="0"/>
        <v xml:space="preserve">  </v>
      </c>
      <c r="C63" s="151" t="str">
        <f t="shared" si="1"/>
        <v xml:space="preserve">  </v>
      </c>
      <c r="D63" s="38"/>
      <c r="E63" s="140"/>
      <c r="F63" s="38"/>
      <c r="G63" s="137"/>
      <c r="H63" s="36"/>
      <c r="I63" s="36"/>
      <c r="J63" s="36"/>
      <c r="K63" s="42"/>
      <c r="L63" s="43">
        <f>SUMIF('Requerimientos del sistema'!$D$10:$D$114,'Requerimientos de usuario'!$D$13:$D$53,'Requerimientos del sistema'!$P$10:$P$114)</f>
        <v>0</v>
      </c>
    </row>
    <row r="64" spans="2:12">
      <c r="B64" s="151" t="str">
        <f t="shared" si="0"/>
        <v xml:space="preserve">  </v>
      </c>
      <c r="C64" s="151" t="str">
        <f t="shared" si="1"/>
        <v xml:space="preserve">  </v>
      </c>
      <c r="D64" s="38"/>
      <c r="E64" s="140"/>
      <c r="F64" s="38"/>
      <c r="G64" s="137"/>
      <c r="H64" s="36"/>
      <c r="I64" s="36"/>
      <c r="J64" s="36"/>
      <c r="K64" s="42"/>
      <c r="L64" s="43">
        <f>SUMIF('Requerimientos del sistema'!$D$10:$D$114,'Requerimientos de usuario'!$D$13:$D$53,'Requerimientos del sistema'!$P$10:$P$114)</f>
        <v>0</v>
      </c>
    </row>
    <row r="65" spans="2:12">
      <c r="B65" s="151" t="str">
        <f t="shared" si="0"/>
        <v xml:space="preserve">  </v>
      </c>
      <c r="C65" s="151" t="str">
        <f t="shared" si="1"/>
        <v xml:space="preserve">  </v>
      </c>
      <c r="D65" s="38"/>
      <c r="E65" s="140"/>
      <c r="F65" s="38"/>
      <c r="G65" s="137"/>
      <c r="H65" s="36"/>
      <c r="I65" s="36"/>
      <c r="J65" s="36"/>
      <c r="K65" s="42"/>
      <c r="L65" s="43">
        <f>SUMIF('Requerimientos del sistema'!$D$10:$D$114,'Requerimientos de usuario'!$D$13:$D$53,'Requerimientos del sistema'!$P$10:$P$114)</f>
        <v>0</v>
      </c>
    </row>
    <row r="66" spans="2:12">
      <c r="B66" s="151" t="str">
        <f t="shared" si="0"/>
        <v xml:space="preserve">  </v>
      </c>
      <c r="C66" s="151" t="str">
        <f t="shared" si="1"/>
        <v xml:space="preserve">  </v>
      </c>
      <c r="D66" s="38"/>
      <c r="E66" s="140"/>
      <c r="F66" s="38"/>
      <c r="G66" s="137"/>
      <c r="H66" s="36"/>
      <c r="I66" s="36"/>
      <c r="J66" s="36"/>
      <c r="K66" s="42"/>
      <c r="L66" s="43">
        <f>SUMIF('Requerimientos del sistema'!$D$10:$D$114,'Requerimientos de usuario'!$D$13:$D$53,'Requerimientos del sistema'!$P$10:$P$114)</f>
        <v>0</v>
      </c>
    </row>
    <row r="67" spans="2:12">
      <c r="B67" s="151" t="str">
        <f t="shared" si="0"/>
        <v xml:space="preserve">  </v>
      </c>
      <c r="C67" s="151" t="str">
        <f t="shared" si="1"/>
        <v xml:space="preserve">  </v>
      </c>
      <c r="D67" s="38"/>
      <c r="E67" s="140"/>
      <c r="F67" s="38"/>
      <c r="G67" s="137"/>
      <c r="H67" s="36"/>
      <c r="I67" s="36"/>
      <c r="J67" s="36"/>
      <c r="K67" s="42"/>
      <c r="L67" s="43">
        <f>SUMIF('Requerimientos del sistema'!$D$10:$D$114,'Requerimientos de usuario'!$D$13:$D$53,'Requerimientos del sistema'!$P$10:$P$114)</f>
        <v>0</v>
      </c>
    </row>
    <row r="68" spans="2:12">
      <c r="B68" s="151" t="str">
        <f t="shared" si="0"/>
        <v xml:space="preserve">  </v>
      </c>
      <c r="C68" s="151" t="str">
        <f t="shared" si="1"/>
        <v xml:space="preserve">  </v>
      </c>
      <c r="D68" s="38"/>
      <c r="E68" s="140"/>
      <c r="F68" s="38"/>
      <c r="G68" s="137"/>
      <c r="H68" s="36"/>
      <c r="I68" s="36"/>
      <c r="J68" s="36"/>
      <c r="K68" s="42"/>
      <c r="L68" s="43">
        <f>SUMIF('Requerimientos del sistema'!$D$10:$D$114,'Requerimientos de usuario'!$D$13:$D$53,'Requerimientos del sistema'!$P$10:$P$114)</f>
        <v>0</v>
      </c>
    </row>
    <row r="69" spans="2:12">
      <c r="B69" s="151" t="str">
        <f t="shared" si="0"/>
        <v xml:space="preserve">  </v>
      </c>
      <c r="C69" s="151" t="str">
        <f t="shared" si="1"/>
        <v xml:space="preserve">  </v>
      </c>
      <c r="D69" s="38"/>
      <c r="E69" s="140"/>
      <c r="F69" s="38"/>
      <c r="G69" s="137"/>
      <c r="H69" s="36"/>
      <c r="I69" s="36"/>
      <c r="J69" s="36"/>
      <c r="K69" s="42"/>
      <c r="L69" s="43">
        <f>SUMIF('Requerimientos del sistema'!$D$10:$D$114,'Requerimientos de usuario'!$D$13:$D$53,'Requerimientos del sistema'!$P$10:$P$114)</f>
        <v>0</v>
      </c>
    </row>
    <row r="70" spans="2:12">
      <c r="B70" s="151" t="str">
        <f t="shared" si="0"/>
        <v xml:space="preserve">  </v>
      </c>
      <c r="C70" s="151" t="str">
        <f t="shared" si="1"/>
        <v xml:space="preserve">  </v>
      </c>
      <c r="D70" s="38"/>
      <c r="E70" s="140"/>
      <c r="F70" s="38"/>
      <c r="G70" s="137"/>
      <c r="H70" s="36"/>
      <c r="I70" s="36"/>
      <c r="J70" s="36"/>
      <c r="K70" s="42"/>
      <c r="L70" s="43">
        <f>SUMIF('Requerimientos del sistema'!$D$10:$D$114,'Requerimientos de usuario'!$D$13:$D$53,'Requerimientos del sistema'!$P$10:$P$114)</f>
        <v>0</v>
      </c>
    </row>
    <row r="71" spans="2:12">
      <c r="B71" s="151" t="str">
        <f t="shared" si="0"/>
        <v xml:space="preserve">  </v>
      </c>
      <c r="C71" s="151" t="str">
        <f t="shared" si="1"/>
        <v xml:space="preserve">  </v>
      </c>
      <c r="D71" s="38"/>
      <c r="E71" s="140"/>
      <c r="F71" s="38"/>
      <c r="G71" s="137"/>
      <c r="H71" s="36"/>
      <c r="I71" s="36"/>
      <c r="J71" s="36"/>
      <c r="K71" s="42"/>
      <c r="L71" s="43">
        <f>SUMIF('Requerimientos del sistema'!$D$10:$D$114,'Requerimientos de usuario'!$D$13:$D$53,'Requerimientos del sistema'!$P$10:$P$114)</f>
        <v>0</v>
      </c>
    </row>
    <row r="72" spans="2:12">
      <c r="B72" s="151" t="str">
        <f t="shared" si="0"/>
        <v xml:space="preserve">  </v>
      </c>
      <c r="C72" s="151" t="str">
        <f t="shared" si="1"/>
        <v xml:space="preserve">  </v>
      </c>
      <c r="D72" s="38"/>
      <c r="E72" s="140"/>
      <c r="F72" s="38"/>
      <c r="G72" s="137"/>
      <c r="H72" s="36"/>
      <c r="I72" s="36"/>
      <c r="J72" s="36"/>
      <c r="K72" s="42"/>
      <c r="L72" s="43">
        <f>SUMIF('Requerimientos del sistema'!$D$10:$D$114,'Requerimientos de usuario'!$D$13:$D$53,'Requerimientos del sistema'!$P$10:$P$114)</f>
        <v>0</v>
      </c>
    </row>
    <row r="73" spans="2:12">
      <c r="B73" s="151" t="str">
        <f t="shared" si="0"/>
        <v xml:space="preserve">  </v>
      </c>
      <c r="C73" s="151" t="str">
        <f t="shared" si="1"/>
        <v xml:space="preserve">  </v>
      </c>
      <c r="D73" s="38"/>
      <c r="E73" s="140"/>
      <c r="F73" s="38"/>
      <c r="G73" s="137"/>
      <c r="H73" s="36"/>
      <c r="I73" s="36"/>
      <c r="J73" s="36"/>
      <c r="K73" s="42"/>
      <c r="L73" s="43">
        <f>SUMIF('Requerimientos del sistema'!$D$10:$D$114,'Requerimientos de usuario'!$D$13:$D$53,'Requerimientos del sistema'!$P$10:$P$114)</f>
        <v>0</v>
      </c>
    </row>
    <row r="74" spans="2:12">
      <c r="B74" s="151" t="str">
        <f t="shared" si="0"/>
        <v xml:space="preserve">  </v>
      </c>
      <c r="C74" s="151" t="str">
        <f t="shared" si="1"/>
        <v xml:space="preserve">  </v>
      </c>
      <c r="D74" s="38"/>
      <c r="E74" s="140"/>
      <c r="F74" s="38"/>
      <c r="G74" s="137"/>
      <c r="H74" s="36"/>
      <c r="I74" s="36"/>
      <c r="J74" s="36"/>
      <c r="K74" s="42"/>
      <c r="L74" s="43">
        <f>SUMIF('Requerimientos del sistema'!$D$10:$D$114,'Requerimientos de usuario'!$D$13:$D$53,'Requerimientos del sistema'!$P$10:$P$114)</f>
        <v>0</v>
      </c>
    </row>
    <row r="75" spans="2:12">
      <c r="B75" s="151" t="str">
        <f t="shared" si="0"/>
        <v xml:space="preserve">  </v>
      </c>
      <c r="C75" s="151" t="str">
        <f t="shared" si="1"/>
        <v xml:space="preserve">  </v>
      </c>
      <c r="D75" s="38"/>
      <c r="E75" s="140"/>
      <c r="F75" s="38"/>
      <c r="G75" s="137"/>
      <c r="H75" s="36"/>
      <c r="I75" s="36"/>
      <c r="J75" s="36"/>
      <c r="K75" s="42"/>
      <c r="L75" s="43">
        <f>SUMIF('Requerimientos del sistema'!$D$10:$D$114,'Requerimientos de usuario'!$D$13:$D$53,'Requerimientos del sistema'!$P$10:$P$114)</f>
        <v>0</v>
      </c>
    </row>
    <row r="76" spans="2:12">
      <c r="B76" s="151" t="str">
        <f t="shared" si="0"/>
        <v xml:space="preserve">  </v>
      </c>
      <c r="C76" s="151" t="str">
        <f t="shared" si="1"/>
        <v xml:space="preserve">  </v>
      </c>
      <c r="D76" s="38"/>
      <c r="E76" s="140"/>
      <c r="F76" s="38"/>
      <c r="G76" s="137"/>
      <c r="H76" s="36"/>
      <c r="I76" s="36"/>
      <c r="J76" s="36"/>
      <c r="K76" s="42"/>
      <c r="L76" s="43">
        <f>SUMIF('Requerimientos del sistema'!$D$10:$D$114,'Requerimientos de usuario'!$D$13:$D$53,'Requerimientos del sistema'!$P$10:$P$114)</f>
        <v>0</v>
      </c>
    </row>
    <row r="77" spans="2:12">
      <c r="B77" s="151" t="str">
        <f t="shared" ref="B77:B140" si="2">IF(NOT(ISBLANK($B$13)),$B$13,"  ")</f>
        <v xml:space="preserve">  </v>
      </c>
      <c r="C77" s="151" t="str">
        <f t="shared" ref="C77:C140" si="3">IF(NOT(ISBLANK($C$13)),$C$13,"  ")</f>
        <v xml:space="preserve">  </v>
      </c>
      <c r="D77" s="38"/>
      <c r="E77" s="140"/>
      <c r="F77" s="38"/>
      <c r="G77" s="137"/>
      <c r="H77" s="36"/>
      <c r="I77" s="36"/>
      <c r="J77" s="36"/>
      <c r="K77" s="42"/>
      <c r="L77" s="43">
        <f>SUMIF('Requerimientos del sistema'!$D$10:$D$114,'Requerimientos de usuario'!$D$13:$D$53,'Requerimientos del sistema'!$P$10:$P$114)</f>
        <v>0</v>
      </c>
    </row>
    <row r="78" spans="2:12">
      <c r="B78" s="151" t="str">
        <f t="shared" si="2"/>
        <v xml:space="preserve">  </v>
      </c>
      <c r="C78" s="151" t="str">
        <f t="shared" si="3"/>
        <v xml:space="preserve">  </v>
      </c>
      <c r="D78" s="38"/>
      <c r="E78" s="140"/>
      <c r="F78" s="38"/>
      <c r="G78" s="137"/>
      <c r="H78" s="36"/>
      <c r="I78" s="36"/>
      <c r="J78" s="36"/>
      <c r="K78" s="42"/>
      <c r="L78" s="43">
        <f>SUMIF('Requerimientos del sistema'!$D$10:$D$114,'Requerimientos de usuario'!$D$13:$D$53,'Requerimientos del sistema'!$P$10:$P$114)</f>
        <v>0</v>
      </c>
    </row>
    <row r="79" spans="2:12">
      <c r="B79" s="151" t="str">
        <f t="shared" si="2"/>
        <v xml:space="preserve">  </v>
      </c>
      <c r="C79" s="151" t="str">
        <f t="shared" si="3"/>
        <v xml:space="preserve">  </v>
      </c>
      <c r="D79" s="38"/>
      <c r="E79" s="140"/>
      <c r="F79" s="38"/>
      <c r="G79" s="137"/>
      <c r="H79" s="36"/>
      <c r="I79" s="36"/>
      <c r="J79" s="36"/>
      <c r="K79" s="42"/>
      <c r="L79" s="43">
        <f>SUMIF('Requerimientos del sistema'!$D$10:$D$114,'Requerimientos de usuario'!$D$13:$D$53,'Requerimientos del sistema'!$P$10:$P$114)</f>
        <v>0</v>
      </c>
    </row>
    <row r="80" spans="2:12">
      <c r="B80" s="151" t="str">
        <f t="shared" si="2"/>
        <v xml:space="preserve">  </v>
      </c>
      <c r="C80" s="151" t="str">
        <f t="shared" si="3"/>
        <v xml:space="preserve">  </v>
      </c>
      <c r="D80" s="38"/>
      <c r="E80" s="140"/>
      <c r="F80" s="38"/>
      <c r="G80" s="137"/>
      <c r="H80" s="36"/>
      <c r="I80" s="36"/>
      <c r="J80" s="36"/>
      <c r="K80" s="42"/>
      <c r="L80" s="43">
        <f>SUMIF('Requerimientos del sistema'!$D$10:$D$114,'Requerimientos de usuario'!$D$13:$D$53,'Requerimientos del sistema'!$P$10:$P$114)</f>
        <v>0</v>
      </c>
    </row>
    <row r="81" spans="2:12">
      <c r="B81" s="151" t="str">
        <f t="shared" si="2"/>
        <v xml:space="preserve">  </v>
      </c>
      <c r="C81" s="151" t="str">
        <f t="shared" si="3"/>
        <v xml:space="preserve">  </v>
      </c>
      <c r="D81" s="38"/>
      <c r="E81" s="140"/>
      <c r="F81" s="38"/>
      <c r="G81" s="137"/>
      <c r="H81" s="36"/>
      <c r="I81" s="36"/>
      <c r="J81" s="36"/>
      <c r="K81" s="42"/>
      <c r="L81" s="43">
        <f>SUMIF('Requerimientos del sistema'!$D$10:$D$114,'Requerimientos de usuario'!$D$13:$D$53,'Requerimientos del sistema'!$P$10:$P$114)</f>
        <v>0</v>
      </c>
    </row>
    <row r="82" spans="2:12">
      <c r="B82" s="151" t="str">
        <f t="shared" si="2"/>
        <v xml:space="preserve">  </v>
      </c>
      <c r="C82" s="151" t="str">
        <f t="shared" si="3"/>
        <v xml:space="preserve">  </v>
      </c>
      <c r="D82" s="38"/>
      <c r="E82" s="140"/>
      <c r="F82" s="38"/>
      <c r="G82" s="137"/>
      <c r="H82" s="36"/>
      <c r="I82" s="36"/>
      <c r="J82" s="36"/>
      <c r="K82" s="42"/>
      <c r="L82" s="43">
        <f>SUMIF('Requerimientos del sistema'!$D$10:$D$114,'Requerimientos de usuario'!$D$13:$D$53,'Requerimientos del sistema'!$P$10:$P$114)</f>
        <v>0</v>
      </c>
    </row>
    <row r="83" spans="2:12">
      <c r="B83" s="151" t="str">
        <f t="shared" si="2"/>
        <v xml:space="preserve">  </v>
      </c>
      <c r="C83" s="151" t="str">
        <f t="shared" si="3"/>
        <v xml:space="preserve">  </v>
      </c>
      <c r="D83" s="38"/>
      <c r="E83" s="140"/>
      <c r="F83" s="38"/>
      <c r="G83" s="137"/>
      <c r="H83" s="36"/>
      <c r="I83" s="36"/>
      <c r="J83" s="36"/>
      <c r="K83" s="42"/>
      <c r="L83" s="43">
        <f>SUMIF('Requerimientos del sistema'!$D$10:$D$114,'Requerimientos de usuario'!$D$13:$D$53,'Requerimientos del sistema'!$P$10:$P$114)</f>
        <v>0</v>
      </c>
    </row>
    <row r="84" spans="2:12">
      <c r="B84" s="151" t="str">
        <f t="shared" si="2"/>
        <v xml:space="preserve">  </v>
      </c>
      <c r="C84" s="151" t="str">
        <f t="shared" si="3"/>
        <v xml:space="preserve">  </v>
      </c>
      <c r="D84" s="38"/>
      <c r="E84" s="140"/>
      <c r="F84" s="38"/>
      <c r="G84" s="137"/>
      <c r="H84" s="36"/>
      <c r="I84" s="36"/>
      <c r="J84" s="36"/>
      <c r="K84" s="42"/>
      <c r="L84" s="43">
        <f>SUMIF('Requerimientos del sistema'!$D$10:$D$114,'Requerimientos de usuario'!$D$13:$D$53,'Requerimientos del sistema'!$P$10:$P$114)</f>
        <v>0</v>
      </c>
    </row>
    <row r="85" spans="2:12">
      <c r="B85" s="151" t="str">
        <f t="shared" si="2"/>
        <v xml:space="preserve">  </v>
      </c>
      <c r="C85" s="151" t="str">
        <f t="shared" si="3"/>
        <v xml:space="preserve">  </v>
      </c>
      <c r="D85" s="38"/>
      <c r="E85" s="140"/>
      <c r="F85" s="38"/>
      <c r="G85" s="137"/>
      <c r="H85" s="36"/>
      <c r="I85" s="36"/>
      <c r="J85" s="36"/>
      <c r="K85" s="42"/>
      <c r="L85" s="43">
        <f>SUMIF('Requerimientos del sistema'!$D$10:$D$114,'Requerimientos de usuario'!$D$13:$D$53,'Requerimientos del sistema'!$P$10:$P$114)</f>
        <v>0</v>
      </c>
    </row>
    <row r="86" spans="2:12">
      <c r="B86" s="151" t="str">
        <f t="shared" si="2"/>
        <v xml:space="preserve">  </v>
      </c>
      <c r="C86" s="151" t="str">
        <f t="shared" si="3"/>
        <v xml:space="preserve">  </v>
      </c>
      <c r="D86" s="38"/>
      <c r="E86" s="140"/>
      <c r="F86" s="38"/>
      <c r="G86" s="137"/>
      <c r="H86" s="36"/>
      <c r="I86" s="36"/>
      <c r="J86" s="36"/>
      <c r="K86" s="42"/>
      <c r="L86" s="43">
        <f>SUMIF('Requerimientos del sistema'!$D$10:$D$114,'Requerimientos de usuario'!$D$13:$D$53,'Requerimientos del sistema'!$P$10:$P$114)</f>
        <v>0</v>
      </c>
    </row>
    <row r="87" spans="2:12">
      <c r="B87" s="151" t="str">
        <f t="shared" si="2"/>
        <v xml:space="preserve">  </v>
      </c>
      <c r="C87" s="151" t="str">
        <f t="shared" si="3"/>
        <v xml:space="preserve">  </v>
      </c>
      <c r="D87" s="38"/>
      <c r="E87" s="140"/>
      <c r="F87" s="38"/>
      <c r="G87" s="137"/>
      <c r="H87" s="36"/>
      <c r="I87" s="36"/>
      <c r="J87" s="36"/>
      <c r="K87" s="42"/>
      <c r="L87" s="43">
        <f>SUMIF('Requerimientos del sistema'!$D$10:$D$114,'Requerimientos de usuario'!$D$13:$D$53,'Requerimientos del sistema'!$P$10:$P$114)</f>
        <v>0</v>
      </c>
    </row>
    <row r="88" spans="2:12">
      <c r="B88" s="151" t="str">
        <f t="shared" si="2"/>
        <v xml:space="preserve">  </v>
      </c>
      <c r="C88" s="151" t="str">
        <f t="shared" si="3"/>
        <v xml:space="preserve">  </v>
      </c>
      <c r="D88" s="38"/>
      <c r="E88" s="140"/>
      <c r="F88" s="38"/>
      <c r="G88" s="137"/>
      <c r="H88" s="36"/>
      <c r="I88" s="36"/>
      <c r="J88" s="36"/>
      <c r="K88" s="42"/>
      <c r="L88" s="43">
        <f>SUMIF('Requerimientos del sistema'!$D$10:$D$114,'Requerimientos de usuario'!$D$13:$D$53,'Requerimientos del sistema'!$P$10:$P$114)</f>
        <v>0</v>
      </c>
    </row>
    <row r="89" spans="2:12">
      <c r="B89" s="151" t="str">
        <f t="shared" si="2"/>
        <v xml:space="preserve">  </v>
      </c>
      <c r="C89" s="151" t="str">
        <f t="shared" si="3"/>
        <v xml:space="preserve">  </v>
      </c>
      <c r="D89" s="38"/>
      <c r="E89" s="140"/>
      <c r="F89" s="38"/>
      <c r="G89" s="137"/>
      <c r="H89" s="36"/>
      <c r="I89" s="36"/>
      <c r="J89" s="36"/>
      <c r="K89" s="42"/>
      <c r="L89" s="43">
        <f>SUMIF('Requerimientos del sistema'!$D$10:$D$114,'Requerimientos de usuario'!$D$13:$D$53,'Requerimientos del sistema'!$P$10:$P$114)</f>
        <v>0</v>
      </c>
    </row>
    <row r="90" spans="2:12">
      <c r="B90" s="151" t="str">
        <f t="shared" si="2"/>
        <v xml:space="preserve">  </v>
      </c>
      <c r="C90" s="151" t="str">
        <f t="shared" si="3"/>
        <v xml:space="preserve">  </v>
      </c>
      <c r="D90" s="38"/>
      <c r="E90" s="140"/>
      <c r="F90" s="38"/>
      <c r="G90" s="137"/>
      <c r="H90" s="36"/>
      <c r="I90" s="36"/>
      <c r="J90" s="36"/>
      <c r="K90" s="42"/>
      <c r="L90" s="43">
        <f>SUMIF('Requerimientos del sistema'!$D$10:$D$114,'Requerimientos de usuario'!$D$13:$D$53,'Requerimientos del sistema'!$P$10:$P$114)</f>
        <v>0</v>
      </c>
    </row>
    <row r="91" spans="2:12">
      <c r="B91" s="151" t="str">
        <f t="shared" si="2"/>
        <v xml:space="preserve">  </v>
      </c>
      <c r="C91" s="151" t="str">
        <f t="shared" si="3"/>
        <v xml:space="preserve">  </v>
      </c>
      <c r="D91" s="38"/>
      <c r="E91" s="140"/>
      <c r="F91" s="38"/>
      <c r="G91" s="137"/>
      <c r="H91" s="36"/>
      <c r="I91" s="36"/>
      <c r="J91" s="36"/>
      <c r="K91" s="42"/>
      <c r="L91" s="43">
        <f>SUMIF('Requerimientos del sistema'!$D$10:$D$114,'Requerimientos de usuario'!$D$13:$D$53,'Requerimientos del sistema'!$P$10:$P$114)</f>
        <v>0</v>
      </c>
    </row>
    <row r="92" spans="2:12">
      <c r="B92" s="151" t="str">
        <f t="shared" si="2"/>
        <v xml:space="preserve">  </v>
      </c>
      <c r="C92" s="151" t="str">
        <f t="shared" si="3"/>
        <v xml:space="preserve">  </v>
      </c>
      <c r="D92" s="38"/>
      <c r="E92" s="140"/>
      <c r="F92" s="38"/>
      <c r="G92" s="137"/>
      <c r="H92" s="36"/>
      <c r="I92" s="36"/>
      <c r="J92" s="36"/>
      <c r="K92" s="42"/>
      <c r="L92" s="43">
        <f>SUMIF('Requerimientos del sistema'!$D$10:$D$114,'Requerimientos de usuario'!$D$13:$D$53,'Requerimientos del sistema'!$P$10:$P$114)</f>
        <v>0</v>
      </c>
    </row>
    <row r="93" spans="2:12">
      <c r="B93" s="151" t="str">
        <f t="shared" si="2"/>
        <v xml:space="preserve">  </v>
      </c>
      <c r="C93" s="151" t="str">
        <f t="shared" si="3"/>
        <v xml:space="preserve">  </v>
      </c>
      <c r="D93" s="38"/>
      <c r="E93" s="140"/>
      <c r="F93" s="38"/>
      <c r="G93" s="137"/>
      <c r="H93" s="36"/>
      <c r="I93" s="36"/>
      <c r="J93" s="36"/>
      <c r="K93" s="42"/>
      <c r="L93" s="43">
        <f>SUMIF('Requerimientos del sistema'!$D$10:$D$114,'Requerimientos de usuario'!$D$13:$D$53,'Requerimientos del sistema'!$P$10:$P$114)</f>
        <v>0</v>
      </c>
    </row>
    <row r="94" spans="2:12">
      <c r="B94" s="151" t="str">
        <f t="shared" si="2"/>
        <v xml:space="preserve">  </v>
      </c>
      <c r="C94" s="151" t="str">
        <f t="shared" si="3"/>
        <v xml:space="preserve">  </v>
      </c>
      <c r="D94" s="38"/>
      <c r="E94" s="140"/>
      <c r="F94" s="38"/>
      <c r="G94" s="137"/>
      <c r="H94" s="36"/>
      <c r="I94" s="36"/>
      <c r="J94" s="36"/>
      <c r="K94" s="42"/>
      <c r="L94" s="43">
        <f>SUMIF('Requerimientos del sistema'!$D$10:$D$114,'Requerimientos de usuario'!$D$13:$D$53,'Requerimientos del sistema'!$P$10:$P$114)</f>
        <v>0</v>
      </c>
    </row>
    <row r="95" spans="2:12">
      <c r="B95" s="151" t="str">
        <f t="shared" si="2"/>
        <v xml:space="preserve">  </v>
      </c>
      <c r="C95" s="151" t="str">
        <f t="shared" si="3"/>
        <v xml:space="preserve">  </v>
      </c>
      <c r="D95" s="38"/>
      <c r="E95" s="140"/>
      <c r="F95" s="38"/>
      <c r="G95" s="137"/>
      <c r="H95" s="36"/>
      <c r="I95" s="36"/>
      <c r="J95" s="36"/>
      <c r="K95" s="42"/>
      <c r="L95" s="43">
        <f>SUMIF('Requerimientos del sistema'!$D$10:$D$114,'Requerimientos de usuario'!$D$13:$D$53,'Requerimientos del sistema'!$P$10:$P$114)</f>
        <v>0</v>
      </c>
    </row>
    <row r="96" spans="2:12">
      <c r="B96" s="151" t="str">
        <f t="shared" si="2"/>
        <v xml:space="preserve">  </v>
      </c>
      <c r="C96" s="151" t="str">
        <f t="shared" si="3"/>
        <v xml:space="preserve">  </v>
      </c>
      <c r="D96" s="38"/>
      <c r="E96" s="140"/>
      <c r="F96" s="38"/>
      <c r="G96" s="137"/>
      <c r="H96" s="36"/>
      <c r="I96" s="36"/>
      <c r="J96" s="36"/>
      <c r="K96" s="42"/>
      <c r="L96" s="43">
        <f>SUMIF('Requerimientos del sistema'!$D$10:$D$114,'Requerimientos de usuario'!$D$13:$D$53,'Requerimientos del sistema'!$P$10:$P$114)</f>
        <v>0</v>
      </c>
    </row>
    <row r="97" spans="2:12">
      <c r="B97" s="151" t="str">
        <f t="shared" si="2"/>
        <v xml:space="preserve">  </v>
      </c>
      <c r="C97" s="151" t="str">
        <f t="shared" si="3"/>
        <v xml:space="preserve">  </v>
      </c>
      <c r="D97" s="38"/>
      <c r="E97" s="140"/>
      <c r="F97" s="38"/>
      <c r="G97" s="137"/>
      <c r="H97" s="36"/>
      <c r="I97" s="36"/>
      <c r="J97" s="36"/>
      <c r="K97" s="42"/>
      <c r="L97" s="43">
        <f>SUMIF('Requerimientos del sistema'!$D$10:$D$114,'Requerimientos de usuario'!$D$13:$D$53,'Requerimientos del sistema'!$P$10:$P$114)</f>
        <v>0</v>
      </c>
    </row>
    <row r="98" spans="2:12">
      <c r="B98" s="151" t="str">
        <f t="shared" si="2"/>
        <v xml:space="preserve">  </v>
      </c>
      <c r="C98" s="151" t="str">
        <f t="shared" si="3"/>
        <v xml:space="preserve">  </v>
      </c>
      <c r="D98" s="38"/>
      <c r="E98" s="140"/>
      <c r="F98" s="38"/>
      <c r="G98" s="137"/>
      <c r="H98" s="36"/>
      <c r="I98" s="36"/>
      <c r="J98" s="36"/>
      <c r="K98" s="42"/>
      <c r="L98" s="43">
        <f>SUMIF('Requerimientos del sistema'!$D$10:$D$114,'Requerimientos de usuario'!$D$13:$D$53,'Requerimientos del sistema'!$P$10:$P$114)</f>
        <v>0</v>
      </c>
    </row>
    <row r="99" spans="2:12">
      <c r="B99" s="151" t="str">
        <f t="shared" si="2"/>
        <v xml:space="preserve">  </v>
      </c>
      <c r="C99" s="151" t="str">
        <f t="shared" si="3"/>
        <v xml:space="preserve">  </v>
      </c>
      <c r="D99" s="38"/>
      <c r="E99" s="140"/>
      <c r="F99" s="38"/>
      <c r="G99" s="137"/>
      <c r="H99" s="36"/>
      <c r="I99" s="36"/>
      <c r="J99" s="36"/>
      <c r="K99" s="42"/>
      <c r="L99" s="43">
        <f>SUMIF('Requerimientos del sistema'!$D$10:$D$114,'Requerimientos de usuario'!$D$13:$D$53,'Requerimientos del sistema'!$P$10:$P$114)</f>
        <v>0</v>
      </c>
    </row>
    <row r="100" spans="2:12">
      <c r="B100" s="151" t="str">
        <f t="shared" si="2"/>
        <v xml:space="preserve">  </v>
      </c>
      <c r="C100" s="151" t="str">
        <f t="shared" si="3"/>
        <v xml:space="preserve">  </v>
      </c>
      <c r="D100" s="38"/>
      <c r="E100" s="140"/>
      <c r="F100" s="38"/>
      <c r="G100" s="137"/>
      <c r="H100" s="36"/>
      <c r="I100" s="36"/>
      <c r="J100" s="36"/>
      <c r="K100" s="42"/>
      <c r="L100" s="43">
        <f>SUMIF('Requerimientos del sistema'!$D$10:$D$114,'Requerimientos de usuario'!$D$13:$D$53,'Requerimientos del sistema'!$P$10:$P$114)</f>
        <v>0</v>
      </c>
    </row>
    <row r="101" spans="2:12">
      <c r="B101" s="151" t="str">
        <f t="shared" si="2"/>
        <v xml:space="preserve">  </v>
      </c>
      <c r="C101" s="151" t="str">
        <f t="shared" si="3"/>
        <v xml:space="preserve">  </v>
      </c>
      <c r="D101" s="38"/>
      <c r="E101" s="140"/>
      <c r="F101" s="38"/>
      <c r="G101" s="137"/>
      <c r="H101" s="36"/>
      <c r="I101" s="36"/>
      <c r="J101" s="36"/>
      <c r="K101" s="42"/>
      <c r="L101" s="43">
        <f>SUMIF('Requerimientos del sistema'!$D$10:$D$114,'Requerimientos de usuario'!$D$13:$D$53,'Requerimientos del sistema'!$P$10:$P$114)</f>
        <v>0</v>
      </c>
    </row>
    <row r="102" spans="2:12">
      <c r="B102" s="151" t="str">
        <f t="shared" si="2"/>
        <v xml:space="preserve">  </v>
      </c>
      <c r="C102" s="151" t="str">
        <f t="shared" si="3"/>
        <v xml:space="preserve">  </v>
      </c>
      <c r="D102" s="38"/>
      <c r="E102" s="140"/>
      <c r="F102" s="38"/>
      <c r="G102" s="137"/>
      <c r="H102" s="36"/>
      <c r="I102" s="36"/>
      <c r="J102" s="36"/>
      <c r="K102" s="42"/>
      <c r="L102" s="43">
        <f>SUMIF('Requerimientos del sistema'!$D$10:$D$114,'Requerimientos de usuario'!$D$13:$D$53,'Requerimientos del sistema'!$P$10:$P$114)</f>
        <v>0</v>
      </c>
    </row>
    <row r="103" spans="2:12">
      <c r="B103" s="151" t="str">
        <f t="shared" si="2"/>
        <v xml:space="preserve">  </v>
      </c>
      <c r="C103" s="151" t="str">
        <f t="shared" si="3"/>
        <v xml:space="preserve">  </v>
      </c>
      <c r="D103" s="38"/>
      <c r="E103" s="140"/>
      <c r="F103" s="38"/>
      <c r="G103" s="137"/>
      <c r="H103" s="36"/>
      <c r="I103" s="36"/>
      <c r="J103" s="36"/>
      <c r="K103" s="42"/>
      <c r="L103" s="43">
        <f>SUMIF('Requerimientos del sistema'!$D$10:$D$114,'Requerimientos de usuario'!$D$13:$D$53,'Requerimientos del sistema'!$P$10:$P$114)</f>
        <v>0</v>
      </c>
    </row>
    <row r="104" spans="2:12">
      <c r="B104" s="151" t="str">
        <f t="shared" si="2"/>
        <v xml:space="preserve">  </v>
      </c>
      <c r="C104" s="151" t="str">
        <f t="shared" si="3"/>
        <v xml:space="preserve">  </v>
      </c>
      <c r="D104" s="38"/>
      <c r="E104" s="140"/>
      <c r="F104" s="38"/>
      <c r="G104" s="137"/>
      <c r="H104" s="36"/>
      <c r="I104" s="36"/>
      <c r="J104" s="36"/>
      <c r="K104" s="42"/>
      <c r="L104" s="43">
        <f>SUMIF('Requerimientos del sistema'!$D$10:$D$114,'Requerimientos de usuario'!$D$13:$D$53,'Requerimientos del sistema'!$P$10:$P$114)</f>
        <v>0</v>
      </c>
    </row>
    <row r="105" spans="2:12">
      <c r="B105" s="151" t="str">
        <f t="shared" si="2"/>
        <v xml:space="preserve">  </v>
      </c>
      <c r="C105" s="151" t="str">
        <f t="shared" si="3"/>
        <v xml:space="preserve">  </v>
      </c>
      <c r="D105" s="38"/>
      <c r="E105" s="140"/>
      <c r="F105" s="38"/>
      <c r="G105" s="137"/>
      <c r="H105" s="36"/>
      <c r="I105" s="36"/>
      <c r="J105" s="36"/>
      <c r="K105" s="42"/>
      <c r="L105" s="43">
        <f>SUMIF('Requerimientos del sistema'!$D$10:$D$114,'Requerimientos de usuario'!$D$13:$D$53,'Requerimientos del sistema'!$P$10:$P$114)</f>
        <v>0</v>
      </c>
    </row>
    <row r="106" spans="2:12">
      <c r="B106" s="151" t="str">
        <f t="shared" si="2"/>
        <v xml:space="preserve">  </v>
      </c>
      <c r="C106" s="151" t="str">
        <f t="shared" si="3"/>
        <v xml:space="preserve">  </v>
      </c>
      <c r="D106" s="38"/>
      <c r="E106" s="140"/>
      <c r="F106" s="38"/>
      <c r="G106" s="137"/>
      <c r="H106" s="36"/>
      <c r="I106" s="36"/>
      <c r="J106" s="36"/>
      <c r="K106" s="42"/>
      <c r="L106" s="43">
        <f>SUMIF('Requerimientos del sistema'!$D$10:$D$114,'Requerimientos de usuario'!$D$13:$D$53,'Requerimientos del sistema'!$P$10:$P$114)</f>
        <v>0</v>
      </c>
    </row>
    <row r="107" spans="2:12">
      <c r="B107" s="151" t="str">
        <f t="shared" si="2"/>
        <v xml:space="preserve">  </v>
      </c>
      <c r="C107" s="151" t="str">
        <f t="shared" si="3"/>
        <v xml:space="preserve">  </v>
      </c>
      <c r="D107" s="38"/>
      <c r="E107" s="140"/>
      <c r="F107" s="38"/>
      <c r="G107" s="137"/>
      <c r="H107" s="36"/>
      <c r="I107" s="36"/>
      <c r="J107" s="36"/>
      <c r="K107" s="42"/>
      <c r="L107" s="43">
        <f>SUMIF('Requerimientos del sistema'!$D$10:$D$114,'Requerimientos de usuario'!$D$13:$D$53,'Requerimientos del sistema'!$P$10:$P$114)</f>
        <v>0</v>
      </c>
    </row>
    <row r="108" spans="2:12">
      <c r="B108" s="151" t="str">
        <f t="shared" si="2"/>
        <v xml:space="preserve">  </v>
      </c>
      <c r="C108" s="151" t="str">
        <f t="shared" si="3"/>
        <v xml:space="preserve">  </v>
      </c>
      <c r="D108" s="38"/>
      <c r="E108" s="140"/>
      <c r="F108" s="38"/>
      <c r="G108" s="137"/>
      <c r="H108" s="36"/>
      <c r="I108" s="36"/>
      <c r="J108" s="36"/>
      <c r="K108" s="42"/>
      <c r="L108" s="43">
        <f>SUMIF('Requerimientos del sistema'!$D$10:$D$114,'Requerimientos de usuario'!$D$13:$D$53,'Requerimientos del sistema'!$P$10:$P$114)</f>
        <v>0</v>
      </c>
    </row>
    <row r="109" spans="2:12">
      <c r="B109" s="151" t="str">
        <f t="shared" si="2"/>
        <v xml:space="preserve">  </v>
      </c>
      <c r="C109" s="151" t="str">
        <f t="shared" si="3"/>
        <v xml:space="preserve">  </v>
      </c>
      <c r="D109" s="38"/>
      <c r="E109" s="140"/>
      <c r="F109" s="38"/>
      <c r="G109" s="137"/>
      <c r="H109" s="36"/>
      <c r="I109" s="36"/>
      <c r="J109" s="36"/>
      <c r="K109" s="42"/>
      <c r="L109" s="43">
        <f>SUMIF('Requerimientos del sistema'!$D$10:$D$114,'Requerimientos de usuario'!$D$13:$D$53,'Requerimientos del sistema'!$P$10:$P$114)</f>
        <v>0</v>
      </c>
    </row>
    <row r="110" spans="2:12">
      <c r="B110" s="151" t="str">
        <f t="shared" si="2"/>
        <v xml:space="preserve">  </v>
      </c>
      <c r="C110" s="151" t="str">
        <f t="shared" si="3"/>
        <v xml:space="preserve">  </v>
      </c>
      <c r="D110" s="38"/>
      <c r="E110" s="140"/>
      <c r="F110" s="38"/>
      <c r="G110" s="137"/>
      <c r="H110" s="36"/>
      <c r="I110" s="36"/>
      <c r="J110" s="36"/>
      <c r="K110" s="42"/>
      <c r="L110" s="43">
        <f>SUMIF('Requerimientos del sistema'!$D$10:$D$114,'Requerimientos de usuario'!$D$13:$D$53,'Requerimientos del sistema'!$P$10:$P$114)</f>
        <v>0</v>
      </c>
    </row>
    <row r="111" spans="2:12">
      <c r="B111" s="151" t="str">
        <f t="shared" si="2"/>
        <v xml:space="preserve">  </v>
      </c>
      <c r="C111" s="151" t="str">
        <f t="shared" si="3"/>
        <v xml:space="preserve">  </v>
      </c>
      <c r="D111" s="38"/>
      <c r="E111" s="140"/>
      <c r="F111" s="38"/>
      <c r="G111" s="137"/>
      <c r="H111" s="36"/>
      <c r="I111" s="36"/>
      <c r="J111" s="36"/>
      <c r="K111" s="42"/>
      <c r="L111" s="43">
        <f>SUMIF('Requerimientos del sistema'!$D$10:$D$114,'Requerimientos de usuario'!$D$13:$D$53,'Requerimientos del sistema'!$P$10:$P$114)</f>
        <v>0</v>
      </c>
    </row>
    <row r="112" spans="2:12">
      <c r="B112" s="151" t="str">
        <f t="shared" si="2"/>
        <v xml:space="preserve">  </v>
      </c>
      <c r="C112" s="151" t="str">
        <f t="shared" si="3"/>
        <v xml:space="preserve">  </v>
      </c>
      <c r="D112" s="38"/>
      <c r="E112" s="140"/>
      <c r="F112" s="38"/>
      <c r="G112" s="137"/>
      <c r="H112" s="36"/>
      <c r="I112" s="36"/>
      <c r="J112" s="36"/>
      <c r="K112" s="42"/>
      <c r="L112" s="43">
        <f>SUMIF('Requerimientos del sistema'!$D$10:$D$114,'Requerimientos de usuario'!$D$13:$D$53,'Requerimientos del sistema'!$P$10:$P$114)</f>
        <v>0</v>
      </c>
    </row>
    <row r="113" spans="2:12">
      <c r="B113" s="151" t="str">
        <f t="shared" si="2"/>
        <v xml:space="preserve">  </v>
      </c>
      <c r="C113" s="151" t="str">
        <f t="shared" si="3"/>
        <v xml:space="preserve">  </v>
      </c>
      <c r="D113" s="38"/>
      <c r="E113" s="140"/>
      <c r="F113" s="38"/>
      <c r="G113" s="137"/>
      <c r="H113" s="36"/>
      <c r="I113" s="36"/>
      <c r="J113" s="36"/>
      <c r="K113" s="42"/>
      <c r="L113" s="43">
        <f>SUMIF('Requerimientos del sistema'!$D$10:$D$114,'Requerimientos de usuario'!$D$13:$D$53,'Requerimientos del sistema'!$P$10:$P$114)</f>
        <v>0</v>
      </c>
    </row>
    <row r="114" spans="2:12">
      <c r="B114" s="151" t="str">
        <f t="shared" si="2"/>
        <v xml:space="preserve">  </v>
      </c>
      <c r="C114" s="151" t="str">
        <f t="shared" si="3"/>
        <v xml:space="preserve">  </v>
      </c>
      <c r="D114" s="38"/>
      <c r="E114" s="140"/>
      <c r="F114" s="38"/>
      <c r="G114" s="137"/>
      <c r="H114" s="36"/>
      <c r="I114" s="36"/>
      <c r="J114" s="36"/>
      <c r="K114" s="42"/>
      <c r="L114" s="43">
        <f>SUMIF('Requerimientos del sistema'!$D$10:$D$114,'Requerimientos de usuario'!$D$13:$D$53,'Requerimientos del sistema'!$P$10:$P$114)</f>
        <v>0</v>
      </c>
    </row>
    <row r="115" spans="2:12">
      <c r="B115" s="151" t="str">
        <f t="shared" si="2"/>
        <v xml:space="preserve">  </v>
      </c>
      <c r="C115" s="151" t="str">
        <f t="shared" si="3"/>
        <v xml:space="preserve">  </v>
      </c>
      <c r="D115" s="38"/>
      <c r="E115" s="140"/>
      <c r="F115" s="38"/>
      <c r="G115" s="137"/>
      <c r="H115" s="36"/>
      <c r="I115" s="36"/>
      <c r="J115" s="36"/>
      <c r="K115" s="42"/>
      <c r="L115" s="43">
        <f>SUMIF('Requerimientos del sistema'!$D$10:$D$114,'Requerimientos de usuario'!$D$13:$D$53,'Requerimientos del sistema'!$P$10:$P$114)</f>
        <v>0</v>
      </c>
    </row>
    <row r="116" spans="2:12">
      <c r="B116" s="151" t="str">
        <f t="shared" si="2"/>
        <v xml:space="preserve">  </v>
      </c>
      <c r="C116" s="151" t="str">
        <f t="shared" si="3"/>
        <v xml:space="preserve">  </v>
      </c>
      <c r="D116" s="38"/>
      <c r="E116" s="140"/>
      <c r="F116" s="38"/>
      <c r="G116" s="137"/>
      <c r="H116" s="36"/>
      <c r="I116" s="36"/>
      <c r="J116" s="36"/>
      <c r="K116" s="42"/>
      <c r="L116" s="43">
        <f>SUMIF('Requerimientos del sistema'!$D$10:$D$114,'Requerimientos de usuario'!$D$13:$D$53,'Requerimientos del sistema'!$P$10:$P$114)</f>
        <v>0</v>
      </c>
    </row>
    <row r="117" spans="2:12">
      <c r="B117" s="151" t="str">
        <f t="shared" si="2"/>
        <v xml:space="preserve">  </v>
      </c>
      <c r="C117" s="151" t="str">
        <f t="shared" si="3"/>
        <v xml:space="preserve">  </v>
      </c>
      <c r="D117" s="38"/>
      <c r="E117" s="140"/>
      <c r="F117" s="38"/>
      <c r="G117" s="137"/>
      <c r="H117" s="36"/>
      <c r="I117" s="36"/>
      <c r="J117" s="36"/>
      <c r="K117" s="42"/>
      <c r="L117" s="43">
        <f>SUMIF('Requerimientos del sistema'!$D$10:$D$114,'Requerimientos de usuario'!$D$13:$D$53,'Requerimientos del sistema'!$P$10:$P$114)</f>
        <v>0</v>
      </c>
    </row>
    <row r="118" spans="2:12">
      <c r="B118" s="151" t="str">
        <f t="shared" si="2"/>
        <v xml:space="preserve">  </v>
      </c>
      <c r="C118" s="151" t="str">
        <f t="shared" si="3"/>
        <v xml:space="preserve">  </v>
      </c>
      <c r="D118" s="38"/>
      <c r="E118" s="140"/>
      <c r="F118" s="38"/>
      <c r="G118" s="137"/>
      <c r="H118" s="36"/>
      <c r="I118" s="36"/>
      <c r="J118" s="36"/>
      <c r="K118" s="42"/>
      <c r="L118" s="43">
        <f>SUMIF('Requerimientos del sistema'!$D$10:$D$114,'Requerimientos de usuario'!$D$13:$D$53,'Requerimientos del sistema'!$P$10:$P$114)</f>
        <v>0</v>
      </c>
    </row>
    <row r="119" spans="2:12">
      <c r="B119" s="151" t="str">
        <f t="shared" si="2"/>
        <v xml:space="preserve">  </v>
      </c>
      <c r="C119" s="151" t="str">
        <f t="shared" si="3"/>
        <v xml:space="preserve">  </v>
      </c>
      <c r="D119" s="38"/>
      <c r="E119" s="140"/>
      <c r="F119" s="38"/>
      <c r="G119" s="137"/>
      <c r="H119" s="36"/>
      <c r="I119" s="36"/>
      <c r="J119" s="36"/>
      <c r="K119" s="42"/>
      <c r="L119" s="43">
        <f>SUMIF('Requerimientos del sistema'!$D$10:$D$114,'Requerimientos de usuario'!$D$13:$D$53,'Requerimientos del sistema'!$P$10:$P$114)</f>
        <v>0</v>
      </c>
    </row>
    <row r="120" spans="2:12">
      <c r="B120" s="151" t="str">
        <f t="shared" si="2"/>
        <v xml:space="preserve">  </v>
      </c>
      <c r="C120" s="151" t="str">
        <f t="shared" si="3"/>
        <v xml:space="preserve">  </v>
      </c>
      <c r="D120" s="38"/>
      <c r="E120" s="140"/>
      <c r="F120" s="38"/>
      <c r="G120" s="137"/>
      <c r="H120" s="36"/>
      <c r="I120" s="36"/>
      <c r="J120" s="36"/>
      <c r="K120" s="42"/>
      <c r="L120" s="43">
        <f>SUMIF('Requerimientos del sistema'!$D$10:$D$114,'Requerimientos de usuario'!$D$13:$D$53,'Requerimientos del sistema'!$P$10:$P$114)</f>
        <v>0</v>
      </c>
    </row>
    <row r="121" spans="2:12">
      <c r="B121" s="151" t="str">
        <f t="shared" si="2"/>
        <v xml:space="preserve">  </v>
      </c>
      <c r="C121" s="151" t="str">
        <f t="shared" si="3"/>
        <v xml:space="preserve">  </v>
      </c>
      <c r="D121" s="38"/>
      <c r="E121" s="140"/>
      <c r="F121" s="38"/>
      <c r="G121" s="137"/>
      <c r="H121" s="36"/>
      <c r="I121" s="36"/>
      <c r="J121" s="36"/>
      <c r="K121" s="42"/>
      <c r="L121" s="43">
        <f>SUMIF('Requerimientos del sistema'!$D$10:$D$114,'Requerimientos de usuario'!$D$13:$D$53,'Requerimientos del sistema'!$P$10:$P$114)</f>
        <v>0</v>
      </c>
    </row>
    <row r="122" spans="2:12">
      <c r="B122" s="151" t="str">
        <f t="shared" si="2"/>
        <v xml:space="preserve">  </v>
      </c>
      <c r="C122" s="151" t="str">
        <f t="shared" si="3"/>
        <v xml:space="preserve">  </v>
      </c>
      <c r="D122" s="38"/>
      <c r="E122" s="140"/>
      <c r="F122" s="38"/>
      <c r="G122" s="137"/>
      <c r="H122" s="36"/>
      <c r="I122" s="36"/>
      <c r="J122" s="36"/>
      <c r="K122" s="42"/>
      <c r="L122" s="43">
        <f>SUMIF('Requerimientos del sistema'!$D$10:$D$114,'Requerimientos de usuario'!$D$13:$D$53,'Requerimientos del sistema'!$P$10:$P$114)</f>
        <v>0</v>
      </c>
    </row>
    <row r="123" spans="2:12">
      <c r="B123" s="151" t="str">
        <f t="shared" si="2"/>
        <v xml:space="preserve">  </v>
      </c>
      <c r="C123" s="151" t="str">
        <f t="shared" si="3"/>
        <v xml:space="preserve">  </v>
      </c>
      <c r="D123" s="38"/>
      <c r="E123" s="140"/>
      <c r="F123" s="38"/>
      <c r="G123" s="137"/>
      <c r="H123" s="36"/>
      <c r="I123" s="36"/>
      <c r="J123" s="36"/>
      <c r="K123" s="42"/>
      <c r="L123" s="43">
        <f>SUMIF('Requerimientos del sistema'!$D$10:$D$114,'Requerimientos de usuario'!$D$13:$D$53,'Requerimientos del sistema'!$P$10:$P$114)</f>
        <v>0</v>
      </c>
    </row>
    <row r="124" spans="2:12">
      <c r="B124" s="151" t="str">
        <f t="shared" si="2"/>
        <v xml:space="preserve">  </v>
      </c>
      <c r="C124" s="151" t="str">
        <f t="shared" si="3"/>
        <v xml:space="preserve">  </v>
      </c>
      <c r="D124" s="38"/>
      <c r="E124" s="140"/>
      <c r="F124" s="38"/>
      <c r="G124" s="137"/>
      <c r="H124" s="36"/>
      <c r="I124" s="36"/>
      <c r="J124" s="36"/>
      <c r="K124" s="42"/>
      <c r="L124" s="43">
        <f>SUMIF('Requerimientos del sistema'!$D$10:$D$114,'Requerimientos de usuario'!$D$13:$D$53,'Requerimientos del sistema'!$P$10:$P$114)</f>
        <v>0</v>
      </c>
    </row>
    <row r="125" spans="2:12">
      <c r="B125" s="151" t="str">
        <f t="shared" si="2"/>
        <v xml:space="preserve">  </v>
      </c>
      <c r="C125" s="151" t="str">
        <f t="shared" si="3"/>
        <v xml:space="preserve">  </v>
      </c>
      <c r="D125" s="38"/>
      <c r="E125" s="140"/>
      <c r="F125" s="38"/>
      <c r="G125" s="137"/>
      <c r="H125" s="36"/>
      <c r="I125" s="36"/>
      <c r="J125" s="36"/>
      <c r="K125" s="42"/>
      <c r="L125" s="43">
        <f>SUMIF('Requerimientos del sistema'!$D$10:$D$114,'Requerimientos de usuario'!$D$13:$D$53,'Requerimientos del sistema'!$P$10:$P$114)</f>
        <v>0</v>
      </c>
    </row>
    <row r="126" spans="2:12">
      <c r="B126" s="151" t="str">
        <f t="shared" si="2"/>
        <v xml:space="preserve">  </v>
      </c>
      <c r="C126" s="151" t="str">
        <f t="shared" si="3"/>
        <v xml:space="preserve">  </v>
      </c>
      <c r="D126" s="38"/>
      <c r="E126" s="140"/>
      <c r="F126" s="38"/>
      <c r="G126" s="137"/>
      <c r="H126" s="36"/>
      <c r="I126" s="36"/>
      <c r="J126" s="36"/>
      <c r="K126" s="42"/>
      <c r="L126" s="43">
        <f>SUMIF('Requerimientos del sistema'!$D$10:$D$114,'Requerimientos de usuario'!$D$13:$D$53,'Requerimientos del sistema'!$P$10:$P$114)</f>
        <v>0</v>
      </c>
    </row>
    <row r="127" spans="2:12">
      <c r="B127" s="151" t="str">
        <f t="shared" si="2"/>
        <v xml:space="preserve">  </v>
      </c>
      <c r="C127" s="151" t="str">
        <f t="shared" si="3"/>
        <v xml:space="preserve">  </v>
      </c>
      <c r="D127" s="38"/>
      <c r="E127" s="140"/>
      <c r="F127" s="38"/>
      <c r="G127" s="137"/>
      <c r="H127" s="36"/>
      <c r="I127" s="36"/>
      <c r="J127" s="36"/>
      <c r="K127" s="42"/>
      <c r="L127" s="43">
        <f>SUMIF('Requerimientos del sistema'!$D$10:$D$114,'Requerimientos de usuario'!$D$13:$D$53,'Requerimientos del sistema'!$P$10:$P$114)</f>
        <v>0</v>
      </c>
    </row>
    <row r="128" spans="2:12">
      <c r="B128" s="151" t="str">
        <f t="shared" si="2"/>
        <v xml:space="preserve">  </v>
      </c>
      <c r="C128" s="151" t="str">
        <f t="shared" si="3"/>
        <v xml:space="preserve">  </v>
      </c>
      <c r="D128" s="38"/>
      <c r="E128" s="140"/>
      <c r="F128" s="38"/>
      <c r="G128" s="137"/>
      <c r="H128" s="36"/>
      <c r="I128" s="36"/>
      <c r="J128" s="36"/>
      <c r="K128" s="42"/>
      <c r="L128" s="43">
        <f>SUMIF('Requerimientos del sistema'!$D$10:$D$114,'Requerimientos de usuario'!$D$13:$D$53,'Requerimientos del sistema'!$P$10:$P$114)</f>
        <v>0</v>
      </c>
    </row>
    <row r="129" spans="2:12">
      <c r="B129" s="151" t="str">
        <f t="shared" si="2"/>
        <v xml:space="preserve">  </v>
      </c>
      <c r="C129" s="151" t="str">
        <f t="shared" si="3"/>
        <v xml:space="preserve">  </v>
      </c>
      <c r="D129" s="38"/>
      <c r="E129" s="140"/>
      <c r="F129" s="38"/>
      <c r="G129" s="137"/>
      <c r="H129" s="36"/>
      <c r="I129" s="36"/>
      <c r="J129" s="36"/>
      <c r="K129" s="42"/>
      <c r="L129" s="43">
        <f>SUMIF('Requerimientos del sistema'!$D$10:$D$114,'Requerimientos de usuario'!$D$13:$D$53,'Requerimientos del sistema'!$P$10:$P$114)</f>
        <v>0</v>
      </c>
    </row>
    <row r="130" spans="2:12">
      <c r="B130" s="151" t="str">
        <f t="shared" si="2"/>
        <v xml:space="preserve">  </v>
      </c>
      <c r="C130" s="151" t="str">
        <f t="shared" si="3"/>
        <v xml:space="preserve">  </v>
      </c>
      <c r="D130" s="38"/>
      <c r="E130" s="140"/>
      <c r="F130" s="38"/>
      <c r="G130" s="137"/>
      <c r="H130" s="36"/>
      <c r="I130" s="36"/>
      <c r="J130" s="36"/>
      <c r="K130" s="42"/>
      <c r="L130" s="43">
        <f>SUMIF('Requerimientos del sistema'!$D$10:$D$114,'Requerimientos de usuario'!$D$13:$D$53,'Requerimientos del sistema'!$P$10:$P$114)</f>
        <v>0</v>
      </c>
    </row>
    <row r="131" spans="2:12">
      <c r="B131" s="151" t="str">
        <f t="shared" si="2"/>
        <v xml:space="preserve">  </v>
      </c>
      <c r="C131" s="151" t="str">
        <f t="shared" si="3"/>
        <v xml:space="preserve">  </v>
      </c>
      <c r="D131" s="38"/>
      <c r="E131" s="140"/>
      <c r="F131" s="38"/>
      <c r="G131" s="137"/>
      <c r="H131" s="36"/>
      <c r="I131" s="36"/>
      <c r="J131" s="36"/>
      <c r="K131" s="42"/>
      <c r="L131" s="43">
        <f>SUMIF('Requerimientos del sistema'!$D$10:$D$114,'Requerimientos de usuario'!$D$13:$D$53,'Requerimientos del sistema'!$P$10:$P$114)</f>
        <v>0</v>
      </c>
    </row>
    <row r="132" spans="2:12">
      <c r="B132" s="151" t="str">
        <f t="shared" si="2"/>
        <v xml:space="preserve">  </v>
      </c>
      <c r="C132" s="151" t="str">
        <f t="shared" si="3"/>
        <v xml:space="preserve">  </v>
      </c>
      <c r="D132" s="38"/>
      <c r="E132" s="140"/>
      <c r="F132" s="38"/>
      <c r="G132" s="137"/>
      <c r="H132" s="36"/>
      <c r="I132" s="36"/>
      <c r="J132" s="36"/>
      <c r="K132" s="42"/>
      <c r="L132" s="43">
        <f>SUMIF('Requerimientos del sistema'!$D$10:$D$114,'Requerimientos de usuario'!$D$13:$D$53,'Requerimientos del sistema'!$P$10:$P$114)</f>
        <v>0</v>
      </c>
    </row>
    <row r="133" spans="2:12">
      <c r="B133" s="151" t="str">
        <f t="shared" si="2"/>
        <v xml:space="preserve">  </v>
      </c>
      <c r="C133" s="151" t="str">
        <f t="shared" si="3"/>
        <v xml:space="preserve">  </v>
      </c>
      <c r="D133" s="38"/>
      <c r="E133" s="140"/>
      <c r="F133" s="38"/>
      <c r="G133" s="137"/>
      <c r="H133" s="36"/>
      <c r="I133" s="36"/>
      <c r="J133" s="36"/>
      <c r="K133" s="42"/>
      <c r="L133" s="43">
        <f>SUMIF('Requerimientos del sistema'!$D$10:$D$114,'Requerimientos de usuario'!$D$13:$D$53,'Requerimientos del sistema'!$P$10:$P$114)</f>
        <v>0</v>
      </c>
    </row>
    <row r="134" spans="2:12">
      <c r="B134" s="151" t="str">
        <f t="shared" si="2"/>
        <v xml:space="preserve">  </v>
      </c>
      <c r="C134" s="151" t="str">
        <f t="shared" si="3"/>
        <v xml:space="preserve">  </v>
      </c>
      <c r="D134" s="38"/>
      <c r="E134" s="140"/>
      <c r="F134" s="38"/>
      <c r="G134" s="137"/>
      <c r="H134" s="36"/>
      <c r="I134" s="36"/>
      <c r="J134" s="36"/>
      <c r="K134" s="42"/>
      <c r="L134" s="43">
        <f>SUMIF('Requerimientos del sistema'!$D$10:$D$114,'Requerimientos de usuario'!$D$13:$D$53,'Requerimientos del sistema'!$P$10:$P$114)</f>
        <v>0</v>
      </c>
    </row>
    <row r="135" spans="2:12">
      <c r="B135" s="151" t="str">
        <f t="shared" si="2"/>
        <v xml:space="preserve">  </v>
      </c>
      <c r="C135" s="151" t="str">
        <f t="shared" si="3"/>
        <v xml:space="preserve">  </v>
      </c>
      <c r="D135" s="38"/>
      <c r="E135" s="140"/>
      <c r="F135" s="38"/>
      <c r="G135" s="137"/>
      <c r="H135" s="36"/>
      <c r="I135" s="36"/>
      <c r="J135" s="36"/>
      <c r="K135" s="42"/>
      <c r="L135" s="43">
        <f>SUMIF('Requerimientos del sistema'!$D$10:$D$114,'Requerimientos de usuario'!$D$13:$D$53,'Requerimientos del sistema'!$P$10:$P$114)</f>
        <v>0</v>
      </c>
    </row>
    <row r="136" spans="2:12">
      <c r="B136" s="151" t="str">
        <f t="shared" si="2"/>
        <v xml:space="preserve">  </v>
      </c>
      <c r="C136" s="151" t="str">
        <f t="shared" si="3"/>
        <v xml:space="preserve">  </v>
      </c>
      <c r="D136" s="38"/>
      <c r="E136" s="140"/>
      <c r="F136" s="38"/>
      <c r="G136" s="137"/>
      <c r="H136" s="36"/>
      <c r="I136" s="36"/>
      <c r="J136" s="36"/>
      <c r="K136" s="42"/>
      <c r="L136" s="43">
        <f>SUMIF('Requerimientos del sistema'!$D$10:$D$114,'Requerimientos de usuario'!$D$13:$D$53,'Requerimientos del sistema'!$P$10:$P$114)</f>
        <v>0</v>
      </c>
    </row>
    <row r="137" spans="2:12">
      <c r="B137" s="151" t="str">
        <f t="shared" si="2"/>
        <v xml:space="preserve">  </v>
      </c>
      <c r="C137" s="151" t="str">
        <f t="shared" si="3"/>
        <v xml:space="preserve">  </v>
      </c>
      <c r="D137" s="38"/>
      <c r="E137" s="140"/>
      <c r="F137" s="38"/>
      <c r="G137" s="137"/>
      <c r="H137" s="36"/>
      <c r="I137" s="36"/>
      <c r="J137" s="36"/>
      <c r="K137" s="42"/>
      <c r="L137" s="43">
        <f>SUMIF('Requerimientos del sistema'!$D$10:$D$114,'Requerimientos de usuario'!$D$13:$D$53,'Requerimientos del sistema'!$P$10:$P$114)</f>
        <v>0</v>
      </c>
    </row>
    <row r="138" spans="2:12">
      <c r="B138" s="151" t="str">
        <f t="shared" si="2"/>
        <v xml:space="preserve">  </v>
      </c>
      <c r="C138" s="151" t="str">
        <f t="shared" si="3"/>
        <v xml:space="preserve">  </v>
      </c>
      <c r="D138" s="38"/>
      <c r="E138" s="140"/>
      <c r="F138" s="38"/>
      <c r="G138" s="137"/>
      <c r="H138" s="36"/>
      <c r="I138" s="36"/>
      <c r="J138" s="36"/>
      <c r="K138" s="42"/>
      <c r="L138" s="43">
        <f>SUMIF('Requerimientos del sistema'!$D$10:$D$114,'Requerimientos de usuario'!$D$13:$D$53,'Requerimientos del sistema'!$P$10:$P$114)</f>
        <v>0</v>
      </c>
    </row>
    <row r="139" spans="2:12">
      <c r="B139" s="151" t="str">
        <f t="shared" si="2"/>
        <v xml:space="preserve">  </v>
      </c>
      <c r="C139" s="151" t="str">
        <f t="shared" si="3"/>
        <v xml:space="preserve">  </v>
      </c>
      <c r="D139" s="38"/>
      <c r="E139" s="140"/>
      <c r="F139" s="38"/>
      <c r="G139" s="137"/>
      <c r="H139" s="36"/>
      <c r="I139" s="36"/>
      <c r="J139" s="36"/>
      <c r="K139" s="42"/>
      <c r="L139" s="43">
        <f>SUMIF('Requerimientos del sistema'!$D$10:$D$114,'Requerimientos de usuario'!$D$13:$D$53,'Requerimientos del sistema'!$P$10:$P$114)</f>
        <v>0</v>
      </c>
    </row>
    <row r="140" spans="2:12">
      <c r="B140" s="151" t="str">
        <f t="shared" si="2"/>
        <v xml:space="preserve">  </v>
      </c>
      <c r="C140" s="151" t="str">
        <f t="shared" si="3"/>
        <v xml:space="preserve">  </v>
      </c>
      <c r="D140" s="38"/>
      <c r="E140" s="140"/>
      <c r="F140" s="38"/>
      <c r="G140" s="137"/>
      <c r="H140" s="36"/>
      <c r="I140" s="36"/>
      <c r="J140" s="36"/>
      <c r="K140" s="42"/>
      <c r="L140" s="43">
        <f>SUMIF('Requerimientos del sistema'!$D$10:$D$114,'Requerimientos de usuario'!$D$13:$D$53,'Requerimientos del sistema'!$P$10:$P$114)</f>
        <v>0</v>
      </c>
    </row>
    <row r="141" spans="2:12">
      <c r="B141" s="151" t="str">
        <f t="shared" ref="B141:B204" si="4">IF(NOT(ISBLANK($B$13)),$B$13,"  ")</f>
        <v xml:space="preserve">  </v>
      </c>
      <c r="C141" s="151" t="str">
        <f t="shared" ref="C141:C204" si="5">IF(NOT(ISBLANK($C$13)),$C$13,"  ")</f>
        <v xml:space="preserve">  </v>
      </c>
      <c r="D141" s="38"/>
      <c r="E141" s="140"/>
      <c r="F141" s="38"/>
      <c r="G141" s="137"/>
      <c r="H141" s="36"/>
      <c r="I141" s="36"/>
      <c r="J141" s="36"/>
      <c r="K141" s="42"/>
      <c r="L141" s="43">
        <f>SUMIF('Requerimientos del sistema'!$D$10:$D$114,'Requerimientos de usuario'!$D$13:$D$53,'Requerimientos del sistema'!$P$10:$P$114)</f>
        <v>0</v>
      </c>
    </row>
    <row r="142" spans="2:12">
      <c r="B142" s="151" t="str">
        <f t="shared" si="4"/>
        <v xml:space="preserve">  </v>
      </c>
      <c r="C142" s="151" t="str">
        <f t="shared" si="5"/>
        <v xml:space="preserve">  </v>
      </c>
      <c r="D142" s="38"/>
      <c r="E142" s="140"/>
      <c r="F142" s="38"/>
      <c r="G142" s="137"/>
      <c r="H142" s="36"/>
      <c r="I142" s="36"/>
      <c r="J142" s="36"/>
      <c r="K142" s="42"/>
      <c r="L142" s="43">
        <f>SUMIF('Requerimientos del sistema'!$D$10:$D$114,'Requerimientos de usuario'!$D$13:$D$53,'Requerimientos del sistema'!$P$10:$P$114)</f>
        <v>0</v>
      </c>
    </row>
    <row r="143" spans="2:12">
      <c r="B143" s="151" t="str">
        <f t="shared" si="4"/>
        <v xml:space="preserve">  </v>
      </c>
      <c r="C143" s="151" t="str">
        <f t="shared" si="5"/>
        <v xml:space="preserve">  </v>
      </c>
      <c r="D143" s="38"/>
      <c r="E143" s="140"/>
      <c r="F143" s="38"/>
      <c r="G143" s="137"/>
      <c r="H143" s="36"/>
      <c r="I143" s="36"/>
      <c r="J143" s="36"/>
      <c r="K143" s="42"/>
      <c r="L143" s="43">
        <f>SUMIF('Requerimientos del sistema'!$D$10:$D$114,'Requerimientos de usuario'!$D$13:$D$53,'Requerimientos del sistema'!$P$10:$P$114)</f>
        <v>0</v>
      </c>
    </row>
    <row r="144" spans="2:12">
      <c r="B144" s="151" t="str">
        <f t="shared" si="4"/>
        <v xml:space="preserve">  </v>
      </c>
      <c r="C144" s="151" t="str">
        <f t="shared" si="5"/>
        <v xml:space="preserve">  </v>
      </c>
      <c r="D144" s="38"/>
      <c r="E144" s="140"/>
      <c r="F144" s="38"/>
      <c r="G144" s="137"/>
      <c r="H144" s="36"/>
      <c r="I144" s="36"/>
      <c r="J144" s="36"/>
      <c r="K144" s="42"/>
      <c r="L144" s="43">
        <f>SUMIF('Requerimientos del sistema'!$D$10:$D$114,'Requerimientos de usuario'!$D$13:$D$53,'Requerimientos del sistema'!$P$10:$P$114)</f>
        <v>0</v>
      </c>
    </row>
    <row r="145" spans="2:12">
      <c r="B145" s="151" t="str">
        <f t="shared" si="4"/>
        <v xml:space="preserve">  </v>
      </c>
      <c r="C145" s="151" t="str">
        <f t="shared" si="5"/>
        <v xml:space="preserve">  </v>
      </c>
      <c r="D145" s="38"/>
      <c r="E145" s="140"/>
      <c r="F145" s="38"/>
      <c r="G145" s="137"/>
      <c r="H145" s="36"/>
      <c r="I145" s="36"/>
      <c r="J145" s="36"/>
      <c r="K145" s="42"/>
      <c r="L145" s="43">
        <f>SUMIF('Requerimientos del sistema'!$D$10:$D$114,'Requerimientos de usuario'!$D$13:$D$53,'Requerimientos del sistema'!$P$10:$P$114)</f>
        <v>0</v>
      </c>
    </row>
    <row r="146" spans="2:12">
      <c r="B146" s="151" t="str">
        <f t="shared" si="4"/>
        <v xml:space="preserve">  </v>
      </c>
      <c r="C146" s="151" t="str">
        <f t="shared" si="5"/>
        <v xml:space="preserve">  </v>
      </c>
      <c r="D146" s="38"/>
      <c r="E146" s="140"/>
      <c r="F146" s="38"/>
      <c r="G146" s="137"/>
      <c r="H146" s="36"/>
      <c r="I146" s="36"/>
      <c r="J146" s="36"/>
      <c r="K146" s="42"/>
      <c r="L146" s="43">
        <f>SUMIF('Requerimientos del sistema'!$D$10:$D$114,'Requerimientos de usuario'!$D$13:$D$53,'Requerimientos del sistema'!$P$10:$P$114)</f>
        <v>0</v>
      </c>
    </row>
    <row r="147" spans="2:12">
      <c r="B147" s="151" t="str">
        <f t="shared" si="4"/>
        <v xml:space="preserve">  </v>
      </c>
      <c r="C147" s="151" t="str">
        <f t="shared" si="5"/>
        <v xml:space="preserve">  </v>
      </c>
      <c r="D147" s="38"/>
      <c r="E147" s="140"/>
      <c r="F147" s="38"/>
      <c r="G147" s="137"/>
      <c r="H147" s="36"/>
      <c r="I147" s="36"/>
      <c r="J147" s="36"/>
      <c r="K147" s="42"/>
      <c r="L147" s="43">
        <f>SUMIF('Requerimientos del sistema'!$D$10:$D$114,'Requerimientos de usuario'!$D$13:$D$53,'Requerimientos del sistema'!$P$10:$P$114)</f>
        <v>0</v>
      </c>
    </row>
    <row r="148" spans="2:12">
      <c r="B148" s="151" t="str">
        <f t="shared" si="4"/>
        <v xml:space="preserve">  </v>
      </c>
      <c r="C148" s="151" t="str">
        <f t="shared" si="5"/>
        <v xml:space="preserve">  </v>
      </c>
      <c r="D148" s="38"/>
      <c r="E148" s="140"/>
      <c r="F148" s="38"/>
      <c r="G148" s="137"/>
      <c r="H148" s="36"/>
      <c r="I148" s="36"/>
      <c r="J148" s="36"/>
      <c r="K148" s="42"/>
      <c r="L148" s="43">
        <f>SUMIF('Requerimientos del sistema'!$D$10:$D$114,'Requerimientos de usuario'!$D$13:$D$53,'Requerimientos del sistema'!$P$10:$P$114)</f>
        <v>0</v>
      </c>
    </row>
    <row r="149" spans="2:12">
      <c r="B149" s="151" t="str">
        <f t="shared" si="4"/>
        <v xml:space="preserve">  </v>
      </c>
      <c r="C149" s="151" t="str">
        <f t="shared" si="5"/>
        <v xml:space="preserve">  </v>
      </c>
      <c r="D149" s="38"/>
      <c r="E149" s="140"/>
      <c r="F149" s="38"/>
      <c r="G149" s="137"/>
      <c r="H149" s="36"/>
      <c r="I149" s="36"/>
      <c r="J149" s="36"/>
      <c r="K149" s="42"/>
      <c r="L149" s="43">
        <f>SUMIF('Requerimientos del sistema'!$D$10:$D$114,'Requerimientos de usuario'!$D$13:$D$53,'Requerimientos del sistema'!$P$10:$P$114)</f>
        <v>0</v>
      </c>
    </row>
    <row r="150" spans="2:12">
      <c r="B150" s="151" t="str">
        <f t="shared" si="4"/>
        <v xml:space="preserve">  </v>
      </c>
      <c r="C150" s="151" t="str">
        <f t="shared" si="5"/>
        <v xml:space="preserve">  </v>
      </c>
      <c r="D150" s="38"/>
      <c r="E150" s="140"/>
      <c r="F150" s="38"/>
      <c r="G150" s="137"/>
      <c r="H150" s="36"/>
      <c r="I150" s="36"/>
      <c r="J150" s="36"/>
      <c r="K150" s="42"/>
      <c r="L150" s="43">
        <f>SUMIF('Requerimientos del sistema'!$D$10:$D$114,'Requerimientos de usuario'!$D$13:$D$53,'Requerimientos del sistema'!$P$10:$P$114)</f>
        <v>0</v>
      </c>
    </row>
    <row r="151" spans="2:12">
      <c r="B151" s="151" t="str">
        <f t="shared" si="4"/>
        <v xml:space="preserve">  </v>
      </c>
      <c r="C151" s="151" t="str">
        <f t="shared" si="5"/>
        <v xml:space="preserve">  </v>
      </c>
      <c r="D151" s="38"/>
      <c r="E151" s="140"/>
      <c r="F151" s="38"/>
      <c r="G151" s="137"/>
      <c r="H151" s="36"/>
      <c r="I151" s="36"/>
      <c r="J151" s="36"/>
      <c r="K151" s="42"/>
      <c r="L151" s="43">
        <f>SUMIF('Requerimientos del sistema'!$D$10:$D$114,'Requerimientos de usuario'!$D$13:$D$53,'Requerimientos del sistema'!$P$10:$P$114)</f>
        <v>0</v>
      </c>
    </row>
    <row r="152" spans="2:12">
      <c r="B152" s="151" t="str">
        <f t="shared" si="4"/>
        <v xml:space="preserve">  </v>
      </c>
      <c r="C152" s="151" t="str">
        <f t="shared" si="5"/>
        <v xml:space="preserve">  </v>
      </c>
      <c r="D152" s="38"/>
      <c r="E152" s="140"/>
      <c r="F152" s="38"/>
      <c r="G152" s="137"/>
      <c r="H152" s="36"/>
      <c r="I152" s="36"/>
      <c r="J152" s="36"/>
      <c r="K152" s="42"/>
      <c r="L152" s="43">
        <f>SUMIF('Requerimientos del sistema'!$D$10:$D$114,'Requerimientos de usuario'!$D$13:$D$53,'Requerimientos del sistema'!$P$10:$P$114)</f>
        <v>0</v>
      </c>
    </row>
    <row r="153" spans="2:12">
      <c r="B153" s="151" t="str">
        <f t="shared" si="4"/>
        <v xml:space="preserve">  </v>
      </c>
      <c r="C153" s="151" t="str">
        <f t="shared" si="5"/>
        <v xml:space="preserve">  </v>
      </c>
      <c r="D153" s="38"/>
      <c r="E153" s="140"/>
      <c r="F153" s="38"/>
      <c r="G153" s="137"/>
      <c r="H153" s="36"/>
      <c r="I153" s="36"/>
      <c r="J153" s="36"/>
      <c r="K153" s="42"/>
      <c r="L153" s="43">
        <f>SUMIF('Requerimientos del sistema'!$D$10:$D$114,'Requerimientos de usuario'!$D$13:$D$53,'Requerimientos del sistema'!$P$10:$P$114)</f>
        <v>0</v>
      </c>
    </row>
    <row r="154" spans="2:12">
      <c r="B154" s="151" t="str">
        <f t="shared" si="4"/>
        <v xml:space="preserve">  </v>
      </c>
      <c r="C154" s="151" t="str">
        <f t="shared" si="5"/>
        <v xml:space="preserve">  </v>
      </c>
      <c r="D154" s="38"/>
      <c r="E154" s="140"/>
      <c r="F154" s="38"/>
      <c r="G154" s="137"/>
      <c r="H154" s="36"/>
      <c r="I154" s="36"/>
      <c r="J154" s="36"/>
      <c r="K154" s="42"/>
      <c r="L154" s="43">
        <f>SUMIF('Requerimientos del sistema'!$D$10:$D$114,'Requerimientos de usuario'!$D$13:$D$53,'Requerimientos del sistema'!$P$10:$P$114)</f>
        <v>0</v>
      </c>
    </row>
    <row r="155" spans="2:12">
      <c r="B155" s="151" t="str">
        <f t="shared" si="4"/>
        <v xml:space="preserve">  </v>
      </c>
      <c r="C155" s="151" t="str">
        <f t="shared" si="5"/>
        <v xml:space="preserve">  </v>
      </c>
      <c r="D155" s="38"/>
      <c r="E155" s="140"/>
      <c r="F155" s="38"/>
      <c r="G155" s="137"/>
      <c r="H155" s="36"/>
      <c r="I155" s="36"/>
      <c r="J155" s="36"/>
      <c r="K155" s="42"/>
      <c r="L155" s="43">
        <f>SUMIF('Requerimientos del sistema'!$D$10:$D$114,'Requerimientos de usuario'!$D$13:$D$53,'Requerimientos del sistema'!$P$10:$P$114)</f>
        <v>0</v>
      </c>
    </row>
    <row r="156" spans="2:12">
      <c r="B156" s="151" t="str">
        <f t="shared" si="4"/>
        <v xml:space="preserve">  </v>
      </c>
      <c r="C156" s="151" t="str">
        <f t="shared" si="5"/>
        <v xml:space="preserve">  </v>
      </c>
      <c r="D156" s="38"/>
      <c r="E156" s="140"/>
      <c r="F156" s="38"/>
      <c r="G156" s="137"/>
      <c r="H156" s="36"/>
      <c r="I156" s="36"/>
      <c r="J156" s="36"/>
      <c r="K156" s="42"/>
      <c r="L156" s="43">
        <f>SUMIF('Requerimientos del sistema'!$D$10:$D$114,'Requerimientos de usuario'!$D$13:$D$53,'Requerimientos del sistema'!$P$10:$P$114)</f>
        <v>0</v>
      </c>
    </row>
    <row r="157" spans="2:12">
      <c r="B157" s="151" t="str">
        <f t="shared" si="4"/>
        <v xml:space="preserve">  </v>
      </c>
      <c r="C157" s="151" t="str">
        <f t="shared" si="5"/>
        <v xml:space="preserve">  </v>
      </c>
      <c r="D157" s="38"/>
      <c r="E157" s="140"/>
      <c r="F157" s="38"/>
      <c r="G157" s="137"/>
      <c r="H157" s="36"/>
      <c r="I157" s="36"/>
      <c r="J157" s="36"/>
      <c r="K157" s="42"/>
      <c r="L157" s="43">
        <f>SUMIF('Requerimientos del sistema'!$D$10:$D$114,'Requerimientos de usuario'!$D$13:$D$53,'Requerimientos del sistema'!$P$10:$P$114)</f>
        <v>0</v>
      </c>
    </row>
    <row r="158" spans="2:12">
      <c r="B158" s="151" t="str">
        <f t="shared" si="4"/>
        <v xml:space="preserve">  </v>
      </c>
      <c r="C158" s="151" t="str">
        <f t="shared" si="5"/>
        <v xml:space="preserve">  </v>
      </c>
      <c r="D158" s="38"/>
      <c r="E158" s="140"/>
      <c r="F158" s="38"/>
      <c r="G158" s="137"/>
      <c r="H158" s="36"/>
      <c r="I158" s="36"/>
      <c r="J158" s="36"/>
      <c r="K158" s="42"/>
      <c r="L158" s="43">
        <f>SUMIF('Requerimientos del sistema'!$D$10:$D$114,'Requerimientos de usuario'!$D$13:$D$53,'Requerimientos del sistema'!$P$10:$P$114)</f>
        <v>0</v>
      </c>
    </row>
    <row r="159" spans="2:12">
      <c r="B159" s="151" t="str">
        <f t="shared" si="4"/>
        <v xml:space="preserve">  </v>
      </c>
      <c r="C159" s="151" t="str">
        <f t="shared" si="5"/>
        <v xml:space="preserve">  </v>
      </c>
      <c r="D159" s="38"/>
      <c r="E159" s="140"/>
      <c r="F159" s="38"/>
      <c r="G159" s="137"/>
      <c r="H159" s="36"/>
      <c r="I159" s="36"/>
      <c r="J159" s="36"/>
      <c r="K159" s="42"/>
      <c r="L159" s="43">
        <f>SUMIF('Requerimientos del sistema'!$D$10:$D$114,'Requerimientos de usuario'!$D$13:$D$53,'Requerimientos del sistema'!$P$10:$P$114)</f>
        <v>0</v>
      </c>
    </row>
    <row r="160" spans="2:12">
      <c r="B160" s="151" t="str">
        <f t="shared" si="4"/>
        <v xml:space="preserve">  </v>
      </c>
      <c r="C160" s="151" t="str">
        <f t="shared" si="5"/>
        <v xml:space="preserve">  </v>
      </c>
      <c r="D160" s="38"/>
      <c r="E160" s="140"/>
      <c r="F160" s="38"/>
      <c r="G160" s="137"/>
      <c r="H160" s="36"/>
      <c r="I160" s="36"/>
      <c r="J160" s="36"/>
      <c r="K160" s="42"/>
      <c r="L160" s="43">
        <f>SUMIF('Requerimientos del sistema'!$D$10:$D$114,'Requerimientos de usuario'!$D$13:$D$53,'Requerimientos del sistema'!$P$10:$P$114)</f>
        <v>0</v>
      </c>
    </row>
    <row r="161" spans="2:12">
      <c r="B161" s="151" t="str">
        <f t="shared" si="4"/>
        <v xml:space="preserve">  </v>
      </c>
      <c r="C161" s="151" t="str">
        <f t="shared" si="5"/>
        <v xml:space="preserve">  </v>
      </c>
      <c r="D161" s="38"/>
      <c r="E161" s="140"/>
      <c r="F161" s="38"/>
      <c r="G161" s="137"/>
      <c r="H161" s="36"/>
      <c r="I161" s="36"/>
      <c r="J161" s="36"/>
      <c r="K161" s="42"/>
      <c r="L161" s="43">
        <f>SUMIF('Requerimientos del sistema'!$D$10:$D$114,'Requerimientos de usuario'!$D$13:$D$53,'Requerimientos del sistema'!$P$10:$P$114)</f>
        <v>0</v>
      </c>
    </row>
    <row r="162" spans="2:12">
      <c r="B162" s="151" t="str">
        <f t="shared" si="4"/>
        <v xml:space="preserve">  </v>
      </c>
      <c r="C162" s="151" t="str">
        <f t="shared" si="5"/>
        <v xml:space="preserve">  </v>
      </c>
      <c r="D162" s="38"/>
      <c r="E162" s="140"/>
      <c r="F162" s="38"/>
      <c r="G162" s="137"/>
      <c r="H162" s="36"/>
      <c r="I162" s="36"/>
      <c r="J162" s="36"/>
      <c r="K162" s="42"/>
      <c r="L162" s="43">
        <f>SUMIF('Requerimientos del sistema'!$D$10:$D$114,'Requerimientos de usuario'!$D$13:$D$53,'Requerimientos del sistema'!$P$10:$P$114)</f>
        <v>0</v>
      </c>
    </row>
    <row r="163" spans="2:12">
      <c r="B163" s="151" t="str">
        <f t="shared" si="4"/>
        <v xml:space="preserve">  </v>
      </c>
      <c r="C163" s="151" t="str">
        <f t="shared" si="5"/>
        <v xml:space="preserve">  </v>
      </c>
      <c r="D163" s="38"/>
      <c r="E163" s="140"/>
      <c r="F163" s="38"/>
      <c r="G163" s="137"/>
      <c r="H163" s="36"/>
      <c r="I163" s="36"/>
      <c r="J163" s="36"/>
      <c r="K163" s="42"/>
      <c r="L163" s="43">
        <f>SUMIF('Requerimientos del sistema'!$D$10:$D$114,'Requerimientos de usuario'!$D$13:$D$53,'Requerimientos del sistema'!$P$10:$P$114)</f>
        <v>0</v>
      </c>
    </row>
    <row r="164" spans="2:12">
      <c r="B164" s="151" t="str">
        <f t="shared" si="4"/>
        <v xml:space="preserve">  </v>
      </c>
      <c r="C164" s="151" t="str">
        <f t="shared" si="5"/>
        <v xml:space="preserve">  </v>
      </c>
      <c r="D164" s="38"/>
      <c r="E164" s="140"/>
      <c r="F164" s="38"/>
      <c r="G164" s="137"/>
      <c r="H164" s="36"/>
      <c r="I164" s="36"/>
      <c r="J164" s="36"/>
      <c r="K164" s="42"/>
      <c r="L164" s="43">
        <f>SUMIF('Requerimientos del sistema'!$D$10:$D$114,'Requerimientos de usuario'!$D$13:$D$53,'Requerimientos del sistema'!$P$10:$P$114)</f>
        <v>0</v>
      </c>
    </row>
    <row r="165" spans="2:12">
      <c r="B165" s="151" t="str">
        <f t="shared" si="4"/>
        <v xml:space="preserve">  </v>
      </c>
      <c r="C165" s="151" t="str">
        <f t="shared" si="5"/>
        <v xml:space="preserve">  </v>
      </c>
      <c r="D165" s="38"/>
      <c r="E165" s="140"/>
      <c r="F165" s="38"/>
      <c r="G165" s="137"/>
      <c r="H165" s="36"/>
      <c r="I165" s="36"/>
      <c r="J165" s="36"/>
      <c r="K165" s="42"/>
      <c r="L165" s="43">
        <f>SUMIF('Requerimientos del sistema'!$D$10:$D$114,'Requerimientos de usuario'!$D$13:$D$53,'Requerimientos del sistema'!$P$10:$P$114)</f>
        <v>0</v>
      </c>
    </row>
    <row r="166" spans="2:12">
      <c r="B166" s="151" t="str">
        <f t="shared" si="4"/>
        <v xml:space="preserve">  </v>
      </c>
      <c r="C166" s="151" t="str">
        <f t="shared" si="5"/>
        <v xml:space="preserve">  </v>
      </c>
      <c r="D166" s="38"/>
      <c r="E166" s="140"/>
      <c r="F166" s="38"/>
      <c r="G166" s="137"/>
      <c r="H166" s="36"/>
      <c r="I166" s="36"/>
      <c r="J166" s="36"/>
      <c r="K166" s="42"/>
      <c r="L166" s="43">
        <f>SUMIF('Requerimientos del sistema'!$D$10:$D$114,'Requerimientos de usuario'!$D$13:$D$53,'Requerimientos del sistema'!$P$10:$P$114)</f>
        <v>0</v>
      </c>
    </row>
    <row r="167" spans="2:12">
      <c r="B167" s="151" t="str">
        <f t="shared" si="4"/>
        <v xml:space="preserve">  </v>
      </c>
      <c r="C167" s="151" t="str">
        <f t="shared" si="5"/>
        <v xml:space="preserve">  </v>
      </c>
      <c r="D167" s="38"/>
      <c r="E167" s="140"/>
      <c r="F167" s="38"/>
      <c r="G167" s="137"/>
      <c r="H167" s="36"/>
      <c r="I167" s="36"/>
      <c r="J167" s="36"/>
      <c r="K167" s="42"/>
      <c r="L167" s="43">
        <f>SUMIF('Requerimientos del sistema'!$D$10:$D$114,'Requerimientos de usuario'!$D$13:$D$53,'Requerimientos del sistema'!$P$10:$P$114)</f>
        <v>0</v>
      </c>
    </row>
    <row r="168" spans="2:12">
      <c r="B168" s="151" t="str">
        <f t="shared" si="4"/>
        <v xml:space="preserve">  </v>
      </c>
      <c r="C168" s="151" t="str">
        <f t="shared" si="5"/>
        <v xml:space="preserve">  </v>
      </c>
      <c r="D168" s="38"/>
      <c r="E168" s="140"/>
      <c r="F168" s="38"/>
      <c r="G168" s="137"/>
      <c r="H168" s="36"/>
      <c r="I168" s="36"/>
      <c r="J168" s="36"/>
      <c r="K168" s="42"/>
      <c r="L168" s="43">
        <f>SUMIF('Requerimientos del sistema'!$D$10:$D$114,'Requerimientos de usuario'!$D$13:$D$53,'Requerimientos del sistema'!$P$10:$P$114)</f>
        <v>0</v>
      </c>
    </row>
    <row r="169" spans="2:12">
      <c r="B169" s="151" t="str">
        <f t="shared" si="4"/>
        <v xml:space="preserve">  </v>
      </c>
      <c r="C169" s="151" t="str">
        <f t="shared" si="5"/>
        <v xml:space="preserve">  </v>
      </c>
      <c r="D169" s="38"/>
      <c r="E169" s="140"/>
      <c r="F169" s="38"/>
      <c r="G169" s="137"/>
      <c r="H169" s="36"/>
      <c r="I169" s="36"/>
      <c r="J169" s="36"/>
      <c r="K169" s="42"/>
      <c r="L169" s="43">
        <f>SUMIF('Requerimientos del sistema'!$D$10:$D$114,'Requerimientos de usuario'!$D$13:$D$53,'Requerimientos del sistema'!$P$10:$P$114)</f>
        <v>0</v>
      </c>
    </row>
    <row r="170" spans="2:12">
      <c r="B170" s="151" t="str">
        <f t="shared" si="4"/>
        <v xml:space="preserve">  </v>
      </c>
      <c r="C170" s="151" t="str">
        <f t="shared" si="5"/>
        <v xml:space="preserve">  </v>
      </c>
      <c r="D170" s="38"/>
      <c r="E170" s="140"/>
      <c r="F170" s="38"/>
      <c r="G170" s="137"/>
      <c r="H170" s="36"/>
      <c r="I170" s="36"/>
      <c r="J170" s="36"/>
      <c r="K170" s="42"/>
      <c r="L170" s="43">
        <f>SUMIF('Requerimientos del sistema'!$D$10:$D$114,'Requerimientos de usuario'!$D$13:$D$53,'Requerimientos del sistema'!$P$10:$P$114)</f>
        <v>0</v>
      </c>
    </row>
    <row r="171" spans="2:12">
      <c r="B171" s="151" t="str">
        <f t="shared" si="4"/>
        <v xml:space="preserve">  </v>
      </c>
      <c r="C171" s="151" t="str">
        <f t="shared" si="5"/>
        <v xml:space="preserve">  </v>
      </c>
      <c r="D171" s="38"/>
      <c r="E171" s="140"/>
      <c r="F171" s="38"/>
      <c r="G171" s="137"/>
      <c r="H171" s="36"/>
      <c r="I171" s="36"/>
      <c r="J171" s="36"/>
      <c r="K171" s="42"/>
      <c r="L171" s="43">
        <f>SUMIF('Requerimientos del sistema'!$D$10:$D$114,'Requerimientos de usuario'!$D$13:$D$53,'Requerimientos del sistema'!$P$10:$P$114)</f>
        <v>0</v>
      </c>
    </row>
    <row r="172" spans="2:12">
      <c r="B172" s="151" t="str">
        <f t="shared" si="4"/>
        <v xml:space="preserve">  </v>
      </c>
      <c r="C172" s="151" t="str">
        <f t="shared" si="5"/>
        <v xml:space="preserve">  </v>
      </c>
      <c r="D172" s="38"/>
      <c r="E172" s="140"/>
      <c r="F172" s="38"/>
      <c r="G172" s="137"/>
      <c r="H172" s="36"/>
      <c r="I172" s="36"/>
      <c r="J172" s="36"/>
      <c r="K172" s="42"/>
      <c r="L172" s="43">
        <f>SUMIF('Requerimientos del sistema'!$D$10:$D$114,'Requerimientos de usuario'!$D$13:$D$53,'Requerimientos del sistema'!$P$10:$P$114)</f>
        <v>0</v>
      </c>
    </row>
    <row r="173" spans="2:12">
      <c r="B173" s="151" t="str">
        <f t="shared" si="4"/>
        <v xml:space="preserve">  </v>
      </c>
      <c r="C173" s="151" t="str">
        <f t="shared" si="5"/>
        <v xml:space="preserve">  </v>
      </c>
      <c r="D173" s="38"/>
      <c r="E173" s="140"/>
      <c r="F173" s="38"/>
      <c r="G173" s="137"/>
      <c r="H173" s="36"/>
      <c r="I173" s="36"/>
      <c r="J173" s="36"/>
      <c r="K173" s="42"/>
      <c r="L173" s="43">
        <f>SUMIF('Requerimientos del sistema'!$D$10:$D$114,'Requerimientos de usuario'!$D$13:$D$53,'Requerimientos del sistema'!$P$10:$P$114)</f>
        <v>0</v>
      </c>
    </row>
    <row r="174" spans="2:12">
      <c r="B174" s="151" t="str">
        <f t="shared" si="4"/>
        <v xml:space="preserve">  </v>
      </c>
      <c r="C174" s="151" t="str">
        <f t="shared" si="5"/>
        <v xml:space="preserve">  </v>
      </c>
      <c r="D174" s="38"/>
      <c r="E174" s="140"/>
      <c r="F174" s="38"/>
      <c r="G174" s="137"/>
      <c r="H174" s="36"/>
      <c r="I174" s="36"/>
      <c r="J174" s="36"/>
      <c r="K174" s="42"/>
      <c r="L174" s="43">
        <f>SUMIF('Requerimientos del sistema'!$D$10:$D$114,'Requerimientos de usuario'!$D$13:$D$53,'Requerimientos del sistema'!$P$10:$P$114)</f>
        <v>0</v>
      </c>
    </row>
    <row r="175" spans="2:12">
      <c r="B175" s="151" t="str">
        <f t="shared" si="4"/>
        <v xml:space="preserve">  </v>
      </c>
      <c r="C175" s="151" t="str">
        <f t="shared" si="5"/>
        <v xml:space="preserve">  </v>
      </c>
      <c r="D175" s="38"/>
      <c r="E175" s="140"/>
      <c r="F175" s="38"/>
      <c r="G175" s="137"/>
      <c r="H175" s="36"/>
      <c r="I175" s="36"/>
      <c r="J175" s="36"/>
      <c r="K175" s="42"/>
      <c r="L175" s="43">
        <f>SUMIF('Requerimientos del sistema'!$D$10:$D$114,'Requerimientos de usuario'!$D$13:$D$53,'Requerimientos del sistema'!$P$10:$P$114)</f>
        <v>0</v>
      </c>
    </row>
    <row r="176" spans="2:12">
      <c r="B176" s="151" t="str">
        <f t="shared" si="4"/>
        <v xml:space="preserve">  </v>
      </c>
      <c r="C176" s="151" t="str">
        <f t="shared" si="5"/>
        <v xml:space="preserve">  </v>
      </c>
      <c r="D176" s="38"/>
      <c r="E176" s="140"/>
      <c r="F176" s="38"/>
      <c r="G176" s="137"/>
      <c r="H176" s="36"/>
      <c r="I176" s="36"/>
      <c r="J176" s="36"/>
      <c r="K176" s="42"/>
      <c r="L176" s="43">
        <f>SUMIF('Requerimientos del sistema'!$D$10:$D$114,'Requerimientos de usuario'!$D$13:$D$53,'Requerimientos del sistema'!$P$10:$P$114)</f>
        <v>0</v>
      </c>
    </row>
    <row r="177" spans="2:12">
      <c r="B177" s="151" t="str">
        <f t="shared" si="4"/>
        <v xml:space="preserve">  </v>
      </c>
      <c r="C177" s="151" t="str">
        <f t="shared" si="5"/>
        <v xml:space="preserve">  </v>
      </c>
      <c r="D177" s="38"/>
      <c r="E177" s="140"/>
      <c r="F177" s="38"/>
      <c r="G177" s="137"/>
      <c r="H177" s="36"/>
      <c r="I177" s="36"/>
      <c r="J177" s="36"/>
      <c r="K177" s="42"/>
      <c r="L177" s="43">
        <f>SUMIF('Requerimientos del sistema'!$D$10:$D$114,'Requerimientos de usuario'!$D$13:$D$53,'Requerimientos del sistema'!$P$10:$P$114)</f>
        <v>0</v>
      </c>
    </row>
    <row r="178" spans="2:12">
      <c r="B178" s="151" t="str">
        <f t="shared" si="4"/>
        <v xml:space="preserve">  </v>
      </c>
      <c r="C178" s="151" t="str">
        <f t="shared" si="5"/>
        <v xml:space="preserve">  </v>
      </c>
      <c r="D178" s="38"/>
      <c r="E178" s="140"/>
      <c r="F178" s="38"/>
      <c r="G178" s="137"/>
      <c r="H178" s="36"/>
      <c r="I178" s="36"/>
      <c r="J178" s="36"/>
      <c r="K178" s="42"/>
      <c r="L178" s="43">
        <f>SUMIF('Requerimientos del sistema'!$D$10:$D$114,'Requerimientos de usuario'!$D$13:$D$53,'Requerimientos del sistema'!$P$10:$P$114)</f>
        <v>0</v>
      </c>
    </row>
    <row r="179" spans="2:12">
      <c r="B179" s="151" t="str">
        <f t="shared" si="4"/>
        <v xml:space="preserve">  </v>
      </c>
      <c r="C179" s="151" t="str">
        <f t="shared" si="5"/>
        <v xml:space="preserve">  </v>
      </c>
      <c r="D179" s="38"/>
      <c r="E179" s="140"/>
      <c r="F179" s="38"/>
      <c r="G179" s="137"/>
      <c r="H179" s="36"/>
      <c r="I179" s="36"/>
      <c r="J179" s="36"/>
      <c r="K179" s="42"/>
      <c r="L179" s="43">
        <f>SUMIF('Requerimientos del sistema'!$D$10:$D$114,'Requerimientos de usuario'!$D$13:$D$53,'Requerimientos del sistema'!$P$10:$P$114)</f>
        <v>0</v>
      </c>
    </row>
    <row r="180" spans="2:12">
      <c r="B180" s="151" t="str">
        <f t="shared" si="4"/>
        <v xml:space="preserve">  </v>
      </c>
      <c r="C180" s="151" t="str">
        <f t="shared" si="5"/>
        <v xml:space="preserve">  </v>
      </c>
      <c r="D180" s="38"/>
      <c r="E180" s="140"/>
      <c r="F180" s="38"/>
      <c r="G180" s="137"/>
      <c r="H180" s="36"/>
      <c r="I180" s="36"/>
      <c r="J180" s="36"/>
      <c r="K180" s="42"/>
      <c r="L180" s="43">
        <f>SUMIF('Requerimientos del sistema'!$D$10:$D$114,'Requerimientos de usuario'!$D$13:$D$53,'Requerimientos del sistema'!$P$10:$P$114)</f>
        <v>0</v>
      </c>
    </row>
    <row r="181" spans="2:12">
      <c r="B181" s="151" t="str">
        <f t="shared" si="4"/>
        <v xml:space="preserve">  </v>
      </c>
      <c r="C181" s="151" t="str">
        <f t="shared" si="5"/>
        <v xml:space="preserve">  </v>
      </c>
      <c r="D181" s="38"/>
      <c r="E181" s="140"/>
      <c r="F181" s="38"/>
      <c r="G181" s="137"/>
      <c r="H181" s="36"/>
      <c r="I181" s="36"/>
      <c r="J181" s="36"/>
      <c r="K181" s="42"/>
      <c r="L181" s="43">
        <f>SUMIF('Requerimientos del sistema'!$D$10:$D$114,'Requerimientos de usuario'!$D$13:$D$53,'Requerimientos del sistema'!$P$10:$P$114)</f>
        <v>0</v>
      </c>
    </row>
    <row r="182" spans="2:12">
      <c r="B182" s="151" t="str">
        <f t="shared" si="4"/>
        <v xml:space="preserve">  </v>
      </c>
      <c r="C182" s="151" t="str">
        <f t="shared" si="5"/>
        <v xml:space="preserve">  </v>
      </c>
      <c r="D182" s="38"/>
      <c r="E182" s="140"/>
      <c r="F182" s="38"/>
      <c r="G182" s="137"/>
      <c r="H182" s="36"/>
      <c r="I182" s="36"/>
      <c r="J182" s="36"/>
      <c r="K182" s="42"/>
      <c r="L182" s="43">
        <f>SUMIF('Requerimientos del sistema'!$D$10:$D$114,'Requerimientos de usuario'!$D$13:$D$53,'Requerimientos del sistema'!$P$10:$P$114)</f>
        <v>0</v>
      </c>
    </row>
    <row r="183" spans="2:12">
      <c r="B183" s="151" t="str">
        <f t="shared" si="4"/>
        <v xml:space="preserve">  </v>
      </c>
      <c r="C183" s="151" t="str">
        <f t="shared" si="5"/>
        <v xml:space="preserve">  </v>
      </c>
      <c r="D183" s="38"/>
      <c r="E183" s="140"/>
      <c r="F183" s="38"/>
      <c r="G183" s="137"/>
      <c r="H183" s="36"/>
      <c r="I183" s="36"/>
      <c r="J183" s="36"/>
      <c r="K183" s="42"/>
      <c r="L183" s="43">
        <f>SUMIF('Requerimientos del sistema'!$D$10:$D$114,'Requerimientos de usuario'!$D$13:$D$53,'Requerimientos del sistema'!$P$10:$P$114)</f>
        <v>0</v>
      </c>
    </row>
    <row r="184" spans="2:12">
      <c r="B184" s="151" t="str">
        <f t="shared" si="4"/>
        <v xml:space="preserve">  </v>
      </c>
      <c r="C184" s="151" t="str">
        <f t="shared" si="5"/>
        <v xml:space="preserve">  </v>
      </c>
      <c r="D184" s="38"/>
      <c r="E184" s="38"/>
      <c r="F184" s="38"/>
      <c r="G184" s="137"/>
      <c r="H184" s="36"/>
      <c r="I184" s="36"/>
      <c r="J184" s="36"/>
      <c r="K184" s="42"/>
      <c r="L184" s="43">
        <f>SUMIF('Requerimientos del sistema'!$D$10:$D$114,'Requerimientos de usuario'!$D$13:$D$53,'Requerimientos del sistema'!$P$10:$P$114)</f>
        <v>0</v>
      </c>
    </row>
    <row r="185" spans="2:12">
      <c r="B185" s="151" t="str">
        <f t="shared" si="4"/>
        <v xml:space="preserve">  </v>
      </c>
      <c r="C185" s="151" t="str">
        <f t="shared" si="5"/>
        <v xml:space="preserve">  </v>
      </c>
      <c r="D185" s="38"/>
      <c r="E185" s="38"/>
      <c r="F185" s="38"/>
      <c r="G185" s="137"/>
      <c r="H185" s="36"/>
      <c r="I185" s="36"/>
      <c r="J185" s="36"/>
      <c r="K185" s="42"/>
      <c r="L185" s="43">
        <f>SUMIF('Requerimientos del sistema'!$D$10:$D$114,'Requerimientos de usuario'!$D$13:$D$53,'Requerimientos del sistema'!$P$10:$P$114)</f>
        <v>0</v>
      </c>
    </row>
    <row r="186" spans="2:12">
      <c r="B186" s="151" t="str">
        <f t="shared" si="4"/>
        <v xml:space="preserve">  </v>
      </c>
      <c r="C186" s="151" t="str">
        <f t="shared" si="5"/>
        <v xml:space="preserve">  </v>
      </c>
      <c r="D186" s="38"/>
      <c r="E186" s="38"/>
      <c r="F186" s="38"/>
      <c r="G186" s="137"/>
      <c r="H186" s="36"/>
      <c r="I186" s="36"/>
      <c r="J186" s="36"/>
      <c r="K186" s="42"/>
      <c r="L186" s="43">
        <f>SUMIF('Requerimientos del sistema'!$D$10:$D$114,'Requerimientos de usuario'!$D$13:$D$53,'Requerimientos del sistema'!$P$10:$P$114)</f>
        <v>0</v>
      </c>
    </row>
    <row r="187" spans="2:12">
      <c r="B187" s="151" t="str">
        <f t="shared" si="4"/>
        <v xml:space="preserve">  </v>
      </c>
      <c r="C187" s="151" t="str">
        <f t="shared" si="5"/>
        <v xml:space="preserve">  </v>
      </c>
      <c r="D187" s="38"/>
      <c r="E187" s="38"/>
      <c r="F187" s="38"/>
      <c r="G187" s="137"/>
      <c r="H187" s="36"/>
      <c r="I187" s="36"/>
      <c r="J187" s="36"/>
      <c r="K187" s="42"/>
      <c r="L187" s="43">
        <f>SUMIF('Requerimientos del sistema'!$D$10:$D$114,'Requerimientos de usuario'!$D$13:$D$53,'Requerimientos del sistema'!$P$10:$P$114)</f>
        <v>0</v>
      </c>
    </row>
    <row r="188" spans="2:12">
      <c r="B188" s="151" t="str">
        <f t="shared" si="4"/>
        <v xml:space="preserve">  </v>
      </c>
      <c r="C188" s="151" t="str">
        <f t="shared" si="5"/>
        <v xml:space="preserve">  </v>
      </c>
      <c r="D188" s="38"/>
      <c r="E188" s="38"/>
      <c r="F188" s="38"/>
      <c r="G188" s="137"/>
      <c r="H188" s="36"/>
      <c r="I188" s="36"/>
      <c r="J188" s="36"/>
      <c r="K188" s="42"/>
      <c r="L188" s="43">
        <f>SUMIF('Requerimientos del sistema'!$D$10:$D$114,'Requerimientos de usuario'!$D$13:$D$53,'Requerimientos del sistema'!$P$10:$P$114)</f>
        <v>0</v>
      </c>
    </row>
    <row r="189" spans="2:12">
      <c r="B189" s="151" t="str">
        <f t="shared" si="4"/>
        <v xml:space="preserve">  </v>
      </c>
      <c r="C189" s="151" t="str">
        <f t="shared" si="5"/>
        <v xml:space="preserve">  </v>
      </c>
      <c r="D189" s="38"/>
      <c r="E189" s="38"/>
      <c r="F189" s="38"/>
      <c r="G189" s="137"/>
      <c r="H189" s="36"/>
      <c r="I189" s="36"/>
      <c r="J189" s="36"/>
      <c r="K189" s="42"/>
      <c r="L189" s="43">
        <f>SUMIF('Requerimientos del sistema'!$D$10:$D$114,'Requerimientos de usuario'!$D$13:$D$53,'Requerimientos del sistema'!$P$10:$P$114)</f>
        <v>0</v>
      </c>
    </row>
    <row r="190" spans="2:12">
      <c r="B190" s="151" t="str">
        <f t="shared" si="4"/>
        <v xml:space="preserve">  </v>
      </c>
      <c r="C190" s="151" t="str">
        <f t="shared" si="5"/>
        <v xml:space="preserve">  </v>
      </c>
      <c r="D190" s="38"/>
      <c r="E190" s="38"/>
      <c r="F190" s="38"/>
      <c r="G190" s="137"/>
      <c r="H190" s="36"/>
      <c r="I190" s="36"/>
      <c r="J190" s="36"/>
      <c r="K190" s="42"/>
      <c r="L190" s="43">
        <f>SUMIF('Requerimientos del sistema'!$D$10:$D$114,'Requerimientos de usuario'!$D$13:$D$53,'Requerimientos del sistema'!$P$10:$P$114)</f>
        <v>0</v>
      </c>
    </row>
    <row r="191" spans="2:12">
      <c r="B191" s="151" t="str">
        <f t="shared" si="4"/>
        <v xml:space="preserve">  </v>
      </c>
      <c r="C191" s="151" t="str">
        <f t="shared" si="5"/>
        <v xml:space="preserve">  </v>
      </c>
      <c r="D191" s="38"/>
      <c r="E191" s="38"/>
      <c r="F191" s="38"/>
      <c r="G191" s="137"/>
      <c r="H191" s="36"/>
      <c r="I191" s="36"/>
      <c r="J191" s="36"/>
      <c r="K191" s="42"/>
      <c r="L191" s="43">
        <f>SUMIF('Requerimientos del sistema'!$D$10:$D$114,'Requerimientos de usuario'!$D$13:$D$53,'Requerimientos del sistema'!$P$10:$P$114)</f>
        <v>0</v>
      </c>
    </row>
    <row r="192" spans="2:12">
      <c r="B192" s="151" t="str">
        <f t="shared" si="4"/>
        <v xml:space="preserve">  </v>
      </c>
      <c r="C192" s="151" t="str">
        <f t="shared" si="5"/>
        <v xml:space="preserve">  </v>
      </c>
      <c r="D192" s="38"/>
      <c r="E192" s="38"/>
      <c r="F192" s="38"/>
      <c r="G192" s="137"/>
      <c r="H192" s="36"/>
      <c r="I192" s="36"/>
      <c r="J192" s="36"/>
      <c r="K192" s="42"/>
      <c r="L192" s="43">
        <f>SUMIF('Requerimientos del sistema'!$D$10:$D$114,'Requerimientos de usuario'!$D$13:$D$53,'Requerimientos del sistema'!$P$10:$P$114)</f>
        <v>0</v>
      </c>
    </row>
    <row r="193" spans="2:12">
      <c r="B193" s="151" t="str">
        <f t="shared" si="4"/>
        <v xml:space="preserve">  </v>
      </c>
      <c r="C193" s="151" t="str">
        <f t="shared" si="5"/>
        <v xml:space="preserve">  </v>
      </c>
      <c r="D193" s="38"/>
      <c r="E193" s="38"/>
      <c r="F193" s="38"/>
      <c r="G193" s="137"/>
      <c r="H193" s="36"/>
      <c r="I193" s="36"/>
      <c r="J193" s="36"/>
      <c r="K193" s="42"/>
      <c r="L193" s="43">
        <f>SUMIF('Requerimientos del sistema'!$D$10:$D$114,'Requerimientos de usuario'!$D$13:$D$53,'Requerimientos del sistema'!$P$10:$P$114)</f>
        <v>0</v>
      </c>
    </row>
    <row r="194" spans="2:12">
      <c r="B194" s="151" t="str">
        <f t="shared" si="4"/>
        <v xml:space="preserve">  </v>
      </c>
      <c r="C194" s="151" t="str">
        <f t="shared" si="5"/>
        <v xml:space="preserve">  </v>
      </c>
      <c r="D194" s="38"/>
      <c r="E194" s="38"/>
      <c r="F194" s="38"/>
      <c r="G194" s="137"/>
      <c r="H194" s="36"/>
      <c r="I194" s="36"/>
      <c r="J194" s="36"/>
      <c r="K194" s="42"/>
      <c r="L194" s="43">
        <f>SUMIF('Requerimientos del sistema'!$D$10:$D$114,'Requerimientos de usuario'!$D$13:$D$53,'Requerimientos del sistema'!$P$10:$P$114)</f>
        <v>0</v>
      </c>
    </row>
    <row r="195" spans="2:12">
      <c r="B195" s="151" t="str">
        <f t="shared" si="4"/>
        <v xml:space="preserve">  </v>
      </c>
      <c r="C195" s="151" t="str">
        <f t="shared" si="5"/>
        <v xml:space="preserve">  </v>
      </c>
      <c r="D195" s="38"/>
      <c r="E195" s="38"/>
      <c r="F195" s="38"/>
      <c r="G195" s="137"/>
      <c r="H195" s="36"/>
      <c r="I195" s="36"/>
      <c r="J195" s="36"/>
      <c r="K195" s="42"/>
      <c r="L195" s="43">
        <f>SUMIF('Requerimientos del sistema'!$D$10:$D$114,'Requerimientos de usuario'!$D$13:$D$53,'Requerimientos del sistema'!$P$10:$P$114)</f>
        <v>0</v>
      </c>
    </row>
    <row r="196" spans="2:12">
      <c r="B196" s="151" t="str">
        <f t="shared" si="4"/>
        <v xml:space="preserve">  </v>
      </c>
      <c r="C196" s="151" t="str">
        <f t="shared" si="5"/>
        <v xml:space="preserve">  </v>
      </c>
      <c r="D196" s="38"/>
      <c r="E196" s="38"/>
      <c r="F196" s="38"/>
      <c r="G196" s="137"/>
      <c r="H196" s="36"/>
      <c r="I196" s="36"/>
      <c r="J196" s="36"/>
      <c r="K196" s="42"/>
      <c r="L196" s="43">
        <f>SUMIF('Requerimientos del sistema'!$D$10:$D$114,'Requerimientos de usuario'!$D$13:$D$53,'Requerimientos del sistema'!$P$10:$P$114)</f>
        <v>0</v>
      </c>
    </row>
    <row r="197" spans="2:12">
      <c r="B197" s="151" t="str">
        <f t="shared" si="4"/>
        <v xml:space="preserve">  </v>
      </c>
      <c r="C197" s="151" t="str">
        <f t="shared" si="5"/>
        <v xml:space="preserve">  </v>
      </c>
      <c r="D197" s="38"/>
      <c r="E197" s="38"/>
      <c r="F197" s="38"/>
      <c r="G197" s="137"/>
      <c r="H197" s="36"/>
      <c r="I197" s="36"/>
      <c r="J197" s="36"/>
      <c r="K197" s="42"/>
      <c r="L197" s="43">
        <f>SUMIF('Requerimientos del sistema'!$D$10:$D$114,'Requerimientos de usuario'!$D$13:$D$53,'Requerimientos del sistema'!$P$10:$P$114)</f>
        <v>0</v>
      </c>
    </row>
    <row r="198" spans="2:12">
      <c r="B198" s="151" t="str">
        <f t="shared" si="4"/>
        <v xml:space="preserve">  </v>
      </c>
      <c r="C198" s="151" t="str">
        <f t="shared" si="5"/>
        <v xml:space="preserve">  </v>
      </c>
      <c r="D198" s="38"/>
      <c r="E198" s="38"/>
      <c r="F198" s="38"/>
      <c r="G198" s="137"/>
      <c r="H198" s="36"/>
      <c r="I198" s="36"/>
      <c r="J198" s="36"/>
      <c r="K198" s="42"/>
      <c r="L198" s="43">
        <f>SUMIF('Requerimientos del sistema'!$D$10:$D$114,'Requerimientos de usuario'!$D$13:$D$53,'Requerimientos del sistema'!$P$10:$P$114)</f>
        <v>0</v>
      </c>
    </row>
    <row r="199" spans="2:12">
      <c r="B199" s="151" t="str">
        <f t="shared" si="4"/>
        <v xml:space="preserve">  </v>
      </c>
      <c r="C199" s="151" t="str">
        <f t="shared" si="5"/>
        <v xml:space="preserve">  </v>
      </c>
      <c r="D199" s="38"/>
      <c r="E199" s="38"/>
      <c r="F199" s="38"/>
      <c r="G199" s="137"/>
      <c r="H199" s="36"/>
      <c r="I199" s="36"/>
      <c r="J199" s="36"/>
      <c r="K199" s="42"/>
      <c r="L199" s="43">
        <f>SUMIF('Requerimientos del sistema'!$D$10:$D$114,'Requerimientos de usuario'!$D$13:$D$53,'Requerimientos del sistema'!$P$10:$P$114)</f>
        <v>0</v>
      </c>
    </row>
    <row r="200" spans="2:12">
      <c r="B200" s="151" t="str">
        <f t="shared" si="4"/>
        <v xml:space="preserve">  </v>
      </c>
      <c r="C200" s="151" t="str">
        <f t="shared" si="5"/>
        <v xml:space="preserve">  </v>
      </c>
      <c r="D200" s="38"/>
      <c r="E200" s="38"/>
      <c r="F200" s="38"/>
      <c r="G200" s="137"/>
      <c r="H200" s="36"/>
      <c r="I200" s="36"/>
      <c r="J200" s="36"/>
      <c r="K200" s="42"/>
      <c r="L200" s="43">
        <f>SUMIF('Requerimientos del sistema'!$D$10:$D$114,'Requerimientos de usuario'!$D$13:$D$53,'Requerimientos del sistema'!$P$10:$P$114)</f>
        <v>0</v>
      </c>
    </row>
    <row r="201" spans="2:12">
      <c r="B201" s="151" t="str">
        <f t="shared" si="4"/>
        <v xml:space="preserve">  </v>
      </c>
      <c r="C201" s="151" t="str">
        <f t="shared" si="5"/>
        <v xml:space="preserve">  </v>
      </c>
      <c r="D201" s="38"/>
      <c r="E201" s="38"/>
      <c r="F201" s="38"/>
      <c r="G201" s="137"/>
      <c r="H201" s="36"/>
      <c r="I201" s="36"/>
      <c r="J201" s="36"/>
      <c r="K201" s="42"/>
      <c r="L201" s="43">
        <f>SUMIF('Requerimientos del sistema'!$D$10:$D$114,'Requerimientos de usuario'!$D$13:$D$53,'Requerimientos del sistema'!$P$10:$P$114)</f>
        <v>0</v>
      </c>
    </row>
    <row r="202" spans="2:12">
      <c r="B202" s="151" t="str">
        <f t="shared" si="4"/>
        <v xml:space="preserve">  </v>
      </c>
      <c r="C202" s="151" t="str">
        <f t="shared" si="5"/>
        <v xml:space="preserve">  </v>
      </c>
      <c r="D202" s="38"/>
      <c r="E202" s="38"/>
      <c r="F202" s="38"/>
      <c r="G202" s="137"/>
      <c r="H202" s="36"/>
      <c r="I202" s="36"/>
      <c r="J202" s="36"/>
      <c r="K202" s="42"/>
      <c r="L202" s="43">
        <f>SUMIF('Requerimientos del sistema'!$D$10:$D$114,'Requerimientos de usuario'!$D$13:$D$53,'Requerimientos del sistema'!$P$10:$P$114)</f>
        <v>0</v>
      </c>
    </row>
    <row r="203" spans="2:12">
      <c r="B203" s="151" t="str">
        <f t="shared" si="4"/>
        <v xml:space="preserve">  </v>
      </c>
      <c r="C203" s="151" t="str">
        <f t="shared" si="5"/>
        <v xml:space="preserve">  </v>
      </c>
      <c r="D203" s="38"/>
      <c r="E203" s="38"/>
      <c r="F203" s="38"/>
      <c r="G203" s="137"/>
      <c r="H203" s="36"/>
      <c r="I203" s="36"/>
      <c r="J203" s="36"/>
      <c r="K203" s="42"/>
      <c r="L203" s="43">
        <f>SUMIF('Requerimientos del sistema'!$D$10:$D$114,'Requerimientos de usuario'!$D$13:$D$53,'Requerimientos del sistema'!$P$10:$P$114)</f>
        <v>0</v>
      </c>
    </row>
    <row r="204" spans="2:12">
      <c r="B204" s="151" t="str">
        <f t="shared" si="4"/>
        <v xml:space="preserve">  </v>
      </c>
      <c r="C204" s="151" t="str">
        <f t="shared" si="5"/>
        <v xml:space="preserve">  </v>
      </c>
      <c r="D204" s="38"/>
      <c r="E204" s="38"/>
      <c r="F204" s="38"/>
      <c r="G204" s="137"/>
      <c r="H204" s="36"/>
      <c r="I204" s="36"/>
      <c r="J204" s="36"/>
      <c r="K204" s="42"/>
      <c r="L204" s="43">
        <f>SUMIF('Requerimientos del sistema'!$D$10:$D$114,'Requerimientos de usuario'!$D$13:$D$53,'Requerimientos del sistema'!$P$10:$P$114)</f>
        <v>0</v>
      </c>
    </row>
    <row r="205" spans="2:12">
      <c r="B205" s="151" t="str">
        <f t="shared" ref="B205:B266" si="6">IF(NOT(ISBLANK($B$13)),$B$13,"  ")</f>
        <v xml:space="preserve">  </v>
      </c>
      <c r="C205" s="151" t="str">
        <f t="shared" ref="C205:C266" si="7">IF(NOT(ISBLANK($C$13)),$C$13,"  ")</f>
        <v xml:space="preserve">  </v>
      </c>
      <c r="D205" s="38"/>
      <c r="E205" s="38"/>
      <c r="F205" s="38"/>
      <c r="G205" s="137"/>
      <c r="H205" s="36"/>
      <c r="I205" s="36"/>
      <c r="J205" s="36"/>
      <c r="K205" s="42"/>
      <c r="L205" s="43">
        <f>SUMIF('Requerimientos del sistema'!$D$10:$D$114,'Requerimientos de usuario'!$D$13:$D$53,'Requerimientos del sistema'!$P$10:$P$114)</f>
        <v>0</v>
      </c>
    </row>
    <row r="206" spans="2:12">
      <c r="B206" s="151" t="str">
        <f t="shared" si="6"/>
        <v xml:space="preserve">  </v>
      </c>
      <c r="C206" s="151" t="str">
        <f t="shared" si="7"/>
        <v xml:space="preserve">  </v>
      </c>
      <c r="D206" s="38"/>
      <c r="E206" s="38"/>
      <c r="F206" s="38"/>
      <c r="G206" s="137"/>
      <c r="H206" s="36"/>
      <c r="I206" s="36"/>
      <c r="J206" s="36"/>
      <c r="K206" s="42"/>
      <c r="L206" s="43">
        <f>SUMIF('Requerimientos del sistema'!$D$10:$D$114,'Requerimientos de usuario'!$D$13:$D$53,'Requerimientos del sistema'!$P$10:$P$114)</f>
        <v>0</v>
      </c>
    </row>
    <row r="207" spans="2:12">
      <c r="B207" s="151" t="str">
        <f t="shared" si="6"/>
        <v xml:space="preserve">  </v>
      </c>
      <c r="C207" s="151" t="str">
        <f t="shared" si="7"/>
        <v xml:space="preserve">  </v>
      </c>
      <c r="D207" s="38"/>
      <c r="E207" s="38"/>
      <c r="F207" s="38"/>
      <c r="G207" s="137"/>
      <c r="H207" s="36"/>
      <c r="I207" s="36"/>
      <c r="J207" s="36"/>
      <c r="K207" s="42"/>
      <c r="L207" s="43">
        <f>SUMIF('Requerimientos del sistema'!$D$10:$D$114,'Requerimientos de usuario'!$D$13:$D$53,'Requerimientos del sistema'!$P$10:$P$114)</f>
        <v>0</v>
      </c>
    </row>
    <row r="208" spans="2:12">
      <c r="B208" s="151" t="str">
        <f t="shared" si="6"/>
        <v xml:space="preserve">  </v>
      </c>
      <c r="C208" s="151" t="str">
        <f t="shared" si="7"/>
        <v xml:space="preserve">  </v>
      </c>
      <c r="D208" s="38"/>
      <c r="E208" s="38"/>
      <c r="F208" s="38"/>
      <c r="G208" s="137"/>
      <c r="H208" s="36"/>
      <c r="I208" s="36"/>
      <c r="J208" s="36"/>
      <c r="K208" s="42"/>
      <c r="L208" s="43">
        <f>SUMIF('Requerimientos del sistema'!$D$10:$D$114,'Requerimientos de usuario'!$D$13:$D$53,'Requerimientos del sistema'!$P$10:$P$114)</f>
        <v>0</v>
      </c>
    </row>
    <row r="209" spans="2:12">
      <c r="B209" s="151" t="str">
        <f t="shared" si="6"/>
        <v xml:space="preserve">  </v>
      </c>
      <c r="C209" s="151" t="str">
        <f t="shared" si="7"/>
        <v xml:space="preserve">  </v>
      </c>
      <c r="D209" s="38"/>
      <c r="E209" s="38"/>
      <c r="F209" s="38"/>
      <c r="G209" s="137"/>
      <c r="H209" s="36"/>
      <c r="I209" s="36"/>
      <c r="J209" s="36"/>
      <c r="K209" s="42"/>
      <c r="L209" s="43">
        <f>SUMIF('Requerimientos del sistema'!$D$10:$D$114,'Requerimientos de usuario'!$D$13:$D$53,'Requerimientos del sistema'!$P$10:$P$114)</f>
        <v>0</v>
      </c>
    </row>
    <row r="210" spans="2:12">
      <c r="B210" s="151" t="str">
        <f t="shared" si="6"/>
        <v xml:space="preserve">  </v>
      </c>
      <c r="C210" s="151" t="str">
        <f t="shared" si="7"/>
        <v xml:space="preserve">  </v>
      </c>
      <c r="D210" s="38"/>
      <c r="E210" s="38"/>
      <c r="F210" s="38"/>
      <c r="G210" s="137"/>
      <c r="H210" s="36"/>
      <c r="I210" s="36"/>
      <c r="J210" s="36"/>
      <c r="K210" s="42"/>
      <c r="L210" s="43">
        <f>SUMIF('Requerimientos del sistema'!$D$10:$D$114,'Requerimientos de usuario'!$D$13:$D$53,'Requerimientos del sistema'!$P$10:$P$114)</f>
        <v>0</v>
      </c>
    </row>
    <row r="211" spans="2:12">
      <c r="B211" s="151" t="str">
        <f t="shared" si="6"/>
        <v xml:space="preserve">  </v>
      </c>
      <c r="C211" s="151" t="str">
        <f t="shared" si="7"/>
        <v xml:space="preserve">  </v>
      </c>
      <c r="D211" s="38"/>
      <c r="E211" s="38"/>
      <c r="F211" s="38"/>
      <c r="G211" s="137"/>
      <c r="H211" s="36"/>
      <c r="I211" s="36"/>
      <c r="J211" s="36"/>
      <c r="K211" s="42"/>
      <c r="L211" s="43">
        <f>SUMIF('Requerimientos del sistema'!$D$10:$D$114,'Requerimientos de usuario'!$D$13:$D$53,'Requerimientos del sistema'!$P$10:$P$114)</f>
        <v>0</v>
      </c>
    </row>
    <row r="212" spans="2:12">
      <c r="B212" s="151" t="str">
        <f t="shared" si="6"/>
        <v xml:space="preserve">  </v>
      </c>
      <c r="C212" s="151" t="str">
        <f t="shared" si="7"/>
        <v xml:space="preserve">  </v>
      </c>
      <c r="D212" s="38"/>
      <c r="E212" s="38"/>
      <c r="F212" s="38"/>
      <c r="G212" s="137"/>
      <c r="H212" s="36"/>
      <c r="I212" s="36"/>
      <c r="J212" s="36"/>
      <c r="K212" s="42"/>
      <c r="L212" s="43">
        <f>SUMIF('Requerimientos del sistema'!$D$10:$D$114,'Requerimientos de usuario'!$D$13:$D$53,'Requerimientos del sistema'!$P$10:$P$114)</f>
        <v>0</v>
      </c>
    </row>
    <row r="213" spans="2:12">
      <c r="B213" s="151" t="str">
        <f t="shared" si="6"/>
        <v xml:space="preserve">  </v>
      </c>
      <c r="C213" s="151" t="str">
        <f t="shared" si="7"/>
        <v xml:space="preserve">  </v>
      </c>
      <c r="D213" s="38"/>
      <c r="E213" s="38"/>
      <c r="F213" s="38"/>
      <c r="G213" s="137"/>
      <c r="H213" s="36"/>
      <c r="I213" s="36"/>
      <c r="J213" s="36"/>
      <c r="K213" s="42"/>
      <c r="L213" s="43">
        <f>SUMIF('Requerimientos del sistema'!$D$10:$D$114,'Requerimientos de usuario'!$D$13:$D$53,'Requerimientos del sistema'!$P$10:$P$114)</f>
        <v>0</v>
      </c>
    </row>
    <row r="214" spans="2:12">
      <c r="B214" s="151" t="str">
        <f t="shared" si="6"/>
        <v xml:space="preserve">  </v>
      </c>
      <c r="C214" s="151" t="str">
        <f t="shared" si="7"/>
        <v xml:space="preserve">  </v>
      </c>
      <c r="D214" s="38"/>
      <c r="E214" s="38"/>
      <c r="F214" s="38"/>
      <c r="G214" s="137"/>
      <c r="H214" s="36"/>
      <c r="I214" s="36"/>
      <c r="J214" s="36"/>
      <c r="K214" s="42"/>
      <c r="L214" s="43">
        <f>SUMIF('Requerimientos del sistema'!$D$10:$D$114,'Requerimientos de usuario'!$D$13:$D$53,'Requerimientos del sistema'!$P$10:$P$114)</f>
        <v>0</v>
      </c>
    </row>
    <row r="215" spans="2:12">
      <c r="B215" s="151" t="str">
        <f t="shared" si="6"/>
        <v xml:space="preserve">  </v>
      </c>
      <c r="C215" s="151" t="str">
        <f t="shared" si="7"/>
        <v xml:space="preserve">  </v>
      </c>
      <c r="D215" s="38"/>
      <c r="E215" s="38"/>
      <c r="F215" s="38"/>
      <c r="G215" s="137"/>
      <c r="H215" s="36"/>
      <c r="I215" s="36"/>
      <c r="J215" s="36"/>
      <c r="K215" s="42"/>
      <c r="L215" s="43">
        <f>SUMIF('Requerimientos del sistema'!$D$10:$D$114,'Requerimientos de usuario'!$D$13:$D$53,'Requerimientos del sistema'!$P$10:$P$114)</f>
        <v>0</v>
      </c>
    </row>
    <row r="216" spans="2:12">
      <c r="B216" s="151" t="str">
        <f t="shared" si="6"/>
        <v xml:space="preserve">  </v>
      </c>
      <c r="C216" s="151" t="str">
        <f t="shared" si="7"/>
        <v xml:space="preserve">  </v>
      </c>
      <c r="D216" s="38"/>
      <c r="E216" s="38"/>
      <c r="F216" s="38"/>
      <c r="G216" s="137"/>
      <c r="H216" s="36"/>
      <c r="I216" s="36"/>
      <c r="J216" s="36"/>
      <c r="K216" s="42"/>
      <c r="L216" s="43">
        <f>SUMIF('Requerimientos del sistema'!$D$10:$D$114,'Requerimientos de usuario'!$D$13:$D$53,'Requerimientos del sistema'!$P$10:$P$114)</f>
        <v>0</v>
      </c>
    </row>
    <row r="217" spans="2:12">
      <c r="B217" s="151" t="str">
        <f t="shared" si="6"/>
        <v xml:space="preserve">  </v>
      </c>
      <c r="C217" s="151" t="str">
        <f t="shared" si="7"/>
        <v xml:space="preserve">  </v>
      </c>
      <c r="D217" s="38"/>
      <c r="E217" s="38"/>
      <c r="F217" s="38"/>
      <c r="G217" s="137"/>
      <c r="H217" s="36"/>
      <c r="I217" s="36"/>
      <c r="J217" s="36"/>
      <c r="K217" s="42"/>
      <c r="L217" s="43">
        <f>SUMIF('Requerimientos del sistema'!$D$10:$D$114,'Requerimientos de usuario'!$D$13:$D$53,'Requerimientos del sistema'!$P$10:$P$114)</f>
        <v>0</v>
      </c>
    </row>
    <row r="218" spans="2:12">
      <c r="B218" s="151" t="str">
        <f t="shared" si="6"/>
        <v xml:space="preserve">  </v>
      </c>
      <c r="C218" s="151" t="str">
        <f t="shared" si="7"/>
        <v xml:space="preserve">  </v>
      </c>
      <c r="D218" s="38"/>
      <c r="E218" s="38"/>
      <c r="F218" s="38"/>
      <c r="G218" s="137"/>
      <c r="H218" s="36"/>
      <c r="I218" s="36"/>
      <c r="J218" s="36"/>
      <c r="K218" s="42"/>
      <c r="L218" s="43">
        <f>SUMIF('Requerimientos del sistema'!$D$10:$D$114,'Requerimientos de usuario'!$D$13:$D$53,'Requerimientos del sistema'!$P$10:$P$114)</f>
        <v>0</v>
      </c>
    </row>
    <row r="219" spans="2:12">
      <c r="B219" s="151" t="str">
        <f t="shared" si="6"/>
        <v xml:space="preserve">  </v>
      </c>
      <c r="C219" s="151" t="str">
        <f t="shared" si="7"/>
        <v xml:space="preserve">  </v>
      </c>
      <c r="D219" s="38"/>
      <c r="E219" s="38"/>
      <c r="F219" s="38"/>
      <c r="G219" s="137"/>
      <c r="H219" s="36"/>
      <c r="I219" s="36"/>
      <c r="J219" s="36"/>
      <c r="K219" s="42"/>
      <c r="L219" s="43">
        <f>SUMIF('Requerimientos del sistema'!$D$10:$D$114,'Requerimientos de usuario'!$D$13:$D$53,'Requerimientos del sistema'!$P$10:$P$114)</f>
        <v>0</v>
      </c>
    </row>
    <row r="220" spans="2:12">
      <c r="B220" s="151" t="str">
        <f t="shared" si="6"/>
        <v xml:space="preserve">  </v>
      </c>
      <c r="C220" s="151" t="str">
        <f t="shared" si="7"/>
        <v xml:space="preserve">  </v>
      </c>
      <c r="D220" s="38"/>
      <c r="E220" s="38"/>
      <c r="F220" s="38"/>
      <c r="G220" s="137"/>
      <c r="H220" s="36"/>
      <c r="I220" s="36"/>
      <c r="J220" s="36"/>
      <c r="K220" s="42"/>
      <c r="L220" s="43">
        <f>SUMIF('Requerimientos del sistema'!$D$10:$D$114,'Requerimientos de usuario'!$D$13:$D$53,'Requerimientos del sistema'!$P$10:$P$114)</f>
        <v>0</v>
      </c>
    </row>
    <row r="221" spans="2:12">
      <c r="B221" s="151" t="str">
        <f t="shared" si="6"/>
        <v xml:space="preserve">  </v>
      </c>
      <c r="C221" s="151" t="str">
        <f t="shared" si="7"/>
        <v xml:space="preserve">  </v>
      </c>
      <c r="D221" s="38"/>
      <c r="E221" s="38"/>
      <c r="F221" s="38"/>
      <c r="G221" s="137"/>
      <c r="H221" s="36"/>
      <c r="I221" s="36"/>
      <c r="J221" s="36"/>
      <c r="K221" s="42"/>
      <c r="L221" s="43">
        <f>SUMIF('Requerimientos del sistema'!$D$10:$D$114,'Requerimientos de usuario'!$D$13:$D$53,'Requerimientos del sistema'!$P$10:$P$114)</f>
        <v>0</v>
      </c>
    </row>
    <row r="222" spans="2:12">
      <c r="B222" s="151" t="str">
        <f t="shared" si="6"/>
        <v xml:space="preserve">  </v>
      </c>
      <c r="C222" s="151" t="str">
        <f t="shared" si="7"/>
        <v xml:space="preserve">  </v>
      </c>
      <c r="D222" s="38"/>
      <c r="E222" s="38"/>
      <c r="F222" s="38"/>
      <c r="G222" s="137"/>
      <c r="H222" s="36"/>
      <c r="I222" s="36"/>
      <c r="J222" s="36"/>
      <c r="K222" s="42"/>
      <c r="L222" s="43">
        <f>SUMIF('Requerimientos del sistema'!$D$10:$D$114,'Requerimientos de usuario'!$D$13:$D$53,'Requerimientos del sistema'!$P$10:$P$114)</f>
        <v>0</v>
      </c>
    </row>
    <row r="223" spans="2:12">
      <c r="B223" s="151" t="str">
        <f t="shared" si="6"/>
        <v xml:space="preserve">  </v>
      </c>
      <c r="C223" s="151" t="str">
        <f t="shared" si="7"/>
        <v xml:space="preserve">  </v>
      </c>
      <c r="D223" s="38"/>
      <c r="E223" s="38"/>
      <c r="F223" s="38"/>
      <c r="G223" s="137"/>
      <c r="H223" s="36"/>
      <c r="I223" s="36"/>
      <c r="J223" s="36"/>
      <c r="K223" s="42"/>
      <c r="L223" s="43">
        <f>SUMIF('Requerimientos del sistema'!$D$10:$D$114,'Requerimientos de usuario'!$D$13:$D$53,'Requerimientos del sistema'!$P$10:$P$114)</f>
        <v>0</v>
      </c>
    </row>
    <row r="224" spans="2:12">
      <c r="B224" s="151" t="str">
        <f t="shared" si="6"/>
        <v xml:space="preserve">  </v>
      </c>
      <c r="C224" s="151" t="str">
        <f t="shared" si="7"/>
        <v xml:space="preserve">  </v>
      </c>
      <c r="D224" s="38"/>
      <c r="E224" s="38"/>
      <c r="F224" s="38"/>
      <c r="G224" s="137"/>
      <c r="H224" s="36"/>
      <c r="I224" s="36"/>
      <c r="J224" s="36"/>
      <c r="K224" s="42"/>
      <c r="L224" s="43">
        <f>SUMIF('Requerimientos del sistema'!$D$10:$D$114,'Requerimientos de usuario'!$D$13:$D$53,'Requerimientos del sistema'!$P$10:$P$114)</f>
        <v>0</v>
      </c>
    </row>
    <row r="225" spans="2:12">
      <c r="B225" s="151" t="str">
        <f t="shared" si="6"/>
        <v xml:space="preserve">  </v>
      </c>
      <c r="C225" s="151" t="str">
        <f t="shared" si="7"/>
        <v xml:space="preserve">  </v>
      </c>
      <c r="D225" s="38"/>
      <c r="E225" s="38"/>
      <c r="F225" s="38"/>
      <c r="G225" s="137"/>
      <c r="H225" s="36"/>
      <c r="I225" s="36"/>
      <c r="J225" s="36"/>
      <c r="K225" s="42"/>
      <c r="L225" s="43">
        <f>SUMIF('Requerimientos del sistema'!$D$10:$D$114,'Requerimientos de usuario'!$D$13:$D$53,'Requerimientos del sistema'!$P$10:$P$114)</f>
        <v>0</v>
      </c>
    </row>
    <row r="226" spans="2:12">
      <c r="B226" s="151" t="str">
        <f t="shared" si="6"/>
        <v xml:space="preserve">  </v>
      </c>
      <c r="C226" s="151" t="str">
        <f t="shared" si="7"/>
        <v xml:space="preserve">  </v>
      </c>
      <c r="D226" s="38"/>
      <c r="E226" s="38"/>
      <c r="F226" s="38"/>
      <c r="G226" s="137"/>
      <c r="H226" s="36"/>
      <c r="I226" s="36"/>
      <c r="J226" s="36"/>
      <c r="K226" s="42"/>
      <c r="L226" s="43">
        <f>SUMIF('Requerimientos del sistema'!$D$10:$D$114,'Requerimientos de usuario'!$D$13:$D$53,'Requerimientos del sistema'!$P$10:$P$114)</f>
        <v>0</v>
      </c>
    </row>
    <row r="227" spans="2:12">
      <c r="B227" s="151" t="str">
        <f t="shared" si="6"/>
        <v xml:space="preserve">  </v>
      </c>
      <c r="C227" s="151" t="str">
        <f t="shared" si="7"/>
        <v xml:space="preserve">  </v>
      </c>
      <c r="D227" s="38"/>
      <c r="E227" s="38"/>
      <c r="F227" s="38"/>
      <c r="G227" s="137"/>
      <c r="H227" s="36"/>
      <c r="I227" s="36"/>
      <c r="J227" s="36"/>
      <c r="K227" s="42"/>
      <c r="L227" s="43">
        <f>SUMIF('Requerimientos del sistema'!$D$10:$D$114,'Requerimientos de usuario'!$D$13:$D$53,'Requerimientos del sistema'!$P$10:$P$114)</f>
        <v>0</v>
      </c>
    </row>
    <row r="228" spans="2:12">
      <c r="B228" s="151" t="str">
        <f t="shared" si="6"/>
        <v xml:space="preserve">  </v>
      </c>
      <c r="C228" s="151" t="str">
        <f t="shared" si="7"/>
        <v xml:space="preserve">  </v>
      </c>
      <c r="D228" s="38"/>
      <c r="E228" s="38"/>
      <c r="F228" s="38"/>
      <c r="G228" s="137"/>
      <c r="H228" s="36"/>
      <c r="I228" s="36"/>
      <c r="J228" s="36"/>
      <c r="K228" s="42"/>
      <c r="L228" s="43">
        <f>SUMIF('Requerimientos del sistema'!$D$10:$D$114,'Requerimientos de usuario'!$D$13:$D$53,'Requerimientos del sistema'!$P$10:$P$114)</f>
        <v>0</v>
      </c>
    </row>
    <row r="229" spans="2:12">
      <c r="B229" s="151" t="str">
        <f t="shared" si="6"/>
        <v xml:space="preserve">  </v>
      </c>
      <c r="C229" s="151" t="str">
        <f t="shared" si="7"/>
        <v xml:space="preserve">  </v>
      </c>
      <c r="D229" s="38"/>
      <c r="E229" s="38"/>
      <c r="F229" s="38"/>
      <c r="G229" s="137"/>
      <c r="H229" s="36"/>
      <c r="I229" s="36"/>
      <c r="J229" s="36"/>
      <c r="K229" s="42"/>
      <c r="L229" s="43">
        <f>SUMIF('Requerimientos del sistema'!$D$10:$D$114,'Requerimientos de usuario'!$D$13:$D$53,'Requerimientos del sistema'!$P$10:$P$114)</f>
        <v>0</v>
      </c>
    </row>
    <row r="230" spans="2:12">
      <c r="B230" s="151" t="str">
        <f t="shared" si="6"/>
        <v xml:space="preserve">  </v>
      </c>
      <c r="C230" s="151" t="str">
        <f t="shared" si="7"/>
        <v xml:space="preserve">  </v>
      </c>
      <c r="D230" s="38"/>
      <c r="E230" s="38"/>
      <c r="F230" s="38"/>
      <c r="G230" s="137"/>
      <c r="H230" s="36"/>
      <c r="I230" s="36"/>
      <c r="J230" s="36"/>
      <c r="K230" s="42"/>
      <c r="L230" s="43">
        <f>SUMIF('Requerimientos del sistema'!$D$10:$D$114,'Requerimientos de usuario'!$D$13:$D$53,'Requerimientos del sistema'!$P$10:$P$114)</f>
        <v>0</v>
      </c>
    </row>
    <row r="231" spans="2:12">
      <c r="B231" s="151" t="str">
        <f t="shared" si="6"/>
        <v xml:space="preserve">  </v>
      </c>
      <c r="C231" s="151" t="str">
        <f t="shared" si="7"/>
        <v xml:space="preserve">  </v>
      </c>
      <c r="D231" s="38"/>
      <c r="E231" s="38"/>
      <c r="F231" s="38"/>
      <c r="G231" s="137"/>
      <c r="H231" s="36"/>
      <c r="I231" s="36"/>
      <c r="J231" s="36"/>
      <c r="K231" s="42"/>
      <c r="L231" s="43">
        <f>SUMIF('Requerimientos del sistema'!$D$10:$D$114,'Requerimientos de usuario'!$D$13:$D$53,'Requerimientos del sistema'!$P$10:$P$114)</f>
        <v>0</v>
      </c>
    </row>
    <row r="232" spans="2:12">
      <c r="B232" s="151" t="str">
        <f t="shared" si="6"/>
        <v xml:space="preserve">  </v>
      </c>
      <c r="C232" s="151" t="str">
        <f t="shared" si="7"/>
        <v xml:space="preserve">  </v>
      </c>
      <c r="D232" s="38"/>
      <c r="E232" s="38"/>
      <c r="F232" s="38"/>
      <c r="G232" s="137"/>
      <c r="H232" s="36"/>
      <c r="I232" s="36"/>
      <c r="J232" s="36"/>
      <c r="K232" s="42"/>
      <c r="L232" s="43">
        <f>SUMIF('Requerimientos del sistema'!$D$10:$D$114,'Requerimientos de usuario'!$D$13:$D$53,'Requerimientos del sistema'!$P$10:$P$114)</f>
        <v>0</v>
      </c>
    </row>
    <row r="233" spans="2:12">
      <c r="B233" s="151" t="str">
        <f t="shared" si="6"/>
        <v xml:space="preserve">  </v>
      </c>
      <c r="C233" s="151" t="str">
        <f t="shared" si="7"/>
        <v xml:space="preserve">  </v>
      </c>
      <c r="D233" s="38"/>
      <c r="E233" s="38"/>
      <c r="F233" s="38"/>
      <c r="G233" s="137"/>
      <c r="H233" s="36"/>
      <c r="I233" s="36"/>
      <c r="J233" s="36"/>
      <c r="K233" s="42"/>
      <c r="L233" s="43">
        <f>SUMIF('Requerimientos del sistema'!$D$10:$D$114,'Requerimientos de usuario'!$D$13:$D$53,'Requerimientos del sistema'!$P$10:$P$114)</f>
        <v>0</v>
      </c>
    </row>
    <row r="234" spans="2:12">
      <c r="B234" s="151" t="str">
        <f t="shared" si="6"/>
        <v xml:space="preserve">  </v>
      </c>
      <c r="C234" s="151" t="str">
        <f t="shared" si="7"/>
        <v xml:space="preserve">  </v>
      </c>
      <c r="D234" s="38"/>
      <c r="E234" s="38"/>
      <c r="F234" s="38"/>
      <c r="G234" s="137"/>
      <c r="H234" s="36"/>
      <c r="I234" s="36"/>
      <c r="J234" s="36"/>
      <c r="K234" s="42"/>
      <c r="L234" s="43">
        <f>SUMIF('Requerimientos del sistema'!$D$10:$D$114,'Requerimientos de usuario'!$D$13:$D$53,'Requerimientos del sistema'!$P$10:$P$114)</f>
        <v>0</v>
      </c>
    </row>
    <row r="235" spans="2:12">
      <c r="B235" s="151" t="str">
        <f t="shared" si="6"/>
        <v xml:space="preserve">  </v>
      </c>
      <c r="C235" s="151" t="str">
        <f t="shared" si="7"/>
        <v xml:space="preserve">  </v>
      </c>
      <c r="D235" s="38"/>
      <c r="E235" s="38"/>
      <c r="F235" s="38"/>
      <c r="G235" s="137"/>
      <c r="H235" s="36"/>
      <c r="I235" s="36"/>
      <c r="J235" s="36"/>
      <c r="K235" s="42"/>
      <c r="L235" s="43">
        <f>SUMIF('Requerimientos del sistema'!$D$10:$D$114,'Requerimientos de usuario'!$D$13:$D$53,'Requerimientos del sistema'!$P$10:$P$114)</f>
        <v>0</v>
      </c>
    </row>
    <row r="236" spans="2:12">
      <c r="B236" s="151" t="str">
        <f t="shared" si="6"/>
        <v xml:space="preserve">  </v>
      </c>
      <c r="C236" s="151" t="str">
        <f t="shared" si="7"/>
        <v xml:space="preserve">  </v>
      </c>
      <c r="D236" s="38"/>
      <c r="E236" s="38"/>
      <c r="F236" s="38"/>
      <c r="G236" s="137"/>
      <c r="H236" s="36"/>
      <c r="I236" s="36"/>
      <c r="J236" s="36"/>
      <c r="K236" s="42"/>
      <c r="L236" s="43">
        <f>SUMIF('Requerimientos del sistema'!$D$10:$D$114,'Requerimientos de usuario'!$D$13:$D$53,'Requerimientos del sistema'!$P$10:$P$114)</f>
        <v>0</v>
      </c>
    </row>
    <row r="237" spans="2:12">
      <c r="B237" s="151" t="str">
        <f t="shared" si="6"/>
        <v xml:space="preserve">  </v>
      </c>
      <c r="C237" s="151" t="str">
        <f t="shared" si="7"/>
        <v xml:space="preserve">  </v>
      </c>
      <c r="D237" s="38"/>
      <c r="E237" s="38"/>
      <c r="F237" s="38"/>
      <c r="G237" s="137"/>
      <c r="H237" s="36"/>
      <c r="I237" s="36"/>
      <c r="J237" s="36"/>
      <c r="K237" s="42"/>
      <c r="L237" s="43">
        <f>SUMIF('Requerimientos del sistema'!$D$10:$D$114,'Requerimientos de usuario'!$D$13:$D$53,'Requerimientos del sistema'!$P$10:$P$114)</f>
        <v>0</v>
      </c>
    </row>
    <row r="238" spans="2:12">
      <c r="B238" s="151" t="str">
        <f t="shared" si="6"/>
        <v xml:space="preserve">  </v>
      </c>
      <c r="C238" s="151" t="str">
        <f t="shared" si="7"/>
        <v xml:space="preserve">  </v>
      </c>
      <c r="D238" s="38"/>
      <c r="E238" s="38"/>
      <c r="F238" s="38"/>
      <c r="G238" s="137"/>
      <c r="H238" s="36"/>
      <c r="I238" s="36"/>
      <c r="J238" s="36"/>
      <c r="K238" s="42"/>
      <c r="L238" s="43">
        <f>SUMIF('Requerimientos del sistema'!$D$10:$D$114,'Requerimientos de usuario'!$D$13:$D$53,'Requerimientos del sistema'!$P$10:$P$114)</f>
        <v>0</v>
      </c>
    </row>
    <row r="239" spans="2:12">
      <c r="B239" s="151" t="str">
        <f t="shared" si="6"/>
        <v xml:space="preserve">  </v>
      </c>
      <c r="C239" s="151" t="str">
        <f t="shared" si="7"/>
        <v xml:space="preserve">  </v>
      </c>
      <c r="D239" s="38"/>
      <c r="E239" s="38"/>
      <c r="F239" s="38"/>
      <c r="G239" s="137"/>
      <c r="H239" s="36"/>
      <c r="I239" s="36"/>
      <c r="J239" s="36"/>
      <c r="K239" s="42"/>
      <c r="L239" s="43">
        <f>SUMIF('Requerimientos del sistema'!$D$10:$D$114,'Requerimientos de usuario'!$D$13:$D$53,'Requerimientos del sistema'!$P$10:$P$114)</f>
        <v>0</v>
      </c>
    </row>
    <row r="240" spans="2:12">
      <c r="B240" s="151" t="str">
        <f t="shared" si="6"/>
        <v xml:space="preserve">  </v>
      </c>
      <c r="C240" s="151" t="str">
        <f t="shared" si="7"/>
        <v xml:space="preserve">  </v>
      </c>
      <c r="D240" s="38"/>
      <c r="E240" s="38"/>
      <c r="F240" s="38"/>
      <c r="G240" s="137"/>
      <c r="H240" s="36"/>
      <c r="I240" s="36"/>
      <c r="J240" s="36"/>
      <c r="K240" s="42"/>
      <c r="L240" s="43">
        <f>SUMIF('Requerimientos del sistema'!$D$10:$D$114,'Requerimientos de usuario'!$D$13:$D$53,'Requerimientos del sistema'!$P$10:$P$114)</f>
        <v>0</v>
      </c>
    </row>
    <row r="241" spans="2:12">
      <c r="B241" s="151" t="str">
        <f t="shared" si="6"/>
        <v xml:space="preserve">  </v>
      </c>
      <c r="C241" s="151" t="str">
        <f t="shared" si="7"/>
        <v xml:space="preserve">  </v>
      </c>
      <c r="D241" s="38"/>
      <c r="E241" s="38"/>
      <c r="F241" s="38"/>
      <c r="G241" s="137"/>
      <c r="H241" s="36"/>
      <c r="I241" s="36"/>
      <c r="J241" s="36"/>
      <c r="K241" s="42"/>
      <c r="L241" s="43">
        <f>SUMIF('Requerimientos del sistema'!$D$10:$D$114,'Requerimientos de usuario'!$D$13:$D$53,'Requerimientos del sistema'!$P$10:$P$114)</f>
        <v>0</v>
      </c>
    </row>
    <row r="242" spans="2:12">
      <c r="B242" s="151" t="str">
        <f t="shared" si="6"/>
        <v xml:space="preserve">  </v>
      </c>
      <c r="C242" s="151" t="str">
        <f t="shared" si="7"/>
        <v xml:space="preserve">  </v>
      </c>
      <c r="D242" s="38"/>
      <c r="E242" s="38"/>
      <c r="F242" s="38"/>
      <c r="G242" s="137"/>
      <c r="H242" s="36"/>
      <c r="I242" s="36"/>
      <c r="J242" s="36"/>
      <c r="K242" s="42"/>
      <c r="L242" s="43">
        <f>SUMIF('Requerimientos del sistema'!$D$10:$D$114,'Requerimientos de usuario'!$D$13:$D$53,'Requerimientos del sistema'!$P$10:$P$114)</f>
        <v>0</v>
      </c>
    </row>
    <row r="243" spans="2:12">
      <c r="B243" s="151" t="str">
        <f t="shared" si="6"/>
        <v xml:space="preserve">  </v>
      </c>
      <c r="C243" s="151" t="str">
        <f t="shared" si="7"/>
        <v xml:space="preserve">  </v>
      </c>
      <c r="D243" s="38"/>
      <c r="E243" s="38"/>
      <c r="F243" s="38"/>
      <c r="G243" s="137"/>
      <c r="H243" s="36"/>
      <c r="I243" s="36"/>
      <c r="J243" s="36"/>
      <c r="K243" s="42"/>
      <c r="L243" s="43">
        <f>SUMIF('Requerimientos del sistema'!$D$10:$D$114,'Requerimientos de usuario'!$D$13:$D$53,'Requerimientos del sistema'!$P$10:$P$114)</f>
        <v>0</v>
      </c>
    </row>
    <row r="244" spans="2:12">
      <c r="B244" s="151" t="str">
        <f t="shared" si="6"/>
        <v xml:space="preserve">  </v>
      </c>
      <c r="C244" s="151" t="str">
        <f t="shared" si="7"/>
        <v xml:space="preserve">  </v>
      </c>
      <c r="D244" s="38"/>
      <c r="E244" s="38"/>
      <c r="F244" s="38"/>
      <c r="G244" s="137"/>
      <c r="H244" s="36"/>
      <c r="I244" s="36"/>
      <c r="J244" s="36"/>
      <c r="K244" s="42"/>
      <c r="L244" s="43">
        <f>SUMIF('Requerimientos del sistema'!$D$10:$D$114,'Requerimientos de usuario'!$D$13:$D$53,'Requerimientos del sistema'!$P$10:$P$114)</f>
        <v>0</v>
      </c>
    </row>
    <row r="245" spans="2:12">
      <c r="B245" s="151" t="str">
        <f t="shared" si="6"/>
        <v xml:space="preserve">  </v>
      </c>
      <c r="C245" s="151" t="str">
        <f t="shared" si="7"/>
        <v xml:space="preserve">  </v>
      </c>
      <c r="D245" s="38"/>
      <c r="E245" s="38"/>
      <c r="F245" s="38"/>
      <c r="G245" s="137"/>
      <c r="H245" s="36"/>
      <c r="I245" s="36"/>
      <c r="J245" s="36"/>
      <c r="K245" s="42"/>
      <c r="L245" s="43">
        <f>SUMIF('Requerimientos del sistema'!$D$10:$D$114,'Requerimientos de usuario'!$D$13:$D$53,'Requerimientos del sistema'!$P$10:$P$114)</f>
        <v>0</v>
      </c>
    </row>
    <row r="246" spans="2:12">
      <c r="B246" s="151" t="str">
        <f t="shared" si="6"/>
        <v xml:space="preserve">  </v>
      </c>
      <c r="C246" s="151" t="str">
        <f t="shared" si="7"/>
        <v xml:space="preserve">  </v>
      </c>
      <c r="D246" s="38"/>
      <c r="E246" s="38"/>
      <c r="F246" s="38"/>
      <c r="G246" s="137"/>
      <c r="H246" s="36"/>
      <c r="I246" s="36"/>
      <c r="J246" s="36"/>
      <c r="K246" s="42"/>
      <c r="L246" s="43">
        <f>SUMIF('Requerimientos del sistema'!$D$10:$D$114,'Requerimientos de usuario'!$D$13:$D$53,'Requerimientos del sistema'!$P$10:$P$114)</f>
        <v>0</v>
      </c>
    </row>
    <row r="247" spans="2:12">
      <c r="B247" s="151" t="str">
        <f t="shared" si="6"/>
        <v xml:space="preserve">  </v>
      </c>
      <c r="C247" s="151" t="str">
        <f t="shared" si="7"/>
        <v xml:space="preserve">  </v>
      </c>
      <c r="D247" s="38"/>
      <c r="E247" s="38"/>
      <c r="F247" s="38"/>
      <c r="G247" s="137"/>
      <c r="H247" s="36"/>
      <c r="I247" s="36"/>
      <c r="J247" s="36"/>
      <c r="K247" s="42"/>
      <c r="L247" s="43">
        <f>SUMIF('Requerimientos del sistema'!$D$10:$D$114,'Requerimientos de usuario'!$D$13:$D$53,'Requerimientos del sistema'!$P$10:$P$114)</f>
        <v>0</v>
      </c>
    </row>
    <row r="248" spans="2:12">
      <c r="B248" s="151" t="str">
        <f t="shared" si="6"/>
        <v xml:space="preserve">  </v>
      </c>
      <c r="C248" s="151" t="str">
        <f t="shared" si="7"/>
        <v xml:space="preserve">  </v>
      </c>
      <c r="D248" s="38"/>
      <c r="E248" s="38"/>
      <c r="F248" s="38"/>
      <c r="G248" s="137"/>
      <c r="H248" s="36"/>
      <c r="I248" s="36"/>
      <c r="J248" s="36"/>
      <c r="K248" s="42"/>
      <c r="L248" s="43">
        <f>SUMIF('Requerimientos del sistema'!$D$10:$D$114,'Requerimientos de usuario'!$D$13:$D$53,'Requerimientos del sistema'!$P$10:$P$114)</f>
        <v>0</v>
      </c>
    </row>
    <row r="249" spans="2:12">
      <c r="B249" s="151" t="str">
        <f t="shared" si="6"/>
        <v xml:space="preserve">  </v>
      </c>
      <c r="C249" s="151" t="str">
        <f t="shared" si="7"/>
        <v xml:space="preserve">  </v>
      </c>
      <c r="D249" s="38"/>
      <c r="E249" s="38"/>
      <c r="F249" s="38"/>
      <c r="G249" s="137"/>
      <c r="H249" s="36"/>
      <c r="I249" s="36"/>
      <c r="J249" s="36"/>
      <c r="K249" s="42"/>
      <c r="L249" s="43">
        <f>SUMIF('Requerimientos del sistema'!$D$10:$D$114,'Requerimientos de usuario'!$D$13:$D$53,'Requerimientos del sistema'!$P$10:$P$114)</f>
        <v>0</v>
      </c>
    </row>
    <row r="250" spans="2:12">
      <c r="B250" s="151" t="str">
        <f t="shared" si="6"/>
        <v xml:space="preserve">  </v>
      </c>
      <c r="C250" s="151" t="str">
        <f t="shared" si="7"/>
        <v xml:space="preserve">  </v>
      </c>
      <c r="D250" s="38"/>
      <c r="E250" s="38"/>
      <c r="F250" s="38"/>
      <c r="G250" s="137"/>
      <c r="H250" s="36"/>
      <c r="I250" s="36"/>
      <c r="J250" s="36"/>
      <c r="K250" s="42"/>
      <c r="L250" s="43">
        <f>SUMIF('Requerimientos del sistema'!$D$10:$D$114,'Requerimientos de usuario'!$D$13:$D$53,'Requerimientos del sistema'!$P$10:$P$114)</f>
        <v>0</v>
      </c>
    </row>
    <row r="251" spans="2:12">
      <c r="B251" s="151" t="str">
        <f t="shared" si="6"/>
        <v xml:space="preserve">  </v>
      </c>
      <c r="C251" s="151" t="str">
        <f t="shared" si="7"/>
        <v xml:space="preserve">  </v>
      </c>
      <c r="D251" s="38"/>
      <c r="E251" s="38"/>
      <c r="F251" s="38"/>
      <c r="G251" s="137"/>
      <c r="H251" s="36"/>
      <c r="I251" s="36"/>
      <c r="J251" s="36"/>
      <c r="K251" s="42"/>
      <c r="L251" s="43">
        <f>SUMIF('Requerimientos del sistema'!$D$10:$D$114,'Requerimientos de usuario'!$D$13:$D$53,'Requerimientos del sistema'!$P$10:$P$114)</f>
        <v>0</v>
      </c>
    </row>
    <row r="252" spans="2:12">
      <c r="B252" s="151" t="str">
        <f t="shared" si="6"/>
        <v xml:space="preserve">  </v>
      </c>
      <c r="C252" s="151" t="str">
        <f t="shared" si="7"/>
        <v xml:space="preserve">  </v>
      </c>
      <c r="D252" s="38"/>
      <c r="E252" s="38"/>
      <c r="F252" s="38"/>
      <c r="G252" s="137"/>
      <c r="H252" s="36"/>
      <c r="I252" s="36"/>
      <c r="J252" s="36"/>
      <c r="K252" s="42"/>
      <c r="L252" s="43">
        <f>SUMIF('Requerimientos del sistema'!$D$10:$D$114,'Requerimientos de usuario'!$D$13:$D$53,'Requerimientos del sistema'!$P$10:$P$114)</f>
        <v>0</v>
      </c>
    </row>
    <row r="253" spans="2:12">
      <c r="B253" s="151" t="str">
        <f t="shared" si="6"/>
        <v xml:space="preserve">  </v>
      </c>
      <c r="C253" s="151" t="str">
        <f t="shared" si="7"/>
        <v xml:space="preserve">  </v>
      </c>
      <c r="D253" s="38"/>
      <c r="E253" s="38"/>
      <c r="F253" s="38"/>
      <c r="G253" s="137"/>
      <c r="H253" s="36"/>
      <c r="I253" s="36"/>
      <c r="J253" s="36"/>
      <c r="K253" s="42"/>
      <c r="L253" s="43">
        <f>SUMIF('Requerimientos del sistema'!$D$10:$D$114,'Requerimientos de usuario'!$D$13:$D$53,'Requerimientos del sistema'!$P$10:$P$114)</f>
        <v>0</v>
      </c>
    </row>
    <row r="254" spans="2:12">
      <c r="B254" s="151" t="str">
        <f t="shared" si="6"/>
        <v xml:space="preserve">  </v>
      </c>
      <c r="C254" s="151" t="str">
        <f t="shared" si="7"/>
        <v xml:space="preserve">  </v>
      </c>
      <c r="D254" s="38"/>
      <c r="E254" s="38"/>
      <c r="F254" s="38"/>
      <c r="G254" s="137"/>
      <c r="H254" s="36"/>
      <c r="I254" s="36"/>
      <c r="J254" s="36"/>
      <c r="K254" s="42"/>
      <c r="L254" s="43">
        <f>SUMIF('Requerimientos del sistema'!$D$10:$D$114,'Requerimientos de usuario'!$D$13:$D$53,'Requerimientos del sistema'!$P$10:$P$114)</f>
        <v>0</v>
      </c>
    </row>
    <row r="255" spans="2:12">
      <c r="B255" s="151" t="str">
        <f t="shared" si="6"/>
        <v xml:space="preserve">  </v>
      </c>
      <c r="C255" s="151" t="str">
        <f t="shared" si="7"/>
        <v xml:space="preserve">  </v>
      </c>
      <c r="D255" s="38"/>
      <c r="E255" s="38"/>
      <c r="F255" s="38"/>
      <c r="G255" s="137"/>
      <c r="H255" s="36"/>
      <c r="I255" s="36"/>
      <c r="J255" s="36"/>
      <c r="K255" s="42"/>
      <c r="L255" s="43">
        <f>SUMIF('Requerimientos del sistema'!$D$10:$D$114,'Requerimientos de usuario'!$D$13:$D$53,'Requerimientos del sistema'!$P$10:$P$114)</f>
        <v>0</v>
      </c>
    </row>
    <row r="256" spans="2:12">
      <c r="B256" s="151" t="str">
        <f t="shared" si="6"/>
        <v xml:space="preserve">  </v>
      </c>
      <c r="C256" s="151" t="str">
        <f t="shared" si="7"/>
        <v xml:space="preserve">  </v>
      </c>
      <c r="D256" s="38"/>
      <c r="E256" s="38"/>
      <c r="F256" s="38"/>
      <c r="G256" s="137"/>
      <c r="H256" s="36"/>
      <c r="I256" s="36"/>
      <c r="J256" s="36"/>
      <c r="K256" s="42"/>
      <c r="L256" s="43">
        <f>SUMIF('Requerimientos del sistema'!$D$10:$D$114,'Requerimientos de usuario'!$D$13:$D$53,'Requerimientos del sistema'!$P$10:$P$114)</f>
        <v>0</v>
      </c>
    </row>
    <row r="257" spans="2:12">
      <c r="B257" s="151" t="str">
        <f t="shared" si="6"/>
        <v xml:space="preserve">  </v>
      </c>
      <c r="C257" s="151" t="str">
        <f t="shared" si="7"/>
        <v xml:space="preserve">  </v>
      </c>
      <c r="D257" s="38"/>
      <c r="E257" s="38"/>
      <c r="F257" s="38"/>
      <c r="G257" s="137"/>
      <c r="H257" s="36"/>
      <c r="I257" s="36"/>
      <c r="J257" s="36"/>
      <c r="K257" s="42"/>
      <c r="L257" s="43">
        <f>SUMIF('Requerimientos del sistema'!$D$10:$D$114,'Requerimientos de usuario'!$D$13:$D$53,'Requerimientos del sistema'!$P$10:$P$114)</f>
        <v>0</v>
      </c>
    </row>
    <row r="258" spans="2:12">
      <c r="B258" s="151" t="str">
        <f t="shared" si="6"/>
        <v xml:space="preserve">  </v>
      </c>
      <c r="C258" s="151" t="str">
        <f t="shared" si="7"/>
        <v xml:space="preserve">  </v>
      </c>
      <c r="D258" s="38"/>
      <c r="E258" s="38"/>
      <c r="F258" s="38"/>
      <c r="G258" s="137"/>
      <c r="H258" s="36"/>
      <c r="I258" s="36"/>
      <c r="J258" s="36"/>
      <c r="K258" s="42"/>
      <c r="L258" s="43">
        <f>SUMIF('Requerimientos del sistema'!$D$10:$D$114,'Requerimientos de usuario'!$D$13:$D$53,'Requerimientos del sistema'!$P$10:$P$114)</f>
        <v>0</v>
      </c>
    </row>
    <row r="259" spans="2:12">
      <c r="B259" s="151" t="str">
        <f t="shared" si="6"/>
        <v xml:space="preserve">  </v>
      </c>
      <c r="C259" s="151" t="str">
        <f t="shared" si="7"/>
        <v xml:space="preserve">  </v>
      </c>
      <c r="D259" s="38"/>
      <c r="E259" s="38"/>
      <c r="F259" s="38"/>
      <c r="G259" s="137"/>
      <c r="H259" s="36"/>
      <c r="I259" s="36"/>
      <c r="J259" s="36"/>
      <c r="K259" s="42"/>
      <c r="L259" s="43">
        <f>SUMIF('Requerimientos del sistema'!$D$10:$D$114,'Requerimientos de usuario'!$D$13:$D$53,'Requerimientos del sistema'!$P$10:$P$114)</f>
        <v>0</v>
      </c>
    </row>
    <row r="260" spans="2:12">
      <c r="B260" s="151" t="str">
        <f t="shared" si="6"/>
        <v xml:space="preserve">  </v>
      </c>
      <c r="C260" s="151" t="str">
        <f t="shared" si="7"/>
        <v xml:space="preserve">  </v>
      </c>
      <c r="D260" s="38"/>
      <c r="E260" s="38"/>
      <c r="F260" s="38"/>
      <c r="G260" s="137"/>
      <c r="H260" s="36"/>
      <c r="I260" s="36"/>
      <c r="J260" s="36"/>
      <c r="K260" s="42"/>
      <c r="L260" s="43">
        <f>SUMIF('Requerimientos del sistema'!$D$10:$D$114,'Requerimientos de usuario'!$D$13:$D$53,'Requerimientos del sistema'!$P$10:$P$114)</f>
        <v>0</v>
      </c>
    </row>
    <row r="261" spans="2:12">
      <c r="B261" s="151" t="str">
        <f t="shared" si="6"/>
        <v xml:space="preserve">  </v>
      </c>
      <c r="C261" s="151" t="str">
        <f t="shared" si="7"/>
        <v xml:space="preserve">  </v>
      </c>
      <c r="D261" s="38"/>
      <c r="E261" s="38"/>
      <c r="F261" s="38"/>
      <c r="G261" s="137"/>
      <c r="H261" s="36"/>
      <c r="I261" s="36"/>
      <c r="J261" s="36"/>
      <c r="K261" s="42"/>
      <c r="L261" s="43">
        <f>SUMIF('Requerimientos del sistema'!$D$10:$D$114,'Requerimientos de usuario'!$D$13:$D$53,'Requerimientos del sistema'!$P$10:$P$114)</f>
        <v>0</v>
      </c>
    </row>
    <row r="262" spans="2:12">
      <c r="B262" s="151" t="str">
        <f t="shared" si="6"/>
        <v xml:space="preserve">  </v>
      </c>
      <c r="C262" s="151" t="str">
        <f t="shared" si="7"/>
        <v xml:space="preserve">  </v>
      </c>
      <c r="D262" s="38"/>
      <c r="E262" s="38"/>
      <c r="F262" s="38"/>
      <c r="G262" s="137"/>
      <c r="H262" s="36"/>
      <c r="I262" s="36"/>
      <c r="J262" s="36"/>
      <c r="K262" s="42"/>
      <c r="L262" s="43">
        <f>SUMIF('Requerimientos del sistema'!$D$10:$D$114,'Requerimientos de usuario'!$D$13:$D$53,'Requerimientos del sistema'!$P$10:$P$114)</f>
        <v>0</v>
      </c>
    </row>
    <row r="263" spans="2:12">
      <c r="B263" s="151" t="str">
        <f t="shared" si="6"/>
        <v xml:space="preserve">  </v>
      </c>
      <c r="C263" s="151" t="str">
        <f t="shared" si="7"/>
        <v xml:space="preserve">  </v>
      </c>
      <c r="D263" s="38"/>
      <c r="E263" s="38"/>
      <c r="F263" s="38"/>
      <c r="G263" s="137"/>
      <c r="H263" s="36"/>
      <c r="I263" s="36"/>
      <c r="J263" s="36"/>
      <c r="K263" s="42"/>
      <c r="L263" s="43">
        <f>SUMIF('Requerimientos del sistema'!$D$10:$D$114,'Requerimientos de usuario'!$D$13:$D$53,'Requerimientos del sistema'!$P$10:$P$114)</f>
        <v>0</v>
      </c>
    </row>
    <row r="264" spans="2:12">
      <c r="B264" s="151" t="str">
        <f t="shared" si="6"/>
        <v xml:space="preserve">  </v>
      </c>
      <c r="C264" s="151" t="str">
        <f t="shared" si="7"/>
        <v xml:space="preserve">  </v>
      </c>
      <c r="D264" s="38"/>
      <c r="E264" s="38"/>
      <c r="F264" s="38"/>
      <c r="G264" s="137"/>
      <c r="H264" s="36"/>
      <c r="I264" s="36"/>
      <c r="J264" s="36"/>
      <c r="K264" s="42"/>
      <c r="L264" s="43">
        <f>SUMIF('Requerimientos del sistema'!$D$10:$D$114,'Requerimientos de usuario'!$D$13:$D$53,'Requerimientos del sistema'!$P$10:$P$114)</f>
        <v>0</v>
      </c>
    </row>
    <row r="265" spans="2:12">
      <c r="B265" s="151" t="str">
        <f t="shared" si="6"/>
        <v xml:space="preserve">  </v>
      </c>
      <c r="C265" s="151" t="str">
        <f t="shared" si="7"/>
        <v xml:space="preserve">  </v>
      </c>
      <c r="D265" s="38"/>
      <c r="E265" s="38"/>
      <c r="F265" s="38"/>
      <c r="G265" s="137"/>
      <c r="H265" s="36"/>
      <c r="I265" s="36"/>
      <c r="J265" s="36"/>
      <c r="K265" s="42"/>
      <c r="L265" s="43">
        <f>SUMIF('Requerimientos del sistema'!$D$10:$D$114,'Requerimientos de usuario'!$D$13:$D$53,'Requerimientos del sistema'!$P$10:$P$114)</f>
        <v>0</v>
      </c>
    </row>
    <row r="266" spans="2:12">
      <c r="B266" s="151" t="str">
        <f t="shared" si="6"/>
        <v xml:space="preserve">  </v>
      </c>
      <c r="C266" s="151" t="str">
        <f t="shared" si="7"/>
        <v xml:space="preserve">  </v>
      </c>
      <c r="D266" s="38"/>
      <c r="E266" s="38"/>
      <c r="F266" s="38"/>
      <c r="G266" s="137"/>
      <c r="H266" s="36"/>
      <c r="I266" s="36"/>
      <c r="J266" s="36"/>
      <c r="K266" s="42"/>
      <c r="L266" s="43">
        <f>SUMIF('Requerimientos del sistema'!$D$10:$D$114,'Requerimientos de usuario'!$D$13:$D$53,'Requerimientos del sistema'!$P$10:$P$114)</f>
        <v>0</v>
      </c>
    </row>
    <row r="267" spans="2:12">
      <c r="D267" s="34" t="s">
        <v>91</v>
      </c>
      <c r="E267" s="34" t="s">
        <v>91</v>
      </c>
      <c r="F267" s="34" t="s">
        <v>91</v>
      </c>
      <c r="H267" s="34" t="s">
        <v>91</v>
      </c>
      <c r="I267" s="34" t="s">
        <v>91</v>
      </c>
      <c r="J267" s="34" t="s">
        <v>91</v>
      </c>
    </row>
  </sheetData>
  <sheetProtection formatCells="0" formatColumns="0" formatRows="0"/>
  <mergeCells count="5">
    <mergeCell ref="B2:C4"/>
    <mergeCell ref="D2:K2"/>
    <mergeCell ref="D3:K4"/>
    <mergeCell ref="B8:D8"/>
    <mergeCell ref="B9:D9"/>
  </mergeCells>
  <phoneticPr fontId="3" type="noConversion"/>
  <dataValidations count="7">
    <dataValidation type="list" allowBlank="1" showInputMessage="1" showErrorMessage="1" sqref="G37:G266">
      <formula1>Situación</formula1>
    </dataValidation>
    <dataValidation type="list" allowBlank="1" showInputMessage="1" showErrorMessage="1" sqref="E8">
      <formula1>Líneas</formula1>
    </dataValidation>
    <dataValidation type="list" allowBlank="1" showInputMessage="1" showErrorMessage="1" sqref="E9:E10">
      <formula1>Contacto</formula1>
    </dataValidation>
    <dataValidation type="list" allowBlank="1" showInputMessage="1" showErrorMessage="1" sqref="J13:J266">
      <formula1>Prioridad</formula1>
    </dataValidation>
    <dataValidation type="list" allowBlank="1" showInputMessage="1" showErrorMessage="1" sqref="I13:I266">
      <formula1>Dificultad</formula1>
    </dataValidation>
    <dataValidation type="list" allowBlank="1" showInputMessage="1" showErrorMessage="1" sqref="G13:G36">
      <formula1>Situacion</formula1>
    </dataValidation>
    <dataValidation type="list" allowBlank="1" showInputMessage="1" showErrorMessage="1" sqref="F13:F266">
      <formula1>Aplicaciones</formula1>
    </dataValidation>
  </dataValidations>
  <pageMargins left="0.52" right="0.52" top="1.18" bottom="1" header="0" footer="0"/>
  <pageSetup paperSize="9" scale="20"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2:S1048575"/>
  <sheetViews>
    <sheetView showGridLines="0" tabSelected="1" zoomScale="94" zoomScaleNormal="85" workbookViewId="0">
      <selection activeCell="F11" sqref="F11"/>
    </sheetView>
  </sheetViews>
  <sheetFormatPr baseColWidth="10" defaultColWidth="9.140625" defaultRowHeight="12.75"/>
  <cols>
    <col min="1" max="1" width="4.5703125" customWidth="1"/>
    <col min="2" max="3" width="7.7109375" customWidth="1"/>
    <col min="4" max="5" width="9.85546875" customWidth="1"/>
    <col min="6" max="6" width="63.28515625" customWidth="1"/>
    <col min="7" max="7" width="13.85546875" bestFit="1" customWidth="1"/>
    <col min="8" max="8" width="12.42578125" bestFit="1" customWidth="1"/>
    <col min="9" max="9" width="12.140625" bestFit="1" customWidth="1"/>
    <col min="10" max="10" width="30.85546875" customWidth="1"/>
    <col min="11" max="11" width="13.140625" customWidth="1"/>
    <col min="12" max="12" width="17.7109375" bestFit="1" customWidth="1"/>
    <col min="13" max="13" width="11.28515625" customWidth="1"/>
    <col min="14" max="14" width="13" customWidth="1"/>
    <col min="15" max="15" width="12.140625" customWidth="1"/>
    <col min="16" max="16" width="17.5703125" customWidth="1"/>
    <col min="17" max="17" width="18.140625" customWidth="1"/>
    <col min="18" max="18" width="14.28515625" customWidth="1"/>
    <col min="19" max="19" width="13.7109375" customWidth="1"/>
    <col min="20" max="20" width="18.7109375" customWidth="1"/>
  </cols>
  <sheetData>
    <row r="2" spans="1:19" s="50" customFormat="1" ht="49.5" customHeight="1">
      <c r="A2" s="108"/>
      <c r="B2" s="314"/>
      <c r="C2" s="315"/>
      <c r="D2" s="316"/>
      <c r="E2" s="311" t="s">
        <v>217</v>
      </c>
      <c r="F2" s="311"/>
      <c r="G2" s="311"/>
      <c r="H2" s="311"/>
      <c r="I2" s="311"/>
      <c r="J2" s="311"/>
      <c r="K2" s="311"/>
      <c r="L2" s="311"/>
      <c r="M2" s="311"/>
      <c r="N2" s="311"/>
      <c r="O2" s="311"/>
      <c r="P2" s="311"/>
      <c r="Q2" s="310"/>
      <c r="R2" s="310"/>
      <c r="S2" s="310"/>
    </row>
    <row r="4" spans="1:19" ht="18">
      <c r="B4" s="1" t="s">
        <v>155</v>
      </c>
      <c r="C4" s="1"/>
      <c r="D4" s="1"/>
    </row>
    <row r="5" spans="1:19" ht="18">
      <c r="B5" s="1"/>
      <c r="C5" s="1"/>
      <c r="D5" s="1"/>
      <c r="G5" s="19"/>
    </row>
    <row r="6" spans="1:19">
      <c r="B6" s="309" t="s">
        <v>113</v>
      </c>
      <c r="C6" s="309"/>
      <c r="D6" s="309"/>
      <c r="E6" s="309"/>
      <c r="F6" s="312" t="str">
        <f>IF(NOT(ISBLANK('Requerimientos de usuario'!E8)),'Requerimientos de usuario'!E8," ")</f>
        <v>LP02</v>
      </c>
      <c r="G6" s="313"/>
      <c r="K6" s="17"/>
    </row>
    <row r="7" spans="1:19" s="16" customFormat="1">
      <c r="A7" s="14"/>
      <c r="B7" s="309" t="s">
        <v>114</v>
      </c>
      <c r="C7" s="309"/>
      <c r="D7" s="309"/>
      <c r="E7" s="309"/>
      <c r="F7" s="312" t="str">
        <f>IF(NOT(ISBLANK('Requerimientos de usuario'!E9)),'Requerimientos de usuario'!E9,"  ")</f>
        <v>Luis Marcilla</v>
      </c>
      <c r="G7" s="313"/>
      <c r="K7" s="15"/>
    </row>
    <row r="8" spans="1:19" ht="18">
      <c r="B8" s="1"/>
      <c r="C8" s="1"/>
      <c r="D8" s="1"/>
      <c r="E8" s="1"/>
    </row>
    <row r="9" spans="1:19" s="2" customFormat="1" ht="66.75" customHeight="1">
      <c r="B9" s="30" t="s">
        <v>101</v>
      </c>
      <c r="C9" s="107" t="s">
        <v>215</v>
      </c>
      <c r="D9" s="30" t="s">
        <v>19</v>
      </c>
      <c r="E9" s="30" t="s">
        <v>18</v>
      </c>
      <c r="F9" s="30" t="s">
        <v>120</v>
      </c>
      <c r="G9" s="30" t="s">
        <v>26</v>
      </c>
      <c r="H9" s="30" t="s">
        <v>25</v>
      </c>
      <c r="I9" s="30" t="s">
        <v>23</v>
      </c>
      <c r="J9" s="30" t="s">
        <v>24</v>
      </c>
      <c r="K9" s="30" t="s">
        <v>97</v>
      </c>
      <c r="L9" s="30" t="s">
        <v>27</v>
      </c>
      <c r="M9" s="30" t="s">
        <v>5</v>
      </c>
      <c r="N9" s="30" t="s">
        <v>116</v>
      </c>
      <c r="O9" s="30" t="s">
        <v>17</v>
      </c>
      <c r="P9" s="30" t="s">
        <v>200</v>
      </c>
      <c r="Q9" s="30" t="s">
        <v>121</v>
      </c>
      <c r="R9" s="30" t="s">
        <v>20</v>
      </c>
      <c r="S9" s="30" t="s">
        <v>4</v>
      </c>
    </row>
    <row r="10" spans="1:19" ht="25.5">
      <c r="B10" s="203" t="str">
        <f>IF(NOT(ISBLANK('Requerimientos de usuario'!$B$13)),'Requerimientos de usuario'!$B$13,"  ")</f>
        <v xml:space="preserve">  </v>
      </c>
      <c r="C10" s="203" t="str">
        <f>IF(NOT(ISBLANK('Requerimientos de usuario'!$C$13)),'Requerimientos de usuario'!$C$13,"  ")</f>
        <v xml:space="preserve">  </v>
      </c>
      <c r="D10" s="198" t="s">
        <v>115</v>
      </c>
      <c r="E10" s="198" t="s">
        <v>122</v>
      </c>
      <c r="F10" s="199" t="s">
        <v>444</v>
      </c>
      <c r="G10" s="197" t="s">
        <v>82</v>
      </c>
      <c r="H10" s="197" t="s">
        <v>78</v>
      </c>
      <c r="I10" s="197" t="s">
        <v>123</v>
      </c>
      <c r="J10" s="199" t="s">
        <v>439</v>
      </c>
      <c r="K10" s="197" t="s">
        <v>138</v>
      </c>
      <c r="L10" s="197" t="s">
        <v>74</v>
      </c>
      <c r="M10" s="197" t="s">
        <v>67</v>
      </c>
      <c r="N10" s="200">
        <v>44900</v>
      </c>
      <c r="O10" s="201" t="str">
        <f>IF(OR(L10="",P10=""),"",IF(L10="Programa nuevo",IF(P10&lt;=Tabla!$H$6,"Baja",IF(P10&lt;=Tabla!$H$5,"Media","Alta")),IF(L10="Programa modificado",IF(P10&lt;=Tabla!$H$12,"Baja",IF(P10&lt;=Tabla!$H$11,"Media","Alta")),"Baja")))</f>
        <v/>
      </c>
      <c r="P10" s="197"/>
      <c r="Q10" s="197"/>
      <c r="R10" s="197" t="s">
        <v>88</v>
      </c>
      <c r="S10" s="197">
        <f t="shared" ref="S10:S13" si="0">IF(NOT(ISBLANK(E10)),1,"")</f>
        <v>1</v>
      </c>
    </row>
    <row r="11" spans="1:19" ht="25.5">
      <c r="B11" s="203"/>
      <c r="C11" s="203"/>
      <c r="D11" s="198" t="s">
        <v>115</v>
      </c>
      <c r="E11" s="198" t="s">
        <v>211</v>
      </c>
      <c r="F11" s="199" t="s">
        <v>445</v>
      </c>
      <c r="G11" s="197" t="s">
        <v>82</v>
      </c>
      <c r="H11" s="197" t="s">
        <v>78</v>
      </c>
      <c r="I11" s="197" t="s">
        <v>123</v>
      </c>
      <c r="J11" s="199" t="s">
        <v>439</v>
      </c>
      <c r="K11" s="197" t="s">
        <v>138</v>
      </c>
      <c r="L11" s="197" t="s">
        <v>74</v>
      </c>
      <c r="M11" s="197" t="s">
        <v>67</v>
      </c>
      <c r="N11" s="200">
        <v>44900</v>
      </c>
      <c r="O11" s="201" t="str">
        <f>IF(OR(L11="",P11=""),"",IF(L11="Programa nuevo",IF(P11&lt;=Tabla!$H$6,"Baja",IF(P11&lt;=Tabla!$H$5,"Media","Alta")),IF(L11="Programa modificado",IF(P11&lt;=Tabla!$H$12,"Baja",IF(P11&lt;=Tabla!$H$11,"Media","Alta")),"Baja")))</f>
        <v/>
      </c>
      <c r="P11" s="197"/>
      <c r="Q11" s="197"/>
      <c r="R11" s="197" t="s">
        <v>88</v>
      </c>
      <c r="S11" s="197">
        <f t="shared" si="0"/>
        <v>1</v>
      </c>
    </row>
    <row r="12" spans="1:19" ht="25.5">
      <c r="B12" s="203"/>
      <c r="C12" s="203"/>
      <c r="D12" s="198" t="s">
        <v>115</v>
      </c>
      <c r="E12" s="198" t="s">
        <v>124</v>
      </c>
      <c r="F12" s="199" t="s">
        <v>446</v>
      </c>
      <c r="G12" s="197" t="s">
        <v>82</v>
      </c>
      <c r="H12" s="197" t="s">
        <v>78</v>
      </c>
      <c r="I12" s="197" t="s">
        <v>123</v>
      </c>
      <c r="J12" s="199" t="s">
        <v>439</v>
      </c>
      <c r="K12" s="197" t="s">
        <v>138</v>
      </c>
      <c r="L12" s="197" t="s">
        <v>74</v>
      </c>
      <c r="M12" s="197" t="s">
        <v>67</v>
      </c>
      <c r="N12" s="200">
        <v>44900</v>
      </c>
      <c r="O12" s="201" t="str">
        <f>IF(OR(L12="",P12=""),"",IF(L12="Programa nuevo",IF(P12&lt;=Tabla!$H$6,"Baja",IF(P12&lt;=Tabla!$H$5,"Media","Alta")),IF(L12="Programa modificado",IF(P12&lt;=Tabla!$H$12,"Baja",IF(P12&lt;=Tabla!$H$11,"Media","Alta")),"Baja")))</f>
        <v/>
      </c>
      <c r="P12" s="197"/>
      <c r="Q12" s="197"/>
      <c r="R12" s="197" t="s">
        <v>88</v>
      </c>
      <c r="S12" s="197">
        <f t="shared" si="0"/>
        <v>1</v>
      </c>
    </row>
    <row r="13" spans="1:19" s="161" customFormat="1" ht="25.5">
      <c r="B13" s="203"/>
      <c r="C13" s="203"/>
      <c r="D13" s="198" t="s">
        <v>115</v>
      </c>
      <c r="E13" s="198" t="s">
        <v>427</v>
      </c>
      <c r="F13" s="199" t="s">
        <v>447</v>
      </c>
      <c r="G13" s="197" t="s">
        <v>82</v>
      </c>
      <c r="H13" s="197" t="s">
        <v>78</v>
      </c>
      <c r="I13" s="197" t="s">
        <v>123</v>
      </c>
      <c r="J13" s="199" t="s">
        <v>439</v>
      </c>
      <c r="K13" s="197" t="s">
        <v>138</v>
      </c>
      <c r="L13" s="197" t="s">
        <v>74</v>
      </c>
      <c r="M13" s="197" t="s">
        <v>67</v>
      </c>
      <c r="N13" s="200">
        <v>44900</v>
      </c>
      <c r="O13" s="201" t="str">
        <f>IF(OR(L13="",P13=""),"",IF(L13="Programa nuevo",IF(P13&lt;=Tabla!$H$6,"Baja",IF(P13&lt;=Tabla!$H$5,"Media","Alta")),IF(L13="Programa modificado",IF(P13&lt;=Tabla!$H$12,"Baja",IF(P13&lt;=Tabla!$H$11,"Media","Alta")),"Baja")))</f>
        <v/>
      </c>
      <c r="P13" s="197"/>
      <c r="Q13" s="197"/>
      <c r="R13" s="197" t="s">
        <v>88</v>
      </c>
      <c r="S13" s="197">
        <f t="shared" si="0"/>
        <v>1</v>
      </c>
    </row>
    <row r="14" spans="1:19" s="161" customFormat="1" ht="25.5">
      <c r="B14" s="203"/>
      <c r="C14" s="203"/>
      <c r="D14" s="198" t="s">
        <v>115</v>
      </c>
      <c r="E14" s="198" t="s">
        <v>428</v>
      </c>
      <c r="F14" s="199" t="s">
        <v>448</v>
      </c>
      <c r="G14" s="197" t="s">
        <v>82</v>
      </c>
      <c r="H14" s="197" t="s">
        <v>78</v>
      </c>
      <c r="I14" s="197" t="s">
        <v>123</v>
      </c>
      <c r="J14" s="199" t="s">
        <v>439</v>
      </c>
      <c r="K14" s="197" t="s">
        <v>138</v>
      </c>
      <c r="L14" s="197" t="s">
        <v>74</v>
      </c>
      <c r="M14" s="197" t="s">
        <v>67</v>
      </c>
      <c r="N14" s="200">
        <v>44900</v>
      </c>
      <c r="O14" s="201" t="str">
        <f>IF(OR(L14="",P14=""),"",IF(L14="Programa nuevo",IF(P14&lt;=Tabla!$H$6,"Baja",IF(P14&lt;=Tabla!$H$5,"Media","Alta")),IF(L14="Programa modificado",IF(P14&lt;=Tabla!$H$12,"Baja",IF(P14&lt;=Tabla!$H$11,"Media","Alta")),"Baja")))</f>
        <v/>
      </c>
      <c r="P14" s="197"/>
      <c r="Q14" s="197"/>
      <c r="R14" s="197" t="s">
        <v>88</v>
      </c>
      <c r="S14" s="197">
        <f t="shared" ref="S14" si="1">IF(NOT(ISBLANK(E14)),1,"")</f>
        <v>1</v>
      </c>
    </row>
    <row r="15" spans="1:19">
      <c r="B15" s="203"/>
      <c r="C15" s="203"/>
      <c r="D15" s="198" t="s">
        <v>421</v>
      </c>
      <c r="E15" s="198" t="s">
        <v>122</v>
      </c>
      <c r="F15" s="199" t="s">
        <v>449</v>
      </c>
      <c r="G15" s="197" t="s">
        <v>82</v>
      </c>
      <c r="H15" s="197" t="s">
        <v>78</v>
      </c>
      <c r="I15" s="197" t="s">
        <v>433</v>
      </c>
      <c r="J15" s="199" t="s">
        <v>440</v>
      </c>
      <c r="K15" s="197" t="s">
        <v>138</v>
      </c>
      <c r="L15" s="197" t="s">
        <v>74</v>
      </c>
      <c r="M15" s="197" t="s">
        <v>67</v>
      </c>
      <c r="N15" s="200">
        <v>44900</v>
      </c>
      <c r="O15" s="201" t="str">
        <f>IF(OR(L15="",P15=""),"",IF(L15="Programa nuevo",IF(P15&lt;=Tabla!$H$6,"Baja",IF(P15&lt;=Tabla!$H$5,"Media","Alta")),IF(L15="Programa modificado",IF(P15&lt;=Tabla!$H$12,"Baja",IF(P15&lt;=Tabla!$H$11,"Media","Alta")),"Baja")))</f>
        <v/>
      </c>
      <c r="P15" s="197"/>
      <c r="Q15" s="197"/>
      <c r="R15" s="197" t="s">
        <v>88</v>
      </c>
      <c r="S15" s="197">
        <f t="shared" ref="S15:S33" si="2">IF(NOT(ISBLANK(E15)),1,"")</f>
        <v>1</v>
      </c>
    </row>
    <row r="16" spans="1:19" s="161" customFormat="1">
      <c r="B16" s="203"/>
      <c r="C16" s="203"/>
      <c r="D16" s="198" t="s">
        <v>421</v>
      </c>
      <c r="E16" s="198" t="s">
        <v>211</v>
      </c>
      <c r="F16" s="199" t="s">
        <v>450</v>
      </c>
      <c r="G16" s="197" t="s">
        <v>82</v>
      </c>
      <c r="H16" s="197" t="s">
        <v>78</v>
      </c>
      <c r="I16" s="197" t="s">
        <v>433</v>
      </c>
      <c r="J16" s="199" t="s">
        <v>440</v>
      </c>
      <c r="K16" s="197" t="s">
        <v>138</v>
      </c>
      <c r="L16" s="197" t="s">
        <v>74</v>
      </c>
      <c r="M16" s="197" t="s">
        <v>67</v>
      </c>
      <c r="N16" s="200">
        <v>44900</v>
      </c>
      <c r="O16" s="201" t="str">
        <f>IF(OR(L16="",P16=""),"",IF(L16="Programa nuevo",IF(P16&lt;=Tabla!$H$6,"Baja",IF(P16&lt;=Tabla!$H$5,"Media","Alta")),IF(L16="Programa modificado",IF(P16&lt;=Tabla!$H$12,"Baja",IF(P16&lt;=Tabla!$H$11,"Media","Alta")),"Baja")))</f>
        <v/>
      </c>
      <c r="P16" s="197"/>
      <c r="Q16" s="197"/>
      <c r="R16" s="197" t="s">
        <v>88</v>
      </c>
      <c r="S16" s="197">
        <f t="shared" si="2"/>
        <v>1</v>
      </c>
    </row>
    <row r="17" spans="2:19">
      <c r="B17" s="203"/>
      <c r="C17" s="203"/>
      <c r="D17" s="198" t="s">
        <v>421</v>
      </c>
      <c r="E17" s="198" t="s">
        <v>124</v>
      </c>
      <c r="F17" s="199" t="s">
        <v>451</v>
      </c>
      <c r="G17" s="197" t="s">
        <v>82</v>
      </c>
      <c r="H17" s="197" t="s">
        <v>78</v>
      </c>
      <c r="I17" s="197" t="s">
        <v>433</v>
      </c>
      <c r="J17" s="199" t="s">
        <v>440</v>
      </c>
      <c r="K17" s="197" t="s">
        <v>138</v>
      </c>
      <c r="L17" s="197" t="s">
        <v>74</v>
      </c>
      <c r="M17" s="197" t="s">
        <v>67</v>
      </c>
      <c r="N17" s="200">
        <v>44900</v>
      </c>
      <c r="O17" s="201" t="str">
        <f>IF(OR(L17="",P17=""),"",IF(L17="Programa nuevo",IF(P17&lt;=Tabla!$H$6,"Baja",IF(P17&lt;=Tabla!$H$5,"Media","Alta")),IF(L17="Programa modificado",IF(P17&lt;=Tabla!$H$12,"Baja",IF(P17&lt;=Tabla!$H$11,"Media","Alta")),"Baja")))</f>
        <v/>
      </c>
      <c r="P17" s="197"/>
      <c r="Q17" s="197"/>
      <c r="R17" s="197" t="s">
        <v>88</v>
      </c>
      <c r="S17" s="197">
        <f t="shared" si="2"/>
        <v>1</v>
      </c>
    </row>
    <row r="18" spans="2:19">
      <c r="B18" s="203"/>
      <c r="C18" s="203"/>
      <c r="D18" s="198" t="s">
        <v>421</v>
      </c>
      <c r="E18" s="198" t="s">
        <v>427</v>
      </c>
      <c r="F18" s="199" t="s">
        <v>452</v>
      </c>
      <c r="G18" s="197" t="s">
        <v>82</v>
      </c>
      <c r="H18" s="197" t="s">
        <v>78</v>
      </c>
      <c r="I18" s="197" t="s">
        <v>433</v>
      </c>
      <c r="J18" s="199" t="s">
        <v>440</v>
      </c>
      <c r="K18" s="197" t="s">
        <v>138</v>
      </c>
      <c r="L18" s="197" t="s">
        <v>74</v>
      </c>
      <c r="M18" s="197" t="s">
        <v>67</v>
      </c>
      <c r="N18" s="200">
        <v>44900</v>
      </c>
      <c r="O18" s="201" t="str">
        <f>IF(OR(L18="",P18=""),"",IF(L18="Programa nuevo",IF(P18&lt;=Tabla!$H$6,"Baja",IF(P18&lt;=Tabla!$H$5,"Media","Alta")),IF(L18="Programa modificado",IF(P18&lt;=Tabla!$H$12,"Baja",IF(P18&lt;=Tabla!$H$11,"Media","Alta")),"Baja")))</f>
        <v/>
      </c>
      <c r="P18" s="197"/>
      <c r="Q18" s="197"/>
      <c r="R18" s="197" t="s">
        <v>88</v>
      </c>
      <c r="S18" s="197">
        <f t="shared" si="2"/>
        <v>1</v>
      </c>
    </row>
    <row r="19" spans="2:19">
      <c r="B19" s="203"/>
      <c r="C19" s="203"/>
      <c r="D19" s="198" t="s">
        <v>421</v>
      </c>
      <c r="E19" s="198" t="s">
        <v>428</v>
      </c>
      <c r="F19" s="199" t="s">
        <v>453</v>
      </c>
      <c r="G19" s="197" t="s">
        <v>82</v>
      </c>
      <c r="H19" s="197" t="s">
        <v>78</v>
      </c>
      <c r="I19" s="197" t="s">
        <v>433</v>
      </c>
      <c r="J19" s="199" t="s">
        <v>440</v>
      </c>
      <c r="K19" s="197" t="s">
        <v>138</v>
      </c>
      <c r="L19" s="197" t="s">
        <v>74</v>
      </c>
      <c r="M19" s="197" t="s">
        <v>67</v>
      </c>
      <c r="N19" s="200">
        <v>44900</v>
      </c>
      <c r="O19" s="201" t="str">
        <f>IF(OR(L19="",P19=""),"",IF(L19="Programa nuevo",IF(P19&lt;=Tabla!$H$6,"Baja",IF(P19&lt;=Tabla!$H$5,"Media","Alta")),IF(L19="Programa modificado",IF(P19&lt;=Tabla!$H$12,"Baja",IF(P19&lt;=Tabla!$H$11,"Media","Alta")),"Baja")))</f>
        <v/>
      </c>
      <c r="P19" s="197"/>
      <c r="Q19" s="197"/>
      <c r="R19" s="197" t="s">
        <v>88</v>
      </c>
      <c r="S19" s="197">
        <f t="shared" si="2"/>
        <v>1</v>
      </c>
    </row>
    <row r="20" spans="2:19">
      <c r="B20" s="203"/>
      <c r="C20" s="203"/>
      <c r="D20" s="198" t="s">
        <v>422</v>
      </c>
      <c r="E20" s="198" t="s">
        <v>122</v>
      </c>
      <c r="F20" s="199" t="s">
        <v>454</v>
      </c>
      <c r="G20" s="197" t="s">
        <v>82</v>
      </c>
      <c r="H20" s="197" t="s">
        <v>78</v>
      </c>
      <c r="I20" s="197" t="s">
        <v>434</v>
      </c>
      <c r="J20" s="199" t="s">
        <v>441</v>
      </c>
      <c r="K20" s="197" t="s">
        <v>138</v>
      </c>
      <c r="L20" s="197" t="s">
        <v>74</v>
      </c>
      <c r="M20" s="197" t="s">
        <v>67</v>
      </c>
      <c r="N20" s="200">
        <v>44900</v>
      </c>
      <c r="O20" s="201" t="str">
        <f>IF(OR(L20="",P20=""),"",IF(L20="Programa nuevo",IF(P20&lt;=Tabla!$H$6,"Baja",IF(P20&lt;=Tabla!$H$5,"Media","Alta")),IF(L20="Programa modificado",IF(P20&lt;=Tabla!$H$12,"Baja",IF(P20&lt;=Tabla!$H$11,"Media","Alta")),"Baja")))</f>
        <v/>
      </c>
      <c r="P20" s="197"/>
      <c r="Q20" s="197"/>
      <c r="R20" s="197" t="s">
        <v>88</v>
      </c>
      <c r="S20" s="197">
        <f t="shared" si="2"/>
        <v>1</v>
      </c>
    </row>
    <row r="21" spans="2:19">
      <c r="B21" s="203"/>
      <c r="C21" s="203"/>
      <c r="D21" s="198" t="s">
        <v>422</v>
      </c>
      <c r="E21" s="198" t="s">
        <v>211</v>
      </c>
      <c r="F21" s="199" t="s">
        <v>455</v>
      </c>
      <c r="G21" s="197" t="s">
        <v>82</v>
      </c>
      <c r="H21" s="197" t="s">
        <v>78</v>
      </c>
      <c r="I21" s="197" t="s">
        <v>434</v>
      </c>
      <c r="J21" s="199" t="s">
        <v>441</v>
      </c>
      <c r="K21" s="197" t="s">
        <v>138</v>
      </c>
      <c r="L21" s="197" t="s">
        <v>74</v>
      </c>
      <c r="M21" s="197" t="s">
        <v>67</v>
      </c>
      <c r="N21" s="200">
        <v>44900</v>
      </c>
      <c r="O21" s="201" t="str">
        <f>IF(OR(L21="",P21=""),"",IF(L21="Programa nuevo",IF(P21&lt;=Tabla!$H$6,"Baja",IF(P21&lt;=Tabla!$H$5,"Media","Alta")),IF(L21="Programa modificado",IF(P21&lt;=Tabla!$H$12,"Baja",IF(P21&lt;=Tabla!$H$11,"Media","Alta")),"Baja")))</f>
        <v/>
      </c>
      <c r="P21" s="197"/>
      <c r="Q21" s="197"/>
      <c r="R21" s="197" t="s">
        <v>88</v>
      </c>
      <c r="S21" s="197">
        <f t="shared" si="2"/>
        <v>1</v>
      </c>
    </row>
    <row r="22" spans="2:19">
      <c r="B22" s="203"/>
      <c r="C22" s="203"/>
      <c r="D22" s="198" t="s">
        <v>422</v>
      </c>
      <c r="E22" s="198" t="s">
        <v>124</v>
      </c>
      <c r="F22" s="199" t="s">
        <v>456</v>
      </c>
      <c r="G22" s="197" t="s">
        <v>82</v>
      </c>
      <c r="H22" s="197" t="s">
        <v>78</v>
      </c>
      <c r="I22" s="197" t="s">
        <v>434</v>
      </c>
      <c r="J22" s="199" t="s">
        <v>441</v>
      </c>
      <c r="K22" s="197" t="s">
        <v>138</v>
      </c>
      <c r="L22" s="197" t="s">
        <v>74</v>
      </c>
      <c r="M22" s="197" t="s">
        <v>67</v>
      </c>
      <c r="N22" s="200">
        <v>44900</v>
      </c>
      <c r="O22" s="201" t="str">
        <f>IF(OR(L22="",P22=""),"",IF(L22="Programa nuevo",IF(P22&lt;=Tabla!$H$6,"Baja",IF(P22&lt;=Tabla!$H$5,"Media","Alta")),IF(L22="Programa modificado",IF(P22&lt;=Tabla!$H$12,"Baja",IF(P22&lt;=Tabla!$H$11,"Media","Alta")),"Baja")))</f>
        <v/>
      </c>
      <c r="P22" s="197"/>
      <c r="Q22" s="197"/>
      <c r="R22" s="197" t="s">
        <v>88</v>
      </c>
      <c r="S22" s="197">
        <f t="shared" si="2"/>
        <v>1</v>
      </c>
    </row>
    <row r="23" spans="2:19">
      <c r="B23" s="203"/>
      <c r="C23" s="203"/>
      <c r="D23" s="198" t="s">
        <v>422</v>
      </c>
      <c r="E23" s="198" t="s">
        <v>427</v>
      </c>
      <c r="F23" s="199" t="s">
        <v>457</v>
      </c>
      <c r="G23" s="197" t="s">
        <v>82</v>
      </c>
      <c r="H23" s="197" t="s">
        <v>78</v>
      </c>
      <c r="I23" s="197" t="s">
        <v>434</v>
      </c>
      <c r="J23" s="199" t="s">
        <v>441</v>
      </c>
      <c r="K23" s="197" t="s">
        <v>138</v>
      </c>
      <c r="L23" s="197" t="s">
        <v>74</v>
      </c>
      <c r="M23" s="197" t="s">
        <v>67</v>
      </c>
      <c r="N23" s="200">
        <v>44900</v>
      </c>
      <c r="O23" s="201" t="str">
        <f>IF(OR(L23="",P23=""),"",IF(L23="Programa nuevo",IF(P23&lt;=Tabla!$H$6,"Baja",IF(P23&lt;=Tabla!$H$5,"Media","Alta")),IF(L23="Programa modificado",IF(P23&lt;=Tabla!$H$12,"Baja",IF(P23&lt;=Tabla!$H$11,"Media","Alta")),"Baja")))</f>
        <v/>
      </c>
      <c r="P23" s="197"/>
      <c r="Q23" s="197"/>
      <c r="R23" s="197" t="s">
        <v>88</v>
      </c>
      <c r="S23" s="197">
        <f t="shared" si="2"/>
        <v>1</v>
      </c>
    </row>
    <row r="24" spans="2:19">
      <c r="B24" s="203"/>
      <c r="C24" s="203"/>
      <c r="D24" s="198" t="s">
        <v>422</v>
      </c>
      <c r="E24" s="198" t="s">
        <v>428</v>
      </c>
      <c r="F24" s="199" t="s">
        <v>458</v>
      </c>
      <c r="G24" s="197" t="s">
        <v>82</v>
      </c>
      <c r="H24" s="197" t="s">
        <v>78</v>
      </c>
      <c r="I24" s="197" t="s">
        <v>434</v>
      </c>
      <c r="J24" s="199" t="s">
        <v>441</v>
      </c>
      <c r="K24" s="197" t="s">
        <v>138</v>
      </c>
      <c r="L24" s="197" t="s">
        <v>74</v>
      </c>
      <c r="M24" s="197" t="s">
        <v>67</v>
      </c>
      <c r="N24" s="200">
        <v>44900</v>
      </c>
      <c r="O24" s="201" t="str">
        <f>IF(OR(L24="",P24=""),"",IF(L24="Programa nuevo",IF(P24&lt;=Tabla!$H$6,"Baja",IF(P24&lt;=Tabla!$H$5,"Media","Alta")),IF(L24="Programa modificado",IF(P24&lt;=Tabla!$H$12,"Baja",IF(P24&lt;=Tabla!$H$11,"Media","Alta")),"Baja")))</f>
        <v/>
      </c>
      <c r="P24" s="197"/>
      <c r="Q24" s="197"/>
      <c r="R24" s="197" t="s">
        <v>88</v>
      </c>
      <c r="S24" s="197">
        <f t="shared" si="2"/>
        <v>1</v>
      </c>
    </row>
    <row r="25" spans="2:19">
      <c r="B25" s="203"/>
      <c r="C25" s="203"/>
      <c r="D25" s="198" t="s">
        <v>422</v>
      </c>
      <c r="E25" s="198" t="s">
        <v>429</v>
      </c>
      <c r="F25" s="199" t="s">
        <v>459</v>
      </c>
      <c r="G25" s="197" t="s">
        <v>82</v>
      </c>
      <c r="H25" s="197" t="s">
        <v>78</v>
      </c>
      <c r="I25" s="197" t="s">
        <v>434</v>
      </c>
      <c r="J25" s="199" t="s">
        <v>441</v>
      </c>
      <c r="K25" s="197" t="s">
        <v>138</v>
      </c>
      <c r="L25" s="197" t="s">
        <v>74</v>
      </c>
      <c r="M25" s="197" t="s">
        <v>67</v>
      </c>
      <c r="N25" s="200">
        <v>44900</v>
      </c>
      <c r="O25" s="201" t="str">
        <f>IF(OR(L25="",P25=""),"",IF(L25="Programa nuevo",IF(P25&lt;=Tabla!$H$6,"Baja",IF(P25&lt;=Tabla!$H$5,"Media","Alta")),IF(L25="Programa modificado",IF(P25&lt;=Tabla!$H$12,"Baja",IF(P25&lt;=Tabla!$H$11,"Media","Alta")),"Baja")))</f>
        <v/>
      </c>
      <c r="P25" s="197"/>
      <c r="Q25" s="197"/>
      <c r="R25" s="197" t="s">
        <v>88</v>
      </c>
      <c r="S25" s="197">
        <f t="shared" si="2"/>
        <v>1</v>
      </c>
    </row>
    <row r="26" spans="2:19">
      <c r="B26" s="203"/>
      <c r="C26" s="203"/>
      <c r="D26" s="198" t="s">
        <v>422</v>
      </c>
      <c r="E26" s="198" t="s">
        <v>430</v>
      </c>
      <c r="F26" s="199" t="s">
        <v>460</v>
      </c>
      <c r="G26" s="197" t="s">
        <v>82</v>
      </c>
      <c r="H26" s="197" t="s">
        <v>78</v>
      </c>
      <c r="I26" s="197" t="s">
        <v>434</v>
      </c>
      <c r="J26" s="199" t="s">
        <v>441</v>
      </c>
      <c r="K26" s="197" t="s">
        <v>138</v>
      </c>
      <c r="L26" s="197" t="s">
        <v>74</v>
      </c>
      <c r="M26" s="197" t="s">
        <v>67</v>
      </c>
      <c r="N26" s="200">
        <v>44900</v>
      </c>
      <c r="O26" s="201" t="str">
        <f>IF(OR(L26="",P26=""),"",IF(L26="Programa nuevo",IF(P26&lt;=Tabla!$H$6,"Baja",IF(P26&lt;=Tabla!$H$5,"Media","Alta")),IF(L26="Programa modificado",IF(P26&lt;=Tabla!$H$12,"Baja",IF(P26&lt;=Tabla!$H$11,"Media","Alta")),"Baja")))</f>
        <v/>
      </c>
      <c r="P26" s="197"/>
      <c r="Q26" s="197"/>
      <c r="R26" s="197" t="s">
        <v>88</v>
      </c>
      <c r="S26" s="197">
        <f t="shared" si="2"/>
        <v>1</v>
      </c>
    </row>
    <row r="27" spans="2:19">
      <c r="B27" s="203"/>
      <c r="C27" s="203"/>
      <c r="D27" s="198" t="s">
        <v>431</v>
      </c>
      <c r="E27" s="198" t="s">
        <v>122</v>
      </c>
      <c r="F27" s="199" t="s">
        <v>461</v>
      </c>
      <c r="G27" s="197" t="s">
        <v>82</v>
      </c>
      <c r="H27" s="197" t="s">
        <v>78</v>
      </c>
      <c r="I27" s="197" t="s">
        <v>435</v>
      </c>
      <c r="J27" s="199" t="s">
        <v>442</v>
      </c>
      <c r="K27" s="197" t="s">
        <v>138</v>
      </c>
      <c r="L27" s="197" t="s">
        <v>74</v>
      </c>
      <c r="M27" s="197" t="s">
        <v>67</v>
      </c>
      <c r="N27" s="200">
        <v>44900</v>
      </c>
      <c r="O27" s="201" t="str">
        <f>IF(OR(L27="",P27=""),"",IF(L27="Programa nuevo",IF(P27&lt;=Tabla!$H$6,"Baja",IF(P27&lt;=Tabla!$H$5,"Media","Alta")),IF(L27="Programa modificado",IF(P27&lt;=Tabla!$H$12,"Baja",IF(P27&lt;=Tabla!$H$11,"Media","Alta")),"Baja")))</f>
        <v/>
      </c>
      <c r="P27" s="197"/>
      <c r="Q27" s="197"/>
      <c r="R27" s="197" t="s">
        <v>88</v>
      </c>
      <c r="S27" s="197">
        <f t="shared" si="2"/>
        <v>1</v>
      </c>
    </row>
    <row r="28" spans="2:19">
      <c r="B28" s="203"/>
      <c r="C28" s="203"/>
      <c r="D28" s="198" t="s">
        <v>431</v>
      </c>
      <c r="E28" s="198" t="s">
        <v>211</v>
      </c>
      <c r="F28" s="199" t="s">
        <v>462</v>
      </c>
      <c r="G28" s="197" t="s">
        <v>82</v>
      </c>
      <c r="H28" s="197" t="s">
        <v>78</v>
      </c>
      <c r="I28" s="197" t="s">
        <v>435</v>
      </c>
      <c r="J28" s="199" t="s">
        <v>442</v>
      </c>
      <c r="K28" s="197" t="s">
        <v>138</v>
      </c>
      <c r="L28" s="197" t="s">
        <v>74</v>
      </c>
      <c r="M28" s="197" t="s">
        <v>67</v>
      </c>
      <c r="N28" s="200">
        <v>44900</v>
      </c>
      <c r="O28" s="201" t="str">
        <f>IF(OR(L28="",P28=""),"",IF(L28="Programa nuevo",IF(P28&lt;=Tabla!$H$6,"Baja",IF(P28&lt;=Tabla!$H$5,"Media","Alta")),IF(L28="Programa modificado",IF(P28&lt;=Tabla!$H$12,"Baja",IF(P28&lt;=Tabla!$H$11,"Media","Alta")),"Baja")))</f>
        <v/>
      </c>
      <c r="P28" s="197"/>
      <c r="Q28" s="197"/>
      <c r="R28" s="197" t="s">
        <v>88</v>
      </c>
      <c r="S28" s="197">
        <f t="shared" si="2"/>
        <v>1</v>
      </c>
    </row>
    <row r="29" spans="2:19">
      <c r="B29" s="203"/>
      <c r="C29" s="203"/>
      <c r="D29" s="198" t="s">
        <v>431</v>
      </c>
      <c r="E29" s="198" t="s">
        <v>124</v>
      </c>
      <c r="F29" s="199" t="s">
        <v>463</v>
      </c>
      <c r="G29" s="197" t="s">
        <v>82</v>
      </c>
      <c r="H29" s="197" t="s">
        <v>78</v>
      </c>
      <c r="I29" s="197" t="s">
        <v>435</v>
      </c>
      <c r="J29" s="199" t="s">
        <v>442</v>
      </c>
      <c r="K29" s="197" t="s">
        <v>138</v>
      </c>
      <c r="L29" s="197" t="s">
        <v>74</v>
      </c>
      <c r="M29" s="197" t="s">
        <v>67</v>
      </c>
      <c r="N29" s="200">
        <v>44900</v>
      </c>
      <c r="O29" s="201" t="str">
        <f>IF(OR(L29="",P29=""),"",IF(L29="Programa nuevo",IF(P29&lt;=Tabla!$H$6,"Baja",IF(P29&lt;=Tabla!$H$5,"Media","Alta")),IF(L29="Programa modificado",IF(P29&lt;=Tabla!$H$12,"Baja",IF(P29&lt;=Tabla!$H$11,"Media","Alta")),"Baja")))</f>
        <v/>
      </c>
      <c r="P29" s="197"/>
      <c r="Q29" s="197"/>
      <c r="R29" s="197" t="s">
        <v>88</v>
      </c>
      <c r="S29" s="197">
        <f t="shared" si="2"/>
        <v>1</v>
      </c>
    </row>
    <row r="30" spans="2:19">
      <c r="B30" s="203"/>
      <c r="C30" s="203"/>
      <c r="D30" s="198" t="s">
        <v>436</v>
      </c>
      <c r="E30" s="198" t="s">
        <v>122</v>
      </c>
      <c r="F30" s="199" t="s">
        <v>464</v>
      </c>
      <c r="G30" s="197" t="s">
        <v>82</v>
      </c>
      <c r="H30" s="197" t="s">
        <v>78</v>
      </c>
      <c r="I30" s="197" t="s">
        <v>435</v>
      </c>
      <c r="J30" s="199" t="s">
        <v>443</v>
      </c>
      <c r="K30" s="197" t="s">
        <v>138</v>
      </c>
      <c r="L30" s="197" t="s">
        <v>74</v>
      </c>
      <c r="M30" s="197" t="s">
        <v>67</v>
      </c>
      <c r="N30" s="200">
        <v>44900</v>
      </c>
      <c r="O30" s="201" t="str">
        <f>IF(OR(L30="",P30=""),"",IF(L30="Programa nuevo",IF(P30&lt;=Tabla!$H$6,"Baja",IF(P30&lt;=Tabla!$H$5,"Media","Alta")),IF(L30="Programa modificado",IF(P30&lt;=Tabla!$H$12,"Baja",IF(P30&lt;=Tabla!$H$11,"Media","Alta")),"Baja")))</f>
        <v/>
      </c>
      <c r="P30" s="197"/>
      <c r="Q30" s="197"/>
      <c r="R30" s="197" t="s">
        <v>88</v>
      </c>
      <c r="S30" s="197">
        <f t="shared" si="2"/>
        <v>1</v>
      </c>
    </row>
    <row r="31" spans="2:19">
      <c r="B31" s="203"/>
      <c r="C31" s="203"/>
      <c r="D31" s="198" t="s">
        <v>436</v>
      </c>
      <c r="E31" s="198" t="s">
        <v>211</v>
      </c>
      <c r="F31" s="199" t="s">
        <v>465</v>
      </c>
      <c r="G31" s="197" t="s">
        <v>82</v>
      </c>
      <c r="H31" s="197" t="s">
        <v>78</v>
      </c>
      <c r="I31" s="197" t="s">
        <v>435</v>
      </c>
      <c r="J31" s="199" t="s">
        <v>443</v>
      </c>
      <c r="K31" s="197" t="s">
        <v>138</v>
      </c>
      <c r="L31" s="197" t="s">
        <v>74</v>
      </c>
      <c r="M31" s="197" t="s">
        <v>67</v>
      </c>
      <c r="N31" s="200">
        <v>44900</v>
      </c>
      <c r="O31" s="201" t="str">
        <f>IF(OR(L31="",P31=""),"",IF(L31="Programa nuevo",IF(P31&lt;=Tabla!$H$6,"Baja",IF(P31&lt;=Tabla!$H$5,"Media","Alta")),IF(L31="Programa modificado",IF(P31&lt;=Tabla!$H$12,"Baja",IF(P31&lt;=Tabla!$H$11,"Media","Alta")),"Baja")))</f>
        <v/>
      </c>
      <c r="P31" s="197"/>
      <c r="Q31" s="197"/>
      <c r="R31" s="197" t="s">
        <v>88</v>
      </c>
      <c r="S31" s="197">
        <f t="shared" si="2"/>
        <v>1</v>
      </c>
    </row>
    <row r="32" spans="2:19">
      <c r="B32" s="203"/>
      <c r="C32" s="203"/>
      <c r="D32" s="198" t="s">
        <v>436</v>
      </c>
      <c r="E32" s="198" t="s">
        <v>124</v>
      </c>
      <c r="F32" s="199" t="s">
        <v>466</v>
      </c>
      <c r="G32" s="197" t="s">
        <v>82</v>
      </c>
      <c r="H32" s="197" t="s">
        <v>78</v>
      </c>
      <c r="I32" s="197" t="s">
        <v>435</v>
      </c>
      <c r="J32" s="199" t="s">
        <v>443</v>
      </c>
      <c r="K32" s="197" t="s">
        <v>138</v>
      </c>
      <c r="L32" s="197" t="s">
        <v>74</v>
      </c>
      <c r="M32" s="197" t="s">
        <v>67</v>
      </c>
      <c r="N32" s="200">
        <v>44900</v>
      </c>
      <c r="O32" s="201" t="str">
        <f>IF(OR(L32="",P32=""),"",IF(L32="Programa nuevo",IF(P32&lt;=Tabla!$H$6,"Baja",IF(P32&lt;=Tabla!$H$5,"Media","Alta")),IF(L32="Programa modificado",IF(P32&lt;=Tabla!$H$12,"Baja",IF(P32&lt;=Tabla!$H$11,"Media","Alta")),"Baja")))</f>
        <v/>
      </c>
      <c r="P32" s="197"/>
      <c r="Q32" s="197"/>
      <c r="R32" s="197" t="s">
        <v>88</v>
      </c>
      <c r="S32" s="197">
        <f t="shared" si="2"/>
        <v>1</v>
      </c>
    </row>
    <row r="33" spans="2:19">
      <c r="B33" s="203"/>
      <c r="C33" s="203"/>
      <c r="D33" s="198" t="s">
        <v>436</v>
      </c>
      <c r="E33" s="198" t="s">
        <v>428</v>
      </c>
      <c r="F33" s="199" t="s">
        <v>432</v>
      </c>
      <c r="G33" s="197" t="s">
        <v>93</v>
      </c>
      <c r="H33" s="197" t="s">
        <v>78</v>
      </c>
      <c r="I33" s="197" t="s">
        <v>435</v>
      </c>
      <c r="J33" s="199" t="s">
        <v>443</v>
      </c>
      <c r="K33" s="197" t="s">
        <v>138</v>
      </c>
      <c r="L33" s="197" t="s">
        <v>74</v>
      </c>
      <c r="M33" s="197" t="s">
        <v>67</v>
      </c>
      <c r="N33" s="200">
        <v>44900</v>
      </c>
      <c r="O33" s="201" t="str">
        <f>IF(OR(L33="",P33=""),"",IF(L33="Programa nuevo",IF(P33&lt;=Tabla!$H$6,"Baja",IF(P33&lt;=Tabla!$H$5,"Media","Alta")),IF(L33="Programa modificado",IF(P33&lt;=Tabla!$H$12,"Baja",IF(P33&lt;=Tabla!$H$11,"Media","Alta")),"Baja")))</f>
        <v/>
      </c>
      <c r="P33" s="197"/>
      <c r="Q33" s="197"/>
      <c r="R33" s="197" t="s">
        <v>88</v>
      </c>
      <c r="S33" s="197">
        <f t="shared" si="2"/>
        <v>1</v>
      </c>
    </row>
    <row r="34" spans="2:19">
      <c r="B34" s="203"/>
      <c r="C34" s="203"/>
      <c r="D34" s="198"/>
      <c r="E34" s="198"/>
      <c r="F34" s="199"/>
      <c r="G34" s="197"/>
      <c r="H34" s="197"/>
      <c r="I34" s="197"/>
      <c r="J34" s="199"/>
      <c r="K34" s="197"/>
      <c r="L34" s="197"/>
      <c r="M34" s="197"/>
      <c r="N34" s="200"/>
      <c r="O34" s="201"/>
      <c r="P34" s="197"/>
      <c r="Q34" s="197"/>
      <c r="R34" s="197"/>
      <c r="S34" s="197"/>
    </row>
    <row r="35" spans="2:19">
      <c r="B35" s="203"/>
      <c r="C35" s="203"/>
      <c r="D35" s="198"/>
      <c r="E35" s="198"/>
      <c r="F35" s="199"/>
      <c r="G35" s="197"/>
      <c r="H35" s="197"/>
      <c r="I35" s="197"/>
      <c r="J35" s="199"/>
      <c r="K35" s="197"/>
      <c r="L35" s="197"/>
      <c r="M35" s="197"/>
      <c r="N35" s="200"/>
      <c r="O35" s="201"/>
      <c r="P35" s="197"/>
      <c r="Q35" s="197"/>
      <c r="R35" s="197"/>
      <c r="S35" s="197"/>
    </row>
    <row r="36" spans="2:19">
      <c r="B36" s="203"/>
      <c r="C36" s="203"/>
      <c r="D36" s="198"/>
      <c r="E36" s="198"/>
      <c r="F36" s="199"/>
      <c r="G36" s="197"/>
      <c r="H36" s="197"/>
      <c r="I36" s="197"/>
      <c r="J36" s="199"/>
      <c r="K36" s="197"/>
      <c r="L36" s="197"/>
      <c r="M36" s="197"/>
      <c r="N36" s="200"/>
      <c r="O36" s="201"/>
      <c r="P36" s="197"/>
      <c r="Q36" s="197"/>
      <c r="R36" s="197"/>
      <c r="S36" s="197"/>
    </row>
    <row r="37" spans="2:19">
      <c r="B37" s="203"/>
      <c r="C37" s="203"/>
      <c r="D37" s="198"/>
      <c r="E37" s="198"/>
      <c r="F37" s="199"/>
      <c r="G37" s="197"/>
      <c r="H37" s="197"/>
      <c r="I37" s="197"/>
      <c r="J37" s="199"/>
      <c r="K37" s="197"/>
      <c r="L37" s="197"/>
      <c r="M37" s="197"/>
      <c r="N37" s="200"/>
      <c r="O37" s="201"/>
      <c r="P37" s="197"/>
      <c r="Q37" s="197"/>
      <c r="R37" s="197"/>
      <c r="S37" s="197"/>
    </row>
    <row r="38" spans="2:19" ht="27.75" customHeight="1">
      <c r="B38" s="203"/>
      <c r="C38" s="203"/>
      <c r="D38" s="198"/>
      <c r="E38" s="198"/>
      <c r="F38" s="199"/>
      <c r="G38" s="197"/>
      <c r="H38" s="197"/>
      <c r="I38" s="197"/>
      <c r="J38" s="199"/>
      <c r="K38" s="197"/>
      <c r="L38" s="197"/>
      <c r="M38" s="197"/>
      <c r="N38" s="200"/>
      <c r="O38" s="201"/>
      <c r="P38" s="197"/>
      <c r="Q38" s="197"/>
      <c r="R38" s="197"/>
      <c r="S38" s="197"/>
    </row>
    <row r="39" spans="2:19">
      <c r="B39" s="203"/>
      <c r="C39" s="203"/>
      <c r="D39" s="198"/>
      <c r="E39" s="198"/>
      <c r="F39" s="199"/>
      <c r="G39" s="197"/>
      <c r="H39" s="197"/>
      <c r="I39" s="197"/>
      <c r="J39" s="199"/>
      <c r="K39" s="197"/>
      <c r="L39" s="197"/>
      <c r="M39" s="197"/>
      <c r="N39" s="200"/>
      <c r="O39" s="201"/>
      <c r="P39" s="197"/>
      <c r="Q39" s="197"/>
      <c r="R39" s="197"/>
      <c r="S39" s="197"/>
    </row>
    <row r="40" spans="2:19">
      <c r="B40" s="203"/>
      <c r="C40" s="203"/>
      <c r="D40" s="198"/>
      <c r="E40" s="198"/>
      <c r="F40" s="199"/>
      <c r="G40" s="197"/>
      <c r="H40" s="197"/>
      <c r="I40" s="197"/>
      <c r="J40" s="199"/>
      <c r="K40" s="197"/>
      <c r="L40" s="197"/>
      <c r="M40" s="197"/>
      <c r="N40" s="200"/>
      <c r="O40" s="201"/>
      <c r="P40" s="197"/>
      <c r="Q40" s="197"/>
      <c r="R40" s="197"/>
      <c r="S40" s="197"/>
    </row>
    <row r="41" spans="2:19">
      <c r="B41" s="203"/>
      <c r="C41" s="203"/>
      <c r="D41" s="198"/>
      <c r="E41" s="198"/>
      <c r="F41" s="199"/>
      <c r="G41" s="197"/>
      <c r="H41" s="197"/>
      <c r="I41" s="197"/>
      <c r="J41" s="199"/>
      <c r="K41" s="197"/>
      <c r="L41" s="197"/>
      <c r="M41" s="197"/>
      <c r="N41" s="200"/>
      <c r="O41" s="201"/>
      <c r="P41" s="197"/>
      <c r="Q41" s="197"/>
      <c r="R41" s="197"/>
      <c r="S41" s="197"/>
    </row>
    <row r="42" spans="2:19">
      <c r="B42" s="203"/>
      <c r="C42" s="203"/>
      <c r="D42" s="198"/>
      <c r="E42" s="198"/>
      <c r="F42" s="199"/>
      <c r="G42" s="197"/>
      <c r="H42" s="197"/>
      <c r="I42" s="197"/>
      <c r="J42" s="199"/>
      <c r="K42" s="197"/>
      <c r="L42" s="197"/>
      <c r="M42" s="197"/>
      <c r="N42" s="200"/>
      <c r="O42" s="201"/>
      <c r="P42" s="197"/>
      <c r="Q42" s="197"/>
      <c r="R42" s="197"/>
      <c r="S42" s="197"/>
    </row>
    <row r="43" spans="2:19">
      <c r="B43" s="203"/>
      <c r="C43" s="203"/>
      <c r="D43" s="198"/>
      <c r="E43" s="198"/>
      <c r="F43" s="199"/>
      <c r="G43" s="197"/>
      <c r="H43" s="197"/>
      <c r="I43" s="197"/>
      <c r="J43" s="199"/>
      <c r="K43" s="197"/>
      <c r="L43" s="197"/>
      <c r="M43" s="197"/>
      <c r="N43" s="200"/>
      <c r="O43" s="201"/>
      <c r="P43" s="197"/>
      <c r="Q43" s="197"/>
      <c r="R43" s="197"/>
      <c r="S43" s="197"/>
    </row>
    <row r="44" spans="2:19">
      <c r="B44" s="203"/>
      <c r="C44" s="203"/>
      <c r="D44" s="198"/>
      <c r="E44" s="198"/>
      <c r="F44" s="199"/>
      <c r="G44" s="197"/>
      <c r="H44" s="197"/>
      <c r="I44" s="197"/>
      <c r="J44" s="199"/>
      <c r="K44" s="197"/>
      <c r="L44" s="197"/>
      <c r="M44" s="197"/>
      <c r="N44" s="200"/>
      <c r="O44" s="201"/>
      <c r="P44" s="197"/>
      <c r="Q44" s="197"/>
      <c r="R44" s="197"/>
      <c r="S44" s="197"/>
    </row>
    <row r="45" spans="2:19">
      <c r="B45" s="203"/>
      <c r="C45" s="203"/>
      <c r="D45" s="198"/>
      <c r="E45" s="198"/>
      <c r="F45" s="199"/>
      <c r="G45" s="197"/>
      <c r="H45" s="197"/>
      <c r="I45" s="197"/>
      <c r="J45" s="199"/>
      <c r="K45" s="197"/>
      <c r="L45" s="197"/>
      <c r="M45" s="197"/>
      <c r="N45" s="200"/>
      <c r="O45" s="201"/>
      <c r="P45" s="197"/>
      <c r="Q45" s="197"/>
      <c r="R45" s="197"/>
      <c r="S45" s="197"/>
    </row>
    <row r="46" spans="2:19">
      <c r="B46" s="203"/>
      <c r="C46" s="203"/>
      <c r="D46" s="198"/>
      <c r="E46" s="198"/>
      <c r="F46" s="199"/>
      <c r="G46" s="197"/>
      <c r="H46" s="197"/>
      <c r="I46" s="197"/>
      <c r="J46" s="199"/>
      <c r="K46" s="197"/>
      <c r="L46" s="197"/>
      <c r="M46" s="197"/>
      <c r="N46" s="200"/>
      <c r="O46" s="201"/>
      <c r="P46" s="197"/>
      <c r="Q46" s="197"/>
      <c r="R46" s="197"/>
      <c r="S46" s="197"/>
    </row>
    <row r="47" spans="2:19">
      <c r="B47" s="203"/>
      <c r="C47" s="203"/>
      <c r="D47" s="198"/>
      <c r="E47" s="198"/>
      <c r="F47" s="199"/>
      <c r="G47" s="197"/>
      <c r="H47" s="197"/>
      <c r="I47" s="197"/>
      <c r="J47" s="199"/>
      <c r="K47" s="197"/>
      <c r="L47" s="197"/>
      <c r="M47" s="197"/>
      <c r="N47" s="200"/>
      <c r="O47" s="201"/>
      <c r="P47" s="197"/>
      <c r="Q47" s="197"/>
      <c r="R47" s="197"/>
      <c r="S47" s="197"/>
    </row>
    <row r="48" spans="2:19">
      <c r="B48" s="203"/>
      <c r="C48" s="203"/>
      <c r="D48" s="198"/>
      <c r="E48" s="198"/>
      <c r="F48" s="199"/>
      <c r="G48" s="197"/>
      <c r="H48" s="197"/>
      <c r="I48" s="197"/>
      <c r="J48" s="199"/>
      <c r="K48" s="197"/>
      <c r="L48" s="197"/>
      <c r="M48" s="197"/>
      <c r="N48" s="200"/>
      <c r="O48" s="201"/>
      <c r="P48" s="197"/>
      <c r="Q48" s="197"/>
      <c r="R48" s="197"/>
      <c r="S48" s="197"/>
    </row>
    <row r="49" spans="2:19">
      <c r="B49" s="203"/>
      <c r="C49" s="203"/>
      <c r="D49" s="198"/>
      <c r="E49" s="198"/>
      <c r="F49" s="199"/>
      <c r="G49" s="197"/>
      <c r="H49" s="197"/>
      <c r="I49" s="197"/>
      <c r="J49" s="199"/>
      <c r="K49" s="197"/>
      <c r="L49" s="197"/>
      <c r="M49" s="197"/>
      <c r="N49" s="200"/>
      <c r="O49" s="201"/>
      <c r="P49" s="197"/>
      <c r="Q49" s="197"/>
      <c r="R49" s="197"/>
      <c r="S49" s="197"/>
    </row>
    <row r="50" spans="2:19">
      <c r="B50" s="203"/>
      <c r="C50" s="203"/>
      <c r="D50" s="198"/>
      <c r="E50" s="198"/>
      <c r="F50" s="199"/>
      <c r="G50" s="197"/>
      <c r="H50" s="197"/>
      <c r="I50" s="197"/>
      <c r="J50" s="199"/>
      <c r="K50" s="197"/>
      <c r="L50" s="197"/>
      <c r="M50" s="197"/>
      <c r="N50" s="200"/>
      <c r="O50" s="201"/>
      <c r="P50" s="197"/>
      <c r="Q50" s="197"/>
      <c r="R50" s="197"/>
      <c r="S50" s="197"/>
    </row>
    <row r="51" spans="2:19">
      <c r="B51" s="203"/>
      <c r="C51" s="203"/>
      <c r="D51" s="198"/>
      <c r="E51" s="198"/>
      <c r="F51" s="199"/>
      <c r="G51" s="197"/>
      <c r="H51" s="197"/>
      <c r="I51" s="197"/>
      <c r="J51" s="199"/>
      <c r="K51" s="197"/>
      <c r="L51" s="197"/>
      <c r="M51" s="197"/>
      <c r="N51" s="200"/>
      <c r="O51" s="201"/>
      <c r="P51" s="197"/>
      <c r="Q51" s="197"/>
      <c r="R51" s="197"/>
      <c r="S51" s="197"/>
    </row>
    <row r="52" spans="2:19">
      <c r="B52" s="203"/>
      <c r="C52" s="203"/>
      <c r="D52" s="198"/>
      <c r="E52" s="198"/>
      <c r="F52" s="199"/>
      <c r="G52" s="197"/>
      <c r="H52" s="197"/>
      <c r="I52" s="197"/>
      <c r="J52" s="199"/>
      <c r="K52" s="197"/>
      <c r="L52" s="197"/>
      <c r="M52" s="197"/>
      <c r="N52" s="200"/>
      <c r="O52" s="201"/>
      <c r="P52" s="197"/>
      <c r="Q52" s="197"/>
      <c r="R52" s="197"/>
      <c r="S52" s="197"/>
    </row>
    <row r="53" spans="2:19">
      <c r="B53" s="203"/>
      <c r="C53" s="203"/>
      <c r="D53" s="198"/>
      <c r="E53" s="198"/>
      <c r="F53" s="199"/>
      <c r="G53" s="197"/>
      <c r="H53" s="197"/>
      <c r="I53" s="197"/>
      <c r="J53" s="199"/>
      <c r="K53" s="197"/>
      <c r="L53" s="197"/>
      <c r="M53" s="197"/>
      <c r="N53" s="200"/>
      <c r="O53" s="201"/>
      <c r="P53" s="197"/>
      <c r="Q53" s="197"/>
      <c r="R53" s="197"/>
      <c r="S53" s="197"/>
    </row>
    <row r="54" spans="2:19">
      <c r="B54" s="203"/>
      <c r="C54" s="203"/>
      <c r="D54" s="198"/>
      <c r="E54" s="198"/>
      <c r="F54" s="199"/>
      <c r="G54" s="197"/>
      <c r="H54" s="197"/>
      <c r="I54" s="197"/>
      <c r="J54" s="199"/>
      <c r="K54" s="197"/>
      <c r="L54" s="197"/>
      <c r="M54" s="197"/>
      <c r="N54" s="200"/>
      <c r="O54" s="201"/>
      <c r="P54" s="197"/>
      <c r="Q54" s="197"/>
      <c r="R54" s="197"/>
      <c r="S54" s="197"/>
    </row>
    <row r="55" spans="2:19">
      <c r="B55" s="203"/>
      <c r="C55" s="203"/>
      <c r="D55" s="198"/>
      <c r="E55" s="198"/>
      <c r="F55" s="199"/>
      <c r="G55" s="197"/>
      <c r="H55" s="197"/>
      <c r="I55" s="197"/>
      <c r="J55" s="199"/>
      <c r="K55" s="197"/>
      <c r="L55" s="197"/>
      <c r="M55" s="197"/>
      <c r="N55" s="200"/>
      <c r="O55" s="201"/>
      <c r="P55" s="197"/>
      <c r="Q55" s="197"/>
      <c r="R55" s="197"/>
      <c r="S55" s="197"/>
    </row>
    <row r="56" spans="2:19">
      <c r="B56" s="203"/>
      <c r="C56" s="203"/>
      <c r="D56" s="198"/>
      <c r="E56" s="198"/>
      <c r="F56" s="199"/>
      <c r="G56" s="197"/>
      <c r="H56" s="197"/>
      <c r="I56" s="197"/>
      <c r="J56" s="199"/>
      <c r="K56" s="197"/>
      <c r="L56" s="197"/>
      <c r="M56" s="197"/>
      <c r="N56" s="200"/>
      <c r="O56" s="201"/>
      <c r="P56" s="197"/>
      <c r="Q56" s="197"/>
      <c r="R56" s="197"/>
      <c r="S56" s="197"/>
    </row>
    <row r="57" spans="2:19">
      <c r="B57" s="203"/>
      <c r="C57" s="203"/>
      <c r="D57" s="198"/>
      <c r="E57" s="198"/>
      <c r="F57" s="199"/>
      <c r="G57" s="197"/>
      <c r="H57" s="197"/>
      <c r="I57" s="197"/>
      <c r="J57" s="199"/>
      <c r="K57" s="197"/>
      <c r="L57" s="197"/>
      <c r="M57" s="197"/>
      <c r="N57" s="200"/>
      <c r="O57" s="201"/>
      <c r="P57" s="197"/>
      <c r="Q57" s="197"/>
      <c r="R57" s="197"/>
      <c r="S57" s="197"/>
    </row>
    <row r="58" spans="2:19">
      <c r="B58" s="203"/>
      <c r="C58" s="203"/>
      <c r="D58" s="198"/>
      <c r="E58" s="198"/>
      <c r="F58" s="199"/>
      <c r="G58" s="197"/>
      <c r="H58" s="197"/>
      <c r="I58" s="197"/>
      <c r="J58" s="199"/>
      <c r="K58" s="197"/>
      <c r="L58" s="197"/>
      <c r="M58" s="197"/>
      <c r="N58" s="200"/>
      <c r="O58" s="201"/>
      <c r="P58" s="197"/>
      <c r="Q58" s="197"/>
      <c r="R58" s="197"/>
      <c r="S58" s="197"/>
    </row>
    <row r="59" spans="2:19">
      <c r="B59" s="203"/>
      <c r="C59" s="203"/>
      <c r="D59" s="198"/>
      <c r="E59" s="198"/>
      <c r="F59" s="199"/>
      <c r="G59" s="197"/>
      <c r="H59" s="197"/>
      <c r="I59" s="197"/>
      <c r="J59" s="199"/>
      <c r="K59" s="197"/>
      <c r="L59" s="197"/>
      <c r="M59" s="197"/>
      <c r="N59" s="200"/>
      <c r="O59" s="201"/>
      <c r="P59" s="197"/>
      <c r="Q59" s="197"/>
      <c r="R59" s="197"/>
      <c r="S59" s="197"/>
    </row>
    <row r="60" spans="2:19">
      <c r="B60" s="203"/>
      <c r="C60" s="203"/>
      <c r="D60" s="198"/>
      <c r="E60" s="198"/>
      <c r="F60" s="199"/>
      <c r="G60" s="197"/>
      <c r="H60" s="197"/>
      <c r="I60" s="197"/>
      <c r="J60" s="199"/>
      <c r="K60" s="197"/>
      <c r="L60" s="197"/>
      <c r="M60" s="197"/>
      <c r="N60" s="200"/>
      <c r="O60" s="201"/>
      <c r="P60" s="197"/>
      <c r="Q60" s="197"/>
      <c r="R60" s="197"/>
      <c r="S60" s="197"/>
    </row>
    <row r="61" spans="2:19">
      <c r="B61" s="203"/>
      <c r="C61" s="203"/>
      <c r="D61" s="198"/>
      <c r="E61" s="198"/>
      <c r="F61" s="199"/>
      <c r="G61" s="197"/>
      <c r="H61" s="197"/>
      <c r="I61" s="197"/>
      <c r="J61" s="199"/>
      <c r="K61" s="197"/>
      <c r="L61" s="197"/>
      <c r="M61" s="197"/>
      <c r="N61" s="200"/>
      <c r="O61" s="201"/>
      <c r="P61" s="197"/>
      <c r="Q61" s="197"/>
      <c r="R61" s="197"/>
      <c r="S61" s="197"/>
    </row>
    <row r="62" spans="2:19">
      <c r="B62" s="203"/>
      <c r="C62" s="203"/>
      <c r="D62" s="198"/>
      <c r="E62" s="198"/>
      <c r="F62" s="202"/>
      <c r="G62" s="197"/>
      <c r="H62" s="197"/>
      <c r="I62" s="197"/>
      <c r="J62" s="202"/>
      <c r="K62" s="197"/>
      <c r="L62" s="197"/>
      <c r="M62" s="197"/>
      <c r="N62" s="200"/>
      <c r="O62" s="201"/>
      <c r="P62" s="197"/>
      <c r="Q62" s="197"/>
      <c r="R62" s="197"/>
      <c r="S62" s="197"/>
    </row>
    <row r="63" spans="2:19">
      <c r="B63" s="203"/>
      <c r="C63" s="203"/>
      <c r="D63" s="198"/>
      <c r="E63" s="198"/>
      <c r="F63" s="202"/>
      <c r="G63" s="197"/>
      <c r="H63" s="197"/>
      <c r="I63" s="197"/>
      <c r="J63" s="202"/>
      <c r="K63" s="197"/>
      <c r="L63" s="197"/>
      <c r="M63" s="197"/>
      <c r="N63" s="200"/>
      <c r="O63" s="201"/>
      <c r="P63" s="197"/>
      <c r="Q63" s="197"/>
      <c r="R63" s="197"/>
      <c r="S63" s="197"/>
    </row>
    <row r="64" spans="2:19">
      <c r="B64" s="203"/>
      <c r="C64" s="203"/>
      <c r="D64" s="198"/>
      <c r="E64" s="198"/>
      <c r="F64" s="202"/>
      <c r="G64" s="197"/>
      <c r="H64" s="197"/>
      <c r="I64" s="197"/>
      <c r="J64" s="202"/>
      <c r="K64" s="197"/>
      <c r="L64" s="197"/>
      <c r="M64" s="197"/>
      <c r="N64" s="200"/>
      <c r="O64" s="201"/>
      <c r="P64" s="197"/>
      <c r="Q64" s="197"/>
      <c r="R64" s="197"/>
      <c r="S64" s="197"/>
    </row>
    <row r="65" spans="2:19">
      <c r="B65" s="203"/>
      <c r="C65" s="203"/>
      <c r="D65" s="198"/>
      <c r="E65" s="198"/>
      <c r="F65" s="202"/>
      <c r="G65" s="197"/>
      <c r="H65" s="197"/>
      <c r="I65" s="197"/>
      <c r="J65" s="202"/>
      <c r="K65" s="197"/>
      <c r="L65" s="197"/>
      <c r="M65" s="197"/>
      <c r="N65" s="200"/>
      <c r="O65" s="201"/>
      <c r="P65" s="197"/>
      <c r="Q65" s="197"/>
      <c r="R65" s="197"/>
      <c r="S65" s="197"/>
    </row>
    <row r="66" spans="2:19">
      <c r="B66" s="203"/>
      <c r="C66" s="203"/>
      <c r="D66" s="198"/>
      <c r="E66" s="198"/>
      <c r="F66" s="202"/>
      <c r="G66" s="197"/>
      <c r="H66" s="197"/>
      <c r="I66" s="197"/>
      <c r="J66" s="202"/>
      <c r="K66" s="197"/>
      <c r="L66" s="197"/>
      <c r="M66" s="197"/>
      <c r="N66" s="200"/>
      <c r="O66" s="201"/>
      <c r="P66" s="197"/>
      <c r="Q66" s="197"/>
      <c r="R66" s="197"/>
      <c r="S66" s="197"/>
    </row>
    <row r="67" spans="2:19">
      <c r="B67" s="203"/>
      <c r="C67" s="203"/>
      <c r="D67" s="198"/>
      <c r="E67" s="198"/>
      <c r="F67" s="202"/>
      <c r="G67" s="197"/>
      <c r="H67" s="197"/>
      <c r="I67" s="197"/>
      <c r="J67" s="202"/>
      <c r="K67" s="197"/>
      <c r="L67" s="197"/>
      <c r="M67" s="197"/>
      <c r="N67" s="200"/>
      <c r="O67" s="201"/>
      <c r="P67" s="197"/>
      <c r="Q67" s="197"/>
      <c r="R67" s="197"/>
      <c r="S67" s="197"/>
    </row>
    <row r="68" spans="2:19">
      <c r="B68" s="203"/>
      <c r="C68" s="203"/>
      <c r="D68" s="198"/>
      <c r="E68" s="198"/>
      <c r="F68" s="202"/>
      <c r="G68" s="197"/>
      <c r="H68" s="197"/>
      <c r="I68" s="197"/>
      <c r="J68" s="202"/>
      <c r="K68" s="197"/>
      <c r="L68" s="197"/>
      <c r="M68" s="197"/>
      <c r="N68" s="200"/>
      <c r="O68" s="201"/>
      <c r="P68" s="197"/>
      <c r="Q68" s="197"/>
      <c r="R68" s="197"/>
      <c r="S68" s="197"/>
    </row>
    <row r="69" spans="2:19">
      <c r="B69" s="203"/>
      <c r="C69" s="203"/>
      <c r="D69" s="198"/>
      <c r="E69" s="198"/>
      <c r="F69" s="202"/>
      <c r="G69" s="197"/>
      <c r="H69" s="197"/>
      <c r="I69" s="197"/>
      <c r="J69" s="202"/>
      <c r="K69" s="197"/>
      <c r="L69" s="197"/>
      <c r="M69" s="197"/>
      <c r="N69" s="200"/>
      <c r="O69" s="201"/>
      <c r="P69" s="197"/>
      <c r="Q69" s="197"/>
      <c r="R69" s="197"/>
      <c r="S69" s="197"/>
    </row>
    <row r="70" spans="2:19">
      <c r="B70" s="149"/>
      <c r="C70" s="149"/>
      <c r="D70" s="38"/>
      <c r="E70" s="198"/>
      <c r="F70" s="202"/>
      <c r="G70" s="197"/>
      <c r="H70" s="197"/>
      <c r="I70" s="197"/>
      <c r="J70" s="202"/>
      <c r="K70" s="197"/>
      <c r="L70" s="197"/>
      <c r="M70" s="197"/>
      <c r="N70" s="200"/>
      <c r="O70" s="201"/>
      <c r="P70" s="197"/>
      <c r="Q70" s="197"/>
      <c r="R70" s="197"/>
      <c r="S70" s="197"/>
    </row>
    <row r="71" spans="2:19">
      <c r="B71" s="149"/>
      <c r="C71" s="149"/>
      <c r="D71" s="38"/>
      <c r="E71" s="198"/>
      <c r="F71" s="202"/>
      <c r="G71" s="197"/>
      <c r="H71" s="197"/>
      <c r="I71" s="197"/>
      <c r="J71" s="202"/>
      <c r="K71" s="197"/>
      <c r="L71" s="197"/>
      <c r="M71" s="197"/>
      <c r="N71" s="200"/>
      <c r="O71" s="201"/>
      <c r="P71" s="197"/>
      <c r="Q71" s="197"/>
      <c r="R71" s="197"/>
      <c r="S71" s="197"/>
    </row>
    <row r="72" spans="2:19">
      <c r="B72" s="149"/>
      <c r="C72" s="149"/>
      <c r="D72" s="38"/>
      <c r="E72" s="198"/>
      <c r="F72" s="202"/>
      <c r="G72" s="197"/>
      <c r="H72" s="197"/>
      <c r="I72" s="197"/>
      <c r="J72" s="202"/>
      <c r="K72" s="197"/>
      <c r="L72" s="197"/>
      <c r="M72" s="197"/>
      <c r="N72" s="200"/>
      <c r="O72" s="201"/>
      <c r="P72" s="197"/>
      <c r="Q72" s="197"/>
      <c r="R72" s="197"/>
      <c r="S72" s="197"/>
    </row>
    <row r="73" spans="2:19">
      <c r="B73" s="149"/>
      <c r="C73" s="149"/>
      <c r="D73" s="38"/>
      <c r="E73" s="198"/>
      <c r="F73" s="202"/>
      <c r="G73" s="197"/>
      <c r="H73" s="197"/>
      <c r="I73" s="197"/>
      <c r="J73" s="202"/>
      <c r="K73" s="197"/>
      <c r="L73" s="197"/>
      <c r="M73" s="197"/>
      <c r="N73" s="200"/>
      <c r="O73" s="201"/>
      <c r="P73" s="197"/>
      <c r="Q73" s="197"/>
      <c r="R73" s="197"/>
      <c r="S73" s="197"/>
    </row>
    <row r="74" spans="2:19">
      <c r="B74" s="149"/>
      <c r="C74" s="149"/>
      <c r="D74" s="38"/>
      <c r="E74" s="198"/>
      <c r="F74" s="202"/>
      <c r="G74" s="197"/>
      <c r="H74" s="197"/>
      <c r="I74" s="197"/>
      <c r="J74" s="202"/>
      <c r="K74" s="197"/>
      <c r="L74" s="197"/>
      <c r="M74" s="197"/>
      <c r="N74" s="200"/>
      <c r="O74" s="201"/>
      <c r="P74" s="197"/>
      <c r="Q74" s="197"/>
      <c r="R74" s="197"/>
      <c r="S74" s="197"/>
    </row>
    <row r="75" spans="2:19">
      <c r="B75" s="149"/>
      <c r="C75" s="149"/>
      <c r="D75" s="38"/>
      <c r="E75" s="198"/>
      <c r="F75" s="202"/>
      <c r="G75" s="197"/>
      <c r="H75" s="197"/>
      <c r="I75" s="197"/>
      <c r="J75" s="202"/>
      <c r="K75" s="197"/>
      <c r="L75" s="197"/>
      <c r="M75" s="197"/>
      <c r="N75" s="200"/>
      <c r="O75" s="201"/>
      <c r="P75" s="197"/>
      <c r="Q75" s="197"/>
      <c r="R75" s="197"/>
      <c r="S75" s="197"/>
    </row>
    <row r="76" spans="2:19">
      <c r="B76" s="149"/>
      <c r="C76" s="149"/>
      <c r="D76" s="38"/>
      <c r="E76" s="198"/>
      <c r="F76" s="202"/>
      <c r="G76" s="197"/>
      <c r="H76" s="197"/>
      <c r="I76" s="197"/>
      <c r="J76" s="202"/>
      <c r="K76" s="197"/>
      <c r="L76" s="197"/>
      <c r="M76" s="197"/>
      <c r="N76" s="200"/>
      <c r="O76" s="201"/>
      <c r="P76" s="197"/>
      <c r="Q76" s="197"/>
      <c r="R76" s="197"/>
      <c r="S76" s="197"/>
    </row>
    <row r="77" spans="2:19">
      <c r="B77" s="149"/>
      <c r="C77" s="149"/>
      <c r="D77" s="38"/>
      <c r="E77" s="198"/>
      <c r="F77" s="202"/>
      <c r="G77" s="197"/>
      <c r="H77" s="197"/>
      <c r="I77" s="197"/>
      <c r="J77" s="202"/>
      <c r="K77" s="197"/>
      <c r="L77" s="197"/>
      <c r="M77" s="197"/>
      <c r="N77" s="200"/>
      <c r="O77" s="201"/>
      <c r="P77" s="197"/>
      <c r="Q77" s="197"/>
      <c r="R77" s="197"/>
      <c r="S77" s="197"/>
    </row>
    <row r="78" spans="2:19">
      <c r="B78" s="149"/>
      <c r="C78" s="149"/>
      <c r="D78" s="38"/>
      <c r="E78" s="198"/>
      <c r="F78" s="202"/>
      <c r="G78" s="197"/>
      <c r="H78" s="197"/>
      <c r="I78" s="197"/>
      <c r="J78" s="202"/>
      <c r="K78" s="197"/>
      <c r="L78" s="197"/>
      <c r="M78" s="197"/>
      <c r="N78" s="200"/>
      <c r="O78" s="201"/>
      <c r="P78" s="197"/>
      <c r="Q78" s="197"/>
      <c r="R78" s="197"/>
      <c r="S78" s="197"/>
    </row>
    <row r="79" spans="2:19">
      <c r="B79" s="149"/>
      <c r="C79" s="149"/>
      <c r="D79" s="38"/>
      <c r="E79" s="198"/>
      <c r="F79" s="202"/>
      <c r="G79" s="197"/>
      <c r="H79" s="197"/>
      <c r="I79" s="197"/>
      <c r="J79" s="202"/>
      <c r="K79" s="197"/>
      <c r="L79" s="197"/>
      <c r="M79" s="197"/>
      <c r="N79" s="200"/>
      <c r="O79" s="201"/>
      <c r="P79" s="197"/>
      <c r="Q79" s="197"/>
      <c r="R79" s="197"/>
      <c r="S79" s="197"/>
    </row>
    <row r="80" spans="2:19">
      <c r="B80" s="149"/>
      <c r="C80" s="149"/>
      <c r="D80" s="38"/>
      <c r="E80" s="198"/>
      <c r="F80" s="202"/>
      <c r="G80" s="197"/>
      <c r="H80" s="197"/>
      <c r="I80" s="197"/>
      <c r="J80" s="202"/>
      <c r="K80" s="197"/>
      <c r="L80" s="197"/>
      <c r="M80" s="197"/>
      <c r="N80" s="200"/>
      <c r="O80" s="201"/>
      <c r="P80" s="197"/>
      <c r="Q80" s="197"/>
      <c r="R80" s="197"/>
      <c r="S80" s="197"/>
    </row>
    <row r="81" spans="2:19">
      <c r="B81" s="149"/>
      <c r="C81" s="149"/>
      <c r="D81" s="38"/>
      <c r="E81" s="198"/>
      <c r="F81" s="202"/>
      <c r="G81" s="197"/>
      <c r="H81" s="197"/>
      <c r="I81" s="197"/>
      <c r="J81" s="202"/>
      <c r="K81" s="197"/>
      <c r="L81" s="197"/>
      <c r="M81" s="197"/>
      <c r="N81" s="200"/>
      <c r="O81" s="201"/>
      <c r="P81" s="197"/>
      <c r="Q81" s="197"/>
      <c r="R81" s="197"/>
      <c r="S81" s="197"/>
    </row>
    <row r="82" spans="2:19">
      <c r="B82" s="149"/>
      <c r="C82" s="149"/>
      <c r="D82" s="38"/>
      <c r="E82" s="198"/>
      <c r="F82" s="202"/>
      <c r="G82" s="197"/>
      <c r="H82" s="197"/>
      <c r="I82" s="197"/>
      <c r="J82" s="202"/>
      <c r="K82" s="197"/>
      <c r="L82" s="197"/>
      <c r="M82" s="197"/>
      <c r="N82" s="200"/>
      <c r="O82" s="201"/>
      <c r="P82" s="197"/>
      <c r="Q82" s="197"/>
      <c r="R82" s="197"/>
      <c r="S82" s="197"/>
    </row>
    <row r="83" spans="2:19">
      <c r="B83" s="149"/>
      <c r="C83" s="149"/>
      <c r="D83" s="38"/>
      <c r="E83" s="198"/>
      <c r="F83" s="202"/>
      <c r="G83" s="197"/>
      <c r="H83" s="197"/>
      <c r="I83" s="197"/>
      <c r="J83" s="202"/>
      <c r="K83" s="197"/>
      <c r="L83" s="197"/>
      <c r="M83" s="197"/>
      <c r="N83" s="200"/>
      <c r="O83" s="201"/>
      <c r="P83" s="197"/>
      <c r="Q83" s="197"/>
      <c r="R83" s="197"/>
      <c r="S83" s="197"/>
    </row>
    <row r="84" spans="2:19">
      <c r="B84" s="149"/>
      <c r="C84" s="149"/>
      <c r="D84" s="38"/>
      <c r="E84" s="198"/>
      <c r="F84" s="202"/>
      <c r="G84" s="197"/>
      <c r="H84" s="197"/>
      <c r="I84" s="197"/>
      <c r="J84" s="202"/>
      <c r="K84" s="197"/>
      <c r="L84" s="197"/>
      <c r="M84" s="197"/>
      <c r="N84" s="200"/>
      <c r="O84" s="201"/>
      <c r="P84" s="197"/>
      <c r="Q84" s="197"/>
      <c r="R84" s="197"/>
      <c r="S84" s="197"/>
    </row>
    <row r="85" spans="2:19">
      <c r="B85" s="149"/>
      <c r="C85" s="149"/>
      <c r="D85" s="38"/>
      <c r="E85" s="198"/>
      <c r="F85" s="202"/>
      <c r="G85" s="197"/>
      <c r="H85" s="197"/>
      <c r="I85" s="197"/>
      <c r="J85" s="202"/>
      <c r="K85" s="197"/>
      <c r="L85" s="197"/>
      <c r="M85" s="197"/>
      <c r="N85" s="200"/>
      <c r="O85" s="201"/>
      <c r="P85" s="197"/>
      <c r="Q85" s="197"/>
      <c r="R85" s="197"/>
      <c r="S85" s="197"/>
    </row>
    <row r="86" spans="2:19">
      <c r="B86" s="149"/>
      <c r="C86" s="149"/>
      <c r="D86" s="38"/>
      <c r="E86" s="198"/>
      <c r="F86" s="202"/>
      <c r="G86" s="197"/>
      <c r="H86" s="197"/>
      <c r="I86" s="197"/>
      <c r="J86" s="202"/>
      <c r="K86" s="197"/>
      <c r="L86" s="197"/>
      <c r="M86" s="197"/>
      <c r="N86" s="200"/>
      <c r="O86" s="201"/>
      <c r="P86" s="197"/>
      <c r="Q86" s="197"/>
      <c r="R86" s="197"/>
      <c r="S86" s="197"/>
    </row>
    <row r="87" spans="2:19">
      <c r="B87" s="149"/>
      <c r="C87" s="149"/>
      <c r="D87" s="38"/>
      <c r="E87" s="198"/>
      <c r="F87" s="202"/>
      <c r="G87" s="197"/>
      <c r="H87" s="197"/>
      <c r="I87" s="197"/>
      <c r="J87" s="202"/>
      <c r="K87" s="197"/>
      <c r="L87" s="197"/>
      <c r="M87" s="197"/>
      <c r="N87" s="200"/>
      <c r="O87" s="201"/>
      <c r="P87" s="197"/>
      <c r="Q87" s="197"/>
      <c r="R87" s="197"/>
      <c r="S87" s="197"/>
    </row>
    <row r="88" spans="2:19">
      <c r="B88" s="149"/>
      <c r="C88" s="149"/>
      <c r="D88" s="38"/>
      <c r="E88" s="198"/>
      <c r="F88" s="202"/>
      <c r="G88" s="197"/>
      <c r="H88" s="197"/>
      <c r="I88" s="197"/>
      <c r="J88" s="202"/>
      <c r="K88" s="197"/>
      <c r="L88" s="197"/>
      <c r="M88" s="197"/>
      <c r="N88" s="200"/>
      <c r="O88" s="201"/>
      <c r="P88" s="197"/>
      <c r="Q88" s="197"/>
      <c r="R88" s="197"/>
      <c r="S88" s="197"/>
    </row>
    <row r="89" spans="2:19">
      <c r="B89" s="149"/>
      <c r="C89" s="149"/>
      <c r="D89" s="38"/>
      <c r="E89" s="198"/>
      <c r="F89" s="202"/>
      <c r="G89" s="197"/>
      <c r="H89" s="197"/>
      <c r="I89" s="197"/>
      <c r="J89" s="202"/>
      <c r="K89" s="197"/>
      <c r="L89" s="197"/>
      <c r="M89" s="197"/>
      <c r="N89" s="200"/>
      <c r="O89" s="201"/>
      <c r="P89" s="197"/>
      <c r="Q89" s="197"/>
      <c r="R89" s="197"/>
      <c r="S89" s="197"/>
    </row>
    <row r="90" spans="2:19">
      <c r="B90" s="149"/>
      <c r="C90" s="149"/>
      <c r="D90" s="38"/>
      <c r="E90" s="198"/>
      <c r="F90" s="202"/>
      <c r="G90" s="197"/>
      <c r="H90" s="197"/>
      <c r="I90" s="197"/>
      <c r="J90" s="202"/>
      <c r="K90" s="197"/>
      <c r="L90" s="197"/>
      <c r="M90" s="197"/>
      <c r="N90" s="200"/>
      <c r="O90" s="201"/>
      <c r="P90" s="197"/>
      <c r="Q90" s="197"/>
      <c r="R90" s="197"/>
      <c r="S90" s="197"/>
    </row>
    <row r="91" spans="2:19">
      <c r="B91" s="149"/>
      <c r="C91" s="149"/>
      <c r="D91" s="38"/>
      <c r="E91" s="198"/>
      <c r="F91" s="202"/>
      <c r="G91" s="197"/>
      <c r="H91" s="197"/>
      <c r="I91" s="197"/>
      <c r="J91" s="202"/>
      <c r="K91" s="197"/>
      <c r="L91" s="197"/>
      <c r="M91" s="197"/>
      <c r="N91" s="200"/>
      <c r="O91" s="201"/>
      <c r="P91" s="197"/>
      <c r="Q91" s="197"/>
      <c r="R91" s="197"/>
      <c r="S91" s="197"/>
    </row>
    <row r="92" spans="2:19">
      <c r="B92" s="149"/>
      <c r="C92" s="149"/>
      <c r="D92" s="38"/>
      <c r="E92" s="198"/>
      <c r="F92" s="202"/>
      <c r="G92" s="197"/>
      <c r="H92" s="197"/>
      <c r="I92" s="197"/>
      <c r="J92" s="202"/>
      <c r="K92" s="197"/>
      <c r="L92" s="197"/>
      <c r="M92" s="197"/>
      <c r="N92" s="200"/>
      <c r="O92" s="201"/>
      <c r="P92" s="197"/>
      <c r="Q92" s="197"/>
      <c r="R92" s="197"/>
      <c r="S92" s="197"/>
    </row>
    <row r="93" spans="2:19">
      <c r="B93" s="149"/>
      <c r="C93" s="149"/>
      <c r="D93" s="38"/>
      <c r="E93" s="198"/>
      <c r="F93" s="202"/>
      <c r="G93" s="197"/>
      <c r="H93" s="197"/>
      <c r="I93" s="197"/>
      <c r="J93" s="202"/>
      <c r="K93" s="197"/>
      <c r="L93" s="197"/>
      <c r="M93" s="197"/>
      <c r="N93" s="200"/>
      <c r="O93" s="201"/>
      <c r="P93" s="197"/>
      <c r="Q93" s="197"/>
      <c r="R93" s="197"/>
      <c r="S93" s="197"/>
    </row>
    <row r="94" spans="2:19">
      <c r="B94" s="149"/>
      <c r="C94" s="149"/>
      <c r="D94" s="38"/>
      <c r="E94" s="198"/>
      <c r="F94" s="202"/>
      <c r="G94" s="197"/>
      <c r="H94" s="197"/>
      <c r="I94" s="197"/>
      <c r="J94" s="202"/>
      <c r="K94" s="197"/>
      <c r="L94" s="197"/>
      <c r="M94" s="197"/>
      <c r="N94" s="200"/>
      <c r="O94" s="201"/>
      <c r="P94" s="197"/>
      <c r="Q94" s="197"/>
      <c r="R94" s="197"/>
      <c r="S94" s="197"/>
    </row>
    <row r="95" spans="2:19">
      <c r="B95" s="149"/>
      <c r="C95" s="149"/>
      <c r="D95" s="38"/>
      <c r="E95" s="198"/>
      <c r="F95" s="202"/>
      <c r="G95" s="197"/>
      <c r="H95" s="197"/>
      <c r="I95" s="197"/>
      <c r="J95" s="202"/>
      <c r="K95" s="197"/>
      <c r="L95" s="197"/>
      <c r="M95" s="197"/>
      <c r="N95" s="200"/>
      <c r="O95" s="201"/>
      <c r="P95" s="197"/>
      <c r="Q95" s="197"/>
      <c r="R95" s="197"/>
      <c r="S95" s="197"/>
    </row>
    <row r="96" spans="2:19">
      <c r="B96" s="149"/>
      <c r="C96" s="149"/>
      <c r="D96" s="38"/>
      <c r="E96" s="198"/>
      <c r="F96" s="202"/>
      <c r="G96" s="197"/>
      <c r="H96" s="197"/>
      <c r="I96" s="197"/>
      <c r="J96" s="202"/>
      <c r="K96" s="197"/>
      <c r="L96" s="197"/>
      <c r="M96" s="197"/>
      <c r="N96" s="200"/>
      <c r="O96" s="201"/>
      <c r="P96" s="197"/>
      <c r="Q96" s="197"/>
      <c r="R96" s="197"/>
      <c r="S96" s="197"/>
    </row>
    <row r="97" spans="2:19">
      <c r="B97" s="149"/>
      <c r="C97" s="149"/>
      <c r="D97" s="38"/>
      <c r="E97" s="198"/>
      <c r="F97" s="202"/>
      <c r="G97" s="197"/>
      <c r="H97" s="197"/>
      <c r="I97" s="197"/>
      <c r="J97" s="202"/>
      <c r="K97" s="197"/>
      <c r="L97" s="197"/>
      <c r="M97" s="197"/>
      <c r="N97" s="200"/>
      <c r="O97" s="201"/>
      <c r="P97" s="197"/>
      <c r="Q97" s="197"/>
      <c r="R97" s="197"/>
      <c r="S97" s="197"/>
    </row>
    <row r="98" spans="2:19">
      <c r="B98" s="149"/>
      <c r="C98" s="149"/>
      <c r="D98" s="38"/>
      <c r="E98" s="198"/>
      <c r="F98" s="202"/>
      <c r="G98" s="197"/>
      <c r="H98" s="197"/>
      <c r="I98" s="197"/>
      <c r="J98" s="202"/>
      <c r="K98" s="197"/>
      <c r="L98" s="197"/>
      <c r="M98" s="197"/>
      <c r="N98" s="200"/>
      <c r="O98" s="201"/>
      <c r="P98" s="197"/>
      <c r="Q98" s="197"/>
      <c r="R98" s="197"/>
      <c r="S98" s="197"/>
    </row>
    <row r="99" spans="2:19">
      <c r="B99" s="149"/>
      <c r="C99" s="149"/>
      <c r="D99" s="38"/>
      <c r="E99" s="198"/>
      <c r="F99" s="202"/>
      <c r="G99" s="197"/>
      <c r="H99" s="197"/>
      <c r="I99" s="197"/>
      <c r="J99" s="202"/>
      <c r="K99" s="197"/>
      <c r="L99" s="197"/>
      <c r="M99" s="197"/>
      <c r="N99" s="200"/>
      <c r="O99" s="201"/>
      <c r="P99" s="197"/>
      <c r="Q99" s="197"/>
      <c r="R99" s="197"/>
      <c r="S99" s="197"/>
    </row>
    <row r="100" spans="2:19">
      <c r="B100" s="149"/>
      <c r="C100" s="149"/>
      <c r="D100" s="38"/>
      <c r="E100" s="198"/>
      <c r="F100" s="202"/>
      <c r="G100" s="197"/>
      <c r="H100" s="197"/>
      <c r="I100" s="197"/>
      <c r="J100" s="202"/>
      <c r="K100" s="197"/>
      <c r="L100" s="197"/>
      <c r="M100" s="197"/>
      <c r="N100" s="200"/>
      <c r="O100" s="201"/>
      <c r="P100" s="197"/>
      <c r="Q100" s="197"/>
      <c r="R100" s="197"/>
      <c r="S100" s="197"/>
    </row>
    <row r="101" spans="2:19">
      <c r="B101" s="149"/>
      <c r="C101" s="149"/>
      <c r="D101" s="38"/>
      <c r="E101" s="198"/>
      <c r="F101" s="202"/>
      <c r="G101" s="197"/>
      <c r="H101" s="197"/>
      <c r="I101" s="197"/>
      <c r="J101" s="202"/>
      <c r="K101" s="197"/>
      <c r="L101" s="197"/>
      <c r="M101" s="197"/>
      <c r="N101" s="200"/>
      <c r="O101" s="201"/>
      <c r="P101" s="197"/>
      <c r="Q101" s="197"/>
      <c r="R101" s="197"/>
      <c r="S101" s="197"/>
    </row>
    <row r="102" spans="2:19">
      <c r="B102" s="149"/>
      <c r="C102" s="149"/>
      <c r="D102" s="38"/>
      <c r="E102" s="198"/>
      <c r="F102" s="202"/>
      <c r="G102" s="197"/>
      <c r="H102" s="197"/>
      <c r="I102" s="197"/>
      <c r="J102" s="202"/>
      <c r="K102" s="197"/>
      <c r="L102" s="197"/>
      <c r="M102" s="197"/>
      <c r="N102" s="200"/>
      <c r="O102" s="201"/>
      <c r="P102" s="197"/>
      <c r="Q102" s="197"/>
      <c r="R102" s="197"/>
      <c r="S102" s="197"/>
    </row>
    <row r="103" spans="2:19">
      <c r="B103" s="149"/>
      <c r="C103" s="149"/>
      <c r="D103" s="38"/>
      <c r="E103" s="198"/>
      <c r="F103" s="202"/>
      <c r="G103" s="197"/>
      <c r="H103" s="197"/>
      <c r="I103" s="197"/>
      <c r="J103" s="202"/>
      <c r="K103" s="197"/>
      <c r="L103" s="197"/>
      <c r="M103" s="197"/>
      <c r="N103" s="200"/>
      <c r="O103" s="201"/>
      <c r="P103" s="197"/>
      <c r="Q103" s="197"/>
      <c r="R103" s="197"/>
      <c r="S103" s="197"/>
    </row>
    <row r="104" spans="2:19">
      <c r="B104" s="149"/>
      <c r="C104" s="149"/>
      <c r="D104" s="38"/>
      <c r="E104" s="198"/>
      <c r="F104" s="202"/>
      <c r="G104" s="197"/>
      <c r="H104" s="197"/>
      <c r="I104" s="197"/>
      <c r="J104" s="202"/>
      <c r="K104" s="197"/>
      <c r="L104" s="197"/>
      <c r="M104" s="197"/>
      <c r="N104" s="200"/>
      <c r="O104" s="201"/>
      <c r="P104" s="197"/>
      <c r="Q104" s="197"/>
      <c r="R104" s="197"/>
      <c r="S104" s="197"/>
    </row>
    <row r="105" spans="2:19">
      <c r="B105" s="149"/>
      <c r="C105" s="149"/>
      <c r="D105" s="38"/>
      <c r="E105" s="198"/>
      <c r="F105" s="202"/>
      <c r="G105" s="197"/>
      <c r="H105" s="197"/>
      <c r="I105" s="197"/>
      <c r="J105" s="202"/>
      <c r="K105" s="197"/>
      <c r="L105" s="197"/>
      <c r="M105" s="197"/>
      <c r="N105" s="200"/>
      <c r="O105" s="201"/>
      <c r="P105" s="197"/>
      <c r="Q105" s="197"/>
      <c r="R105" s="197"/>
      <c r="S105" s="197"/>
    </row>
    <row r="106" spans="2:19">
      <c r="B106" s="149"/>
      <c r="C106" s="149"/>
      <c r="D106" s="38"/>
      <c r="E106" s="198"/>
      <c r="F106" s="202"/>
      <c r="G106" s="197"/>
      <c r="H106" s="197"/>
      <c r="I106" s="197"/>
      <c r="J106" s="202"/>
      <c r="K106" s="197"/>
      <c r="L106" s="197"/>
      <c r="M106" s="197"/>
      <c r="N106" s="200"/>
      <c r="O106" s="201"/>
      <c r="P106" s="197"/>
      <c r="Q106" s="197"/>
      <c r="R106" s="197"/>
      <c r="S106" s="197"/>
    </row>
    <row r="107" spans="2:19">
      <c r="B107" s="149"/>
      <c r="C107" s="149"/>
      <c r="D107" s="38"/>
      <c r="E107" s="198"/>
      <c r="F107" s="202"/>
      <c r="G107" s="197"/>
      <c r="H107" s="197"/>
      <c r="I107" s="197"/>
      <c r="J107" s="202"/>
      <c r="K107" s="197"/>
      <c r="L107" s="197"/>
      <c r="M107" s="197"/>
      <c r="N107" s="200"/>
      <c r="O107" s="201"/>
      <c r="P107" s="197"/>
      <c r="Q107" s="197"/>
      <c r="R107" s="197"/>
      <c r="S107" s="197"/>
    </row>
    <row r="108" spans="2:19">
      <c r="B108" s="149"/>
      <c r="C108" s="149"/>
      <c r="D108" s="38"/>
      <c r="E108" s="198"/>
      <c r="F108" s="202"/>
      <c r="G108" s="197"/>
      <c r="H108" s="197"/>
      <c r="I108" s="197"/>
      <c r="J108" s="202"/>
      <c r="K108" s="197"/>
      <c r="L108" s="197"/>
      <c r="M108" s="197"/>
      <c r="N108" s="200"/>
      <c r="O108" s="201"/>
      <c r="P108" s="197"/>
      <c r="Q108" s="197"/>
      <c r="R108" s="197"/>
      <c r="S108" s="197"/>
    </row>
    <row r="109" spans="2:19">
      <c r="B109" s="149"/>
      <c r="C109" s="149"/>
      <c r="D109" s="38"/>
      <c r="E109" s="198"/>
      <c r="F109" s="202"/>
      <c r="G109" s="197"/>
      <c r="H109" s="197"/>
      <c r="I109" s="197"/>
      <c r="J109" s="202"/>
      <c r="K109" s="197"/>
      <c r="L109" s="197"/>
      <c r="M109" s="197"/>
      <c r="N109" s="200"/>
      <c r="O109" s="201"/>
      <c r="P109" s="197"/>
      <c r="Q109" s="197"/>
      <c r="R109" s="197"/>
      <c r="S109" s="197"/>
    </row>
    <row r="110" spans="2:19">
      <c r="B110" s="149"/>
      <c r="C110" s="149"/>
      <c r="D110" s="38"/>
      <c r="E110" s="198"/>
      <c r="F110" s="202"/>
      <c r="G110" s="197"/>
      <c r="H110" s="197"/>
      <c r="I110" s="197"/>
      <c r="J110" s="202"/>
      <c r="K110" s="197"/>
      <c r="L110" s="197"/>
      <c r="M110" s="197"/>
      <c r="N110" s="200"/>
      <c r="O110" s="201"/>
      <c r="P110" s="197"/>
      <c r="Q110" s="197"/>
      <c r="R110" s="197"/>
      <c r="S110" s="197"/>
    </row>
    <row r="111" spans="2:19">
      <c r="B111" s="149"/>
      <c r="C111" s="149"/>
      <c r="D111" s="38"/>
      <c r="E111" s="198"/>
      <c r="F111" s="202"/>
      <c r="G111" s="197"/>
      <c r="H111" s="197"/>
      <c r="I111" s="197"/>
      <c r="J111" s="202"/>
      <c r="K111" s="197"/>
      <c r="L111" s="197"/>
      <c r="M111" s="197"/>
      <c r="N111" s="200"/>
      <c r="O111" s="201"/>
      <c r="P111" s="197"/>
      <c r="Q111" s="197"/>
      <c r="R111" s="197"/>
      <c r="S111" s="197"/>
    </row>
    <row r="112" spans="2:19">
      <c r="B112" s="149"/>
      <c r="C112" s="149"/>
      <c r="D112" s="38"/>
      <c r="E112" s="198"/>
      <c r="F112" s="202"/>
      <c r="G112" s="197"/>
      <c r="H112" s="197"/>
      <c r="I112" s="197"/>
      <c r="J112" s="202"/>
      <c r="K112" s="197"/>
      <c r="L112" s="197"/>
      <c r="M112" s="197"/>
      <c r="N112" s="200"/>
      <c r="O112" s="201"/>
      <c r="P112" s="197"/>
      <c r="Q112" s="197"/>
      <c r="R112" s="197"/>
      <c r="S112" s="197"/>
    </row>
    <row r="113" spans="2:19">
      <c r="B113" s="149"/>
      <c r="C113" s="149"/>
      <c r="D113" s="38"/>
      <c r="E113" s="198"/>
      <c r="F113" s="202"/>
      <c r="G113" s="197"/>
      <c r="H113" s="197"/>
      <c r="I113" s="197"/>
      <c r="J113" s="202"/>
      <c r="K113" s="197"/>
      <c r="L113" s="197"/>
      <c r="M113" s="197"/>
      <c r="N113" s="200"/>
      <c r="O113" s="201"/>
      <c r="P113" s="197"/>
      <c r="Q113" s="197"/>
      <c r="R113" s="197"/>
      <c r="S113" s="197"/>
    </row>
    <row r="114" spans="2:19">
      <c r="B114" s="149"/>
      <c r="C114" s="149"/>
      <c r="D114" s="38"/>
      <c r="E114" s="198"/>
      <c r="F114" s="202"/>
      <c r="G114" s="197"/>
      <c r="H114" s="197"/>
      <c r="I114" s="197"/>
      <c r="J114" s="202"/>
      <c r="K114" s="197"/>
      <c r="L114" s="197"/>
      <c r="M114" s="197"/>
      <c r="N114" s="200"/>
      <c r="O114" s="201"/>
      <c r="P114" s="197"/>
      <c r="Q114" s="197"/>
      <c r="R114" s="197"/>
      <c r="S114" s="197"/>
    </row>
    <row r="115" spans="2:19">
      <c r="B115" s="149"/>
      <c r="C115" s="149"/>
      <c r="D115" s="38"/>
      <c r="E115" s="198"/>
      <c r="F115" s="202"/>
      <c r="G115" s="197"/>
      <c r="H115" s="197"/>
      <c r="I115" s="197"/>
      <c r="J115" s="202"/>
      <c r="K115" s="197"/>
      <c r="L115" s="197"/>
      <c r="M115" s="197"/>
      <c r="N115" s="200"/>
      <c r="O115" s="201"/>
      <c r="P115" s="197"/>
      <c r="Q115" s="197"/>
      <c r="R115" s="197"/>
      <c r="S115" s="197"/>
    </row>
    <row r="116" spans="2:19">
      <c r="B116" s="149"/>
      <c r="C116" s="149"/>
      <c r="D116" s="38"/>
      <c r="E116" s="198"/>
      <c r="F116" s="202"/>
      <c r="G116" s="197"/>
      <c r="H116" s="197"/>
      <c r="I116" s="197"/>
      <c r="J116" s="202"/>
      <c r="K116" s="197"/>
      <c r="L116" s="197"/>
      <c r="M116" s="197"/>
      <c r="N116" s="200"/>
      <c r="O116" s="201"/>
      <c r="P116" s="197"/>
      <c r="Q116" s="197"/>
      <c r="R116" s="197"/>
      <c r="S116" s="197"/>
    </row>
    <row r="117" spans="2:19">
      <c r="B117" s="149"/>
      <c r="C117" s="149"/>
      <c r="D117" s="38"/>
      <c r="E117" s="198"/>
      <c r="F117" s="202"/>
      <c r="G117" s="197"/>
      <c r="H117" s="197"/>
      <c r="I117" s="197"/>
      <c r="J117" s="202"/>
      <c r="K117" s="197"/>
      <c r="L117" s="197"/>
      <c r="M117" s="197"/>
      <c r="N117" s="200"/>
      <c r="O117" s="201"/>
      <c r="P117" s="197"/>
      <c r="Q117" s="197"/>
      <c r="R117" s="197"/>
      <c r="S117" s="197"/>
    </row>
    <row r="118" spans="2:19">
      <c r="B118" s="149"/>
      <c r="C118" s="149"/>
      <c r="D118" s="38"/>
      <c r="E118" s="198"/>
      <c r="F118" s="202"/>
      <c r="G118" s="197"/>
      <c r="H118" s="197"/>
      <c r="I118" s="197"/>
      <c r="J118" s="202"/>
      <c r="K118" s="197"/>
      <c r="L118" s="197"/>
      <c r="M118" s="197"/>
      <c r="N118" s="200"/>
      <c r="O118" s="201"/>
      <c r="P118" s="197"/>
      <c r="Q118" s="197"/>
      <c r="R118" s="197"/>
      <c r="S118" s="197"/>
    </row>
    <row r="119" spans="2:19">
      <c r="B119" s="149"/>
      <c r="C119" s="149"/>
      <c r="D119" s="38"/>
      <c r="E119" s="198"/>
      <c r="F119" s="202"/>
      <c r="G119" s="197"/>
      <c r="H119" s="197"/>
      <c r="I119" s="197"/>
      <c r="J119" s="202"/>
      <c r="K119" s="197"/>
      <c r="L119" s="197"/>
      <c r="M119" s="197"/>
      <c r="N119" s="200"/>
      <c r="O119" s="201"/>
      <c r="P119" s="197"/>
      <c r="Q119" s="197"/>
      <c r="R119" s="197"/>
      <c r="S119" s="197"/>
    </row>
    <row r="120" spans="2:19">
      <c r="B120" s="149"/>
      <c r="C120" s="149"/>
      <c r="D120" s="38"/>
      <c r="E120" s="198"/>
      <c r="F120" s="202"/>
      <c r="G120" s="197"/>
      <c r="H120" s="197"/>
      <c r="I120" s="197"/>
      <c r="J120" s="202"/>
      <c r="K120" s="197"/>
      <c r="L120" s="197"/>
      <c r="M120" s="197"/>
      <c r="N120" s="200"/>
      <c r="O120" s="201"/>
      <c r="P120" s="197"/>
      <c r="Q120" s="197"/>
      <c r="R120" s="197"/>
      <c r="S120" s="197"/>
    </row>
    <row r="121" spans="2:19">
      <c r="B121" s="149"/>
      <c r="C121" s="149"/>
      <c r="D121" s="38"/>
      <c r="E121" s="198"/>
      <c r="F121" s="202"/>
      <c r="G121" s="197"/>
      <c r="H121" s="197"/>
      <c r="I121" s="197"/>
      <c r="J121" s="202"/>
      <c r="K121" s="197"/>
      <c r="L121" s="197"/>
      <c r="M121" s="197"/>
      <c r="N121" s="200"/>
      <c r="O121" s="201"/>
      <c r="P121" s="197"/>
      <c r="Q121" s="197"/>
      <c r="R121" s="197"/>
      <c r="S121" s="197"/>
    </row>
    <row r="122" spans="2:19">
      <c r="B122" s="149"/>
      <c r="C122" s="149"/>
      <c r="D122" s="38"/>
      <c r="E122" s="198"/>
      <c r="F122" s="202"/>
      <c r="G122" s="197"/>
      <c r="H122" s="197"/>
      <c r="I122" s="197"/>
      <c r="J122" s="202"/>
      <c r="K122" s="197"/>
      <c r="L122" s="197"/>
      <c r="M122" s="197"/>
      <c r="N122" s="200"/>
      <c r="O122" s="201"/>
      <c r="P122" s="197"/>
      <c r="Q122" s="197"/>
      <c r="R122" s="197"/>
      <c r="S122" s="197"/>
    </row>
    <row r="123" spans="2:19">
      <c r="B123" s="149"/>
      <c r="C123" s="149"/>
      <c r="D123" s="38"/>
      <c r="E123" s="198"/>
      <c r="F123" s="202"/>
      <c r="G123" s="197"/>
      <c r="H123" s="197"/>
      <c r="I123" s="197"/>
      <c r="J123" s="202"/>
      <c r="K123" s="197"/>
      <c r="L123" s="197"/>
      <c r="M123" s="197"/>
      <c r="N123" s="200"/>
      <c r="O123" s="201"/>
      <c r="P123" s="197"/>
      <c r="Q123" s="197"/>
      <c r="R123" s="197"/>
      <c r="S123" s="197"/>
    </row>
    <row r="124" spans="2:19">
      <c r="B124" s="149"/>
      <c r="C124" s="149"/>
      <c r="D124" s="38"/>
      <c r="E124" s="198"/>
      <c r="F124" s="202"/>
      <c r="G124" s="197"/>
      <c r="H124" s="197"/>
      <c r="I124" s="197"/>
      <c r="J124" s="202"/>
      <c r="K124" s="197"/>
      <c r="L124" s="197"/>
      <c r="M124" s="197"/>
      <c r="N124" s="200"/>
      <c r="O124" s="201"/>
      <c r="P124" s="197"/>
      <c r="Q124" s="197"/>
      <c r="R124" s="197"/>
      <c r="S124" s="197"/>
    </row>
    <row r="125" spans="2:19">
      <c r="B125" s="149"/>
      <c r="C125" s="149"/>
      <c r="D125" s="38"/>
      <c r="E125" s="198"/>
      <c r="F125" s="202"/>
      <c r="G125" s="197"/>
      <c r="H125" s="197"/>
      <c r="I125" s="197"/>
      <c r="J125" s="202"/>
      <c r="K125" s="197"/>
      <c r="L125" s="197"/>
      <c r="M125" s="197"/>
      <c r="N125" s="200"/>
      <c r="O125" s="201"/>
      <c r="P125" s="197"/>
      <c r="Q125" s="197"/>
      <c r="R125" s="197"/>
      <c r="S125" s="197"/>
    </row>
    <row r="126" spans="2:19">
      <c r="B126" s="149"/>
      <c r="C126" s="149"/>
      <c r="D126" s="38"/>
      <c r="E126" s="198"/>
      <c r="F126" s="202"/>
      <c r="G126" s="197"/>
      <c r="H126" s="197"/>
      <c r="I126" s="197"/>
      <c r="J126" s="202"/>
      <c r="K126" s="197"/>
      <c r="L126" s="197"/>
      <c r="M126" s="197"/>
      <c r="N126" s="200"/>
      <c r="O126" s="201"/>
      <c r="P126" s="197"/>
      <c r="Q126" s="197"/>
      <c r="R126" s="197"/>
      <c r="S126" s="197"/>
    </row>
    <row r="127" spans="2:19">
      <c r="B127" s="149"/>
      <c r="C127" s="149"/>
      <c r="D127" s="38"/>
      <c r="E127" s="198"/>
      <c r="F127" s="202"/>
      <c r="G127" s="197"/>
      <c r="H127" s="197"/>
      <c r="I127" s="197"/>
      <c r="J127" s="202"/>
      <c r="K127" s="197"/>
      <c r="L127" s="197"/>
      <c r="M127" s="197"/>
      <c r="N127" s="200"/>
      <c r="O127" s="201"/>
      <c r="P127" s="197"/>
      <c r="Q127" s="197"/>
      <c r="R127" s="197"/>
      <c r="S127" s="197"/>
    </row>
    <row r="128" spans="2:19">
      <c r="B128" s="149"/>
      <c r="C128" s="149"/>
      <c r="D128" s="38"/>
      <c r="E128" s="198"/>
      <c r="F128" s="202"/>
      <c r="G128" s="197"/>
      <c r="H128" s="197"/>
      <c r="I128" s="197"/>
      <c r="J128" s="202"/>
      <c r="K128" s="197"/>
      <c r="L128" s="197"/>
      <c r="M128" s="197"/>
      <c r="N128" s="200"/>
      <c r="O128" s="201"/>
      <c r="P128" s="197"/>
      <c r="Q128" s="197"/>
      <c r="R128" s="197"/>
      <c r="S128" s="197"/>
    </row>
    <row r="129" spans="2:19">
      <c r="B129" s="149"/>
      <c r="C129" s="149"/>
      <c r="D129" s="38"/>
      <c r="E129" s="198"/>
      <c r="F129" s="202"/>
      <c r="G129" s="197"/>
      <c r="H129" s="197"/>
      <c r="I129" s="197"/>
      <c r="J129" s="202"/>
      <c r="K129" s="197"/>
      <c r="L129" s="197"/>
      <c r="M129" s="197"/>
      <c r="N129" s="200"/>
      <c r="O129" s="201"/>
      <c r="P129" s="197"/>
      <c r="Q129" s="197"/>
      <c r="R129" s="197"/>
      <c r="S129" s="197"/>
    </row>
    <row r="130" spans="2:19">
      <c r="B130" s="149"/>
      <c r="C130" s="149"/>
      <c r="D130" s="38"/>
      <c r="E130" s="198"/>
      <c r="F130" s="202"/>
      <c r="G130" s="197"/>
      <c r="H130" s="197"/>
      <c r="I130" s="197"/>
      <c r="J130" s="202"/>
      <c r="K130" s="197"/>
      <c r="L130" s="197"/>
      <c r="M130" s="197"/>
      <c r="N130" s="200"/>
      <c r="O130" s="201"/>
      <c r="P130" s="197"/>
      <c r="Q130" s="197"/>
      <c r="R130" s="197"/>
      <c r="S130" s="197"/>
    </row>
    <row r="131" spans="2:19">
      <c r="B131" s="149"/>
      <c r="C131" s="149"/>
      <c r="D131" s="38"/>
      <c r="E131" s="198"/>
      <c r="F131" s="202"/>
      <c r="G131" s="197"/>
      <c r="H131" s="197"/>
      <c r="I131" s="197"/>
      <c r="J131" s="202"/>
      <c r="K131" s="197"/>
      <c r="L131" s="197"/>
      <c r="M131" s="197"/>
      <c r="N131" s="200"/>
      <c r="O131" s="201"/>
      <c r="P131" s="197"/>
      <c r="Q131" s="197"/>
      <c r="R131" s="197"/>
      <c r="S131" s="197"/>
    </row>
    <row r="132" spans="2:19">
      <c r="B132" s="149"/>
      <c r="C132" s="149"/>
      <c r="D132" s="38"/>
      <c r="E132" s="198"/>
      <c r="F132" s="202"/>
      <c r="G132" s="197"/>
      <c r="H132" s="197"/>
      <c r="I132" s="197"/>
      <c r="J132" s="202"/>
      <c r="K132" s="197"/>
      <c r="L132" s="197"/>
      <c r="M132" s="197"/>
      <c r="N132" s="200"/>
      <c r="O132" s="201"/>
      <c r="P132" s="197"/>
      <c r="Q132" s="197"/>
      <c r="R132" s="197"/>
      <c r="S132" s="197"/>
    </row>
    <row r="133" spans="2:19">
      <c r="B133" s="149"/>
      <c r="C133" s="149"/>
      <c r="D133" s="38"/>
      <c r="E133" s="198"/>
      <c r="F133" s="202"/>
      <c r="G133" s="197"/>
      <c r="H133" s="197"/>
      <c r="I133" s="197"/>
      <c r="J133" s="202"/>
      <c r="K133" s="197"/>
      <c r="L133" s="197"/>
      <c r="M133" s="197"/>
      <c r="N133" s="200"/>
      <c r="O133" s="201"/>
      <c r="P133" s="197"/>
      <c r="Q133" s="197"/>
      <c r="R133" s="197"/>
      <c r="S133" s="197"/>
    </row>
    <row r="134" spans="2:19">
      <c r="B134" s="149"/>
      <c r="C134" s="149"/>
      <c r="D134" s="38"/>
      <c r="E134" s="198"/>
      <c r="F134" s="202"/>
      <c r="G134" s="197"/>
      <c r="H134" s="197"/>
      <c r="I134" s="197"/>
      <c r="J134" s="202"/>
      <c r="K134" s="197"/>
      <c r="L134" s="197"/>
      <c r="M134" s="197"/>
      <c r="N134" s="200"/>
      <c r="O134" s="201"/>
      <c r="P134" s="197"/>
      <c r="Q134" s="197"/>
      <c r="R134" s="197"/>
      <c r="S134" s="197"/>
    </row>
    <row r="135" spans="2:19">
      <c r="B135" s="149"/>
      <c r="C135" s="149"/>
      <c r="D135" s="38"/>
      <c r="E135" s="198"/>
      <c r="F135" s="202"/>
      <c r="G135" s="197"/>
      <c r="H135" s="197"/>
      <c r="I135" s="197"/>
      <c r="J135" s="202"/>
      <c r="K135" s="197"/>
      <c r="L135" s="197"/>
      <c r="M135" s="197"/>
      <c r="N135" s="200"/>
      <c r="O135" s="201"/>
      <c r="P135" s="197"/>
      <c r="Q135" s="197"/>
      <c r="R135" s="197"/>
      <c r="S135" s="197"/>
    </row>
    <row r="136" spans="2:19">
      <c r="B136" s="149"/>
      <c r="C136" s="149"/>
      <c r="D136" s="38"/>
      <c r="E136" s="198"/>
      <c r="F136" s="202"/>
      <c r="G136" s="197"/>
      <c r="H136" s="197"/>
      <c r="I136" s="197"/>
      <c r="J136" s="202"/>
      <c r="K136" s="197"/>
      <c r="L136" s="197"/>
      <c r="M136" s="197"/>
      <c r="N136" s="200"/>
      <c r="O136" s="201"/>
      <c r="P136" s="197"/>
      <c r="Q136" s="197"/>
      <c r="R136" s="197"/>
      <c r="S136" s="197"/>
    </row>
    <row r="137" spans="2:19">
      <c r="B137" s="149"/>
      <c r="C137" s="149"/>
      <c r="D137" s="38"/>
      <c r="E137" s="198"/>
      <c r="F137" s="202"/>
      <c r="G137" s="197"/>
      <c r="H137" s="197"/>
      <c r="I137" s="197"/>
      <c r="J137" s="202"/>
      <c r="K137" s="197"/>
      <c r="L137" s="197"/>
      <c r="M137" s="197"/>
      <c r="N137" s="200"/>
      <c r="O137" s="201"/>
      <c r="P137" s="197"/>
      <c r="Q137" s="197"/>
      <c r="R137" s="197"/>
      <c r="S137" s="197"/>
    </row>
    <row r="138" spans="2:19">
      <c r="B138" s="149"/>
      <c r="C138" s="149"/>
      <c r="D138" s="38"/>
      <c r="E138" s="198"/>
      <c r="F138" s="202"/>
      <c r="G138" s="197"/>
      <c r="H138" s="197"/>
      <c r="I138" s="197"/>
      <c r="J138" s="202"/>
      <c r="K138" s="197"/>
      <c r="L138" s="197"/>
      <c r="M138" s="197"/>
      <c r="N138" s="200"/>
      <c r="O138" s="201"/>
      <c r="P138" s="197"/>
      <c r="Q138" s="197"/>
      <c r="R138" s="197"/>
      <c r="S138" s="197"/>
    </row>
    <row r="139" spans="2:19">
      <c r="B139" s="149"/>
      <c r="C139" s="149"/>
      <c r="D139" s="38"/>
      <c r="E139" s="198"/>
      <c r="F139" s="202"/>
      <c r="G139" s="197"/>
      <c r="H139" s="197"/>
      <c r="I139" s="197"/>
      <c r="J139" s="202"/>
      <c r="K139" s="197"/>
      <c r="L139" s="197"/>
      <c r="M139" s="197"/>
      <c r="N139" s="200"/>
      <c r="O139" s="201"/>
      <c r="P139" s="197"/>
      <c r="Q139" s="197"/>
      <c r="R139" s="197"/>
      <c r="S139" s="197"/>
    </row>
    <row r="140" spans="2:19">
      <c r="B140" s="149"/>
      <c r="C140" s="149"/>
      <c r="D140" s="38"/>
      <c r="E140" s="198"/>
      <c r="F140" s="202"/>
      <c r="G140" s="197"/>
      <c r="H140" s="197"/>
      <c r="I140" s="197"/>
      <c r="J140" s="202"/>
      <c r="K140" s="197"/>
      <c r="L140" s="197"/>
      <c r="M140" s="197"/>
      <c r="N140" s="200"/>
      <c r="O140" s="201"/>
      <c r="P140" s="197"/>
      <c r="Q140" s="197"/>
      <c r="R140" s="197"/>
      <c r="S140" s="197"/>
    </row>
    <row r="141" spans="2:19">
      <c r="B141" s="149"/>
      <c r="C141" s="149"/>
      <c r="D141" s="38"/>
      <c r="E141" s="198"/>
      <c r="F141" s="202"/>
      <c r="G141" s="197"/>
      <c r="H141" s="197"/>
      <c r="I141" s="197"/>
      <c r="J141" s="202"/>
      <c r="K141" s="197"/>
      <c r="L141" s="197"/>
      <c r="M141" s="197"/>
      <c r="N141" s="200"/>
      <c r="O141" s="201"/>
      <c r="P141" s="197"/>
      <c r="Q141" s="197"/>
      <c r="R141" s="197"/>
      <c r="S141" s="197"/>
    </row>
    <row r="142" spans="2:19">
      <c r="B142" s="149"/>
      <c r="C142" s="149"/>
      <c r="D142" s="38"/>
      <c r="E142" s="198"/>
      <c r="F142" s="202"/>
      <c r="G142" s="197"/>
      <c r="H142" s="197"/>
      <c r="I142" s="197"/>
      <c r="J142" s="202"/>
      <c r="K142" s="197"/>
      <c r="L142" s="197"/>
      <c r="M142" s="197"/>
      <c r="N142" s="200"/>
      <c r="O142" s="201"/>
      <c r="P142" s="197"/>
      <c r="Q142" s="197"/>
      <c r="R142" s="197"/>
      <c r="S142" s="197"/>
    </row>
    <row r="143" spans="2:19">
      <c r="B143" s="149"/>
      <c r="C143" s="149"/>
      <c r="D143" s="38"/>
      <c r="E143" s="198"/>
      <c r="F143" s="202"/>
      <c r="G143" s="197"/>
      <c r="H143" s="197"/>
      <c r="I143" s="197"/>
      <c r="J143" s="202"/>
      <c r="K143" s="197"/>
      <c r="L143" s="197"/>
      <c r="M143" s="197"/>
      <c r="N143" s="200"/>
      <c r="O143" s="201"/>
      <c r="P143" s="197"/>
      <c r="Q143" s="197"/>
      <c r="R143" s="197"/>
      <c r="S143" s="197"/>
    </row>
    <row r="144" spans="2:19">
      <c r="B144" s="149"/>
      <c r="C144" s="149"/>
      <c r="D144" s="38"/>
      <c r="E144" s="198"/>
      <c r="F144" s="202"/>
      <c r="G144" s="197"/>
      <c r="H144" s="197"/>
      <c r="I144" s="197"/>
      <c r="J144" s="202"/>
      <c r="K144" s="197"/>
      <c r="L144" s="197"/>
      <c r="M144" s="197"/>
      <c r="N144" s="200"/>
      <c r="O144" s="201"/>
      <c r="P144" s="197"/>
      <c r="Q144" s="197"/>
      <c r="R144" s="197"/>
      <c r="S144" s="197"/>
    </row>
    <row r="145" spans="2:19">
      <c r="B145" s="149"/>
      <c r="C145" s="149"/>
      <c r="D145" s="38"/>
      <c r="E145" s="198"/>
      <c r="F145" s="202"/>
      <c r="G145" s="197"/>
      <c r="H145" s="197"/>
      <c r="I145" s="197"/>
      <c r="J145" s="202"/>
      <c r="K145" s="197"/>
      <c r="L145" s="197"/>
      <c r="M145" s="197"/>
      <c r="N145" s="200"/>
      <c r="O145" s="201"/>
      <c r="P145" s="197"/>
      <c r="Q145" s="197"/>
      <c r="R145" s="197"/>
      <c r="S145" s="197"/>
    </row>
    <row r="146" spans="2:19">
      <c r="B146" s="149"/>
      <c r="C146" s="149"/>
      <c r="D146" s="38"/>
      <c r="E146" s="198"/>
      <c r="F146" s="202"/>
      <c r="G146" s="197"/>
      <c r="H146" s="197"/>
      <c r="I146" s="197"/>
      <c r="J146" s="202"/>
      <c r="K146" s="197"/>
      <c r="L146" s="197"/>
      <c r="M146" s="197"/>
      <c r="N146" s="200"/>
      <c r="O146" s="201"/>
      <c r="P146" s="197"/>
      <c r="Q146" s="197"/>
      <c r="R146" s="197"/>
      <c r="S146" s="197"/>
    </row>
    <row r="147" spans="2:19">
      <c r="B147" s="149"/>
      <c r="C147" s="149"/>
      <c r="D147" s="38"/>
      <c r="E147" s="198"/>
      <c r="F147" s="202"/>
      <c r="G147" s="197"/>
      <c r="H147" s="197"/>
      <c r="I147" s="197"/>
      <c r="J147" s="202"/>
      <c r="K147" s="197"/>
      <c r="L147" s="197"/>
      <c r="M147" s="197"/>
      <c r="N147" s="200"/>
      <c r="O147" s="201"/>
      <c r="P147" s="197"/>
      <c r="Q147" s="197"/>
      <c r="R147" s="197"/>
      <c r="S147" s="197"/>
    </row>
    <row r="148" spans="2:19">
      <c r="B148" s="149"/>
      <c r="C148" s="149"/>
      <c r="D148" s="38"/>
      <c r="E148" s="198"/>
      <c r="F148" s="202"/>
      <c r="G148" s="197"/>
      <c r="H148" s="197"/>
      <c r="I148" s="197"/>
      <c r="J148" s="202"/>
      <c r="K148" s="197"/>
      <c r="L148" s="197"/>
      <c r="M148" s="197"/>
      <c r="N148" s="200"/>
      <c r="O148" s="201"/>
      <c r="P148" s="197"/>
      <c r="Q148" s="197"/>
      <c r="R148" s="197"/>
      <c r="S148" s="197"/>
    </row>
    <row r="149" spans="2:19">
      <c r="B149" s="149"/>
      <c r="C149" s="149"/>
      <c r="D149" s="38"/>
      <c r="E149" s="198"/>
      <c r="F149" s="202"/>
      <c r="G149" s="197"/>
      <c r="H149" s="197"/>
      <c r="I149" s="197"/>
      <c r="J149" s="202"/>
      <c r="K149" s="197"/>
      <c r="L149" s="197"/>
      <c r="M149" s="197"/>
      <c r="N149" s="200"/>
      <c r="O149" s="201"/>
      <c r="P149" s="197"/>
      <c r="Q149" s="197"/>
      <c r="R149" s="197"/>
      <c r="S149" s="197"/>
    </row>
    <row r="150" spans="2:19">
      <c r="B150" s="149"/>
      <c r="C150" s="149"/>
      <c r="D150" s="38"/>
      <c r="E150" s="198"/>
      <c r="F150" s="202"/>
      <c r="G150" s="197"/>
      <c r="H150" s="197"/>
      <c r="I150" s="197"/>
      <c r="J150" s="202"/>
      <c r="K150" s="197"/>
      <c r="L150" s="197"/>
      <c r="M150" s="197"/>
      <c r="N150" s="200"/>
      <c r="O150" s="201"/>
      <c r="P150" s="197"/>
      <c r="Q150" s="197"/>
      <c r="R150" s="197"/>
      <c r="S150" s="197"/>
    </row>
    <row r="151" spans="2:19">
      <c r="B151" s="149"/>
      <c r="C151" s="149"/>
      <c r="D151" s="38"/>
      <c r="E151" s="198"/>
      <c r="F151" s="202"/>
      <c r="G151" s="197"/>
      <c r="H151" s="197"/>
      <c r="I151" s="197"/>
      <c r="J151" s="202"/>
      <c r="K151" s="197"/>
      <c r="L151" s="197"/>
      <c r="M151" s="197"/>
      <c r="N151" s="200"/>
      <c r="O151" s="201"/>
      <c r="P151" s="197"/>
      <c r="Q151" s="197"/>
      <c r="R151" s="197"/>
      <c r="S151" s="197"/>
    </row>
    <row r="152" spans="2:19">
      <c r="B152" s="149"/>
      <c r="C152" s="149"/>
      <c r="D152" s="38"/>
      <c r="E152" s="198"/>
      <c r="F152" s="202"/>
      <c r="G152" s="197"/>
      <c r="H152" s="197"/>
      <c r="I152" s="197"/>
      <c r="J152" s="202"/>
      <c r="K152" s="197"/>
      <c r="L152" s="197"/>
      <c r="M152" s="197"/>
      <c r="N152" s="200"/>
      <c r="O152" s="201"/>
      <c r="P152" s="197"/>
      <c r="Q152" s="197"/>
      <c r="R152" s="197"/>
      <c r="S152" s="197"/>
    </row>
    <row r="153" spans="2:19">
      <c r="B153" s="149"/>
      <c r="C153" s="149"/>
      <c r="D153" s="38"/>
      <c r="E153" s="198"/>
      <c r="F153" s="202"/>
      <c r="G153" s="197"/>
      <c r="H153" s="197"/>
      <c r="I153" s="197"/>
      <c r="J153" s="202"/>
      <c r="K153" s="197"/>
      <c r="L153" s="197"/>
      <c r="M153" s="197"/>
      <c r="N153" s="200"/>
      <c r="O153" s="201"/>
      <c r="P153" s="197"/>
      <c r="Q153" s="197"/>
      <c r="R153" s="197"/>
      <c r="S153" s="197"/>
    </row>
    <row r="154" spans="2:19">
      <c r="B154" s="149"/>
      <c r="C154" s="149"/>
      <c r="D154" s="38"/>
      <c r="E154" s="198"/>
      <c r="F154" s="202"/>
      <c r="G154" s="197"/>
      <c r="H154" s="197"/>
      <c r="I154" s="197"/>
      <c r="J154" s="202"/>
      <c r="K154" s="197"/>
      <c r="L154" s="197"/>
      <c r="M154" s="197"/>
      <c r="N154" s="200"/>
      <c r="O154" s="201"/>
      <c r="P154" s="197"/>
      <c r="Q154" s="197"/>
      <c r="R154" s="197"/>
      <c r="S154" s="197"/>
    </row>
    <row r="155" spans="2:19">
      <c r="B155" s="149"/>
      <c r="C155" s="149"/>
      <c r="D155" s="38"/>
      <c r="E155" s="198"/>
      <c r="F155" s="202"/>
      <c r="G155" s="197"/>
      <c r="H155" s="197"/>
      <c r="I155" s="197"/>
      <c r="J155" s="202"/>
      <c r="K155" s="197"/>
      <c r="L155" s="197"/>
      <c r="M155" s="197"/>
      <c r="N155" s="200"/>
      <c r="O155" s="201"/>
      <c r="P155" s="197"/>
      <c r="Q155" s="197"/>
      <c r="R155" s="197"/>
      <c r="S155" s="197"/>
    </row>
    <row r="156" spans="2:19">
      <c r="B156" s="149"/>
      <c r="C156" s="149"/>
      <c r="D156" s="38"/>
      <c r="E156" s="198"/>
      <c r="F156" s="202"/>
      <c r="G156" s="197"/>
      <c r="H156" s="197"/>
      <c r="I156" s="197"/>
      <c r="J156" s="202"/>
      <c r="K156" s="197"/>
      <c r="L156" s="197"/>
      <c r="M156" s="197"/>
      <c r="N156" s="200"/>
      <c r="O156" s="201"/>
      <c r="P156" s="197"/>
      <c r="Q156" s="197"/>
      <c r="R156" s="197"/>
      <c r="S156" s="197"/>
    </row>
    <row r="157" spans="2:19">
      <c r="B157" s="149"/>
      <c r="C157" s="149"/>
      <c r="D157" s="38"/>
      <c r="E157" s="198"/>
      <c r="F157" s="202"/>
      <c r="G157" s="197"/>
      <c r="H157" s="197"/>
      <c r="I157" s="197"/>
      <c r="J157" s="202"/>
      <c r="K157" s="197"/>
      <c r="L157" s="197"/>
      <c r="M157" s="197"/>
      <c r="N157" s="200"/>
      <c r="O157" s="201"/>
      <c r="P157" s="197"/>
      <c r="Q157" s="197"/>
      <c r="R157" s="197"/>
      <c r="S157" s="197"/>
    </row>
    <row r="158" spans="2:19">
      <c r="B158" s="149"/>
      <c r="C158" s="149"/>
      <c r="D158" s="38"/>
      <c r="E158" s="198"/>
      <c r="F158" s="202"/>
      <c r="G158" s="197"/>
      <c r="H158" s="197"/>
      <c r="I158" s="197"/>
      <c r="J158" s="202"/>
      <c r="K158" s="197"/>
      <c r="L158" s="197"/>
      <c r="M158" s="197"/>
      <c r="N158" s="200"/>
      <c r="O158" s="201"/>
      <c r="P158" s="197"/>
      <c r="Q158" s="197"/>
      <c r="R158" s="197"/>
      <c r="S158" s="197"/>
    </row>
    <row r="159" spans="2:19">
      <c r="B159" s="149"/>
      <c r="C159" s="149"/>
      <c r="D159" s="38"/>
      <c r="E159" s="198"/>
      <c r="F159" s="202"/>
      <c r="G159" s="197"/>
      <c r="H159" s="197"/>
      <c r="I159" s="197"/>
      <c r="J159" s="202"/>
      <c r="K159" s="197"/>
      <c r="L159" s="197"/>
      <c r="M159" s="197"/>
      <c r="N159" s="200"/>
      <c r="O159" s="201"/>
      <c r="P159" s="197"/>
      <c r="Q159" s="197"/>
      <c r="R159" s="197"/>
      <c r="S159" s="197"/>
    </row>
    <row r="160" spans="2:19">
      <c r="B160" s="149"/>
      <c r="C160" s="149"/>
      <c r="D160" s="38"/>
      <c r="E160" s="198"/>
      <c r="F160" s="202"/>
      <c r="G160" s="197"/>
      <c r="H160" s="197"/>
      <c r="I160" s="197"/>
      <c r="J160" s="202"/>
      <c r="K160" s="197"/>
      <c r="L160" s="197"/>
      <c r="M160" s="197"/>
      <c r="N160" s="200"/>
      <c r="O160" s="201"/>
      <c r="P160" s="197"/>
      <c r="Q160" s="197"/>
      <c r="R160" s="197"/>
      <c r="S160" s="197"/>
    </row>
    <row r="161" spans="2:19">
      <c r="B161" s="149"/>
      <c r="C161" s="149"/>
      <c r="D161" s="38"/>
      <c r="E161" s="198"/>
      <c r="F161" s="202"/>
      <c r="G161" s="197"/>
      <c r="H161" s="197"/>
      <c r="I161" s="197"/>
      <c r="J161" s="202"/>
      <c r="K161" s="197"/>
      <c r="L161" s="197"/>
      <c r="M161" s="197"/>
      <c r="N161" s="200"/>
      <c r="O161" s="201"/>
      <c r="P161" s="197"/>
      <c r="Q161" s="197"/>
      <c r="R161" s="197"/>
      <c r="S161" s="197"/>
    </row>
    <row r="162" spans="2:19">
      <c r="B162" s="149"/>
      <c r="C162" s="149"/>
      <c r="D162" s="38"/>
      <c r="E162" s="198"/>
      <c r="F162" s="202"/>
      <c r="G162" s="197"/>
      <c r="H162" s="197"/>
      <c r="I162" s="197"/>
      <c r="J162" s="202"/>
      <c r="K162" s="197"/>
      <c r="L162" s="197"/>
      <c r="M162" s="197"/>
      <c r="N162" s="200"/>
      <c r="O162" s="201"/>
      <c r="P162" s="197"/>
      <c r="Q162" s="197"/>
      <c r="R162" s="197"/>
      <c r="S162" s="197"/>
    </row>
    <row r="163" spans="2:19">
      <c r="B163" s="149"/>
      <c r="C163" s="149"/>
      <c r="D163" s="38"/>
      <c r="E163" s="198"/>
      <c r="F163" s="202"/>
      <c r="G163" s="197"/>
      <c r="H163" s="197"/>
      <c r="I163" s="197"/>
      <c r="J163" s="202"/>
      <c r="K163" s="197"/>
      <c r="L163" s="197"/>
      <c r="M163" s="197"/>
      <c r="N163" s="200"/>
      <c r="O163" s="201"/>
      <c r="P163" s="197"/>
      <c r="Q163" s="197"/>
      <c r="R163" s="197"/>
      <c r="S163" s="197"/>
    </row>
    <row r="164" spans="2:19">
      <c r="B164" s="149"/>
      <c r="C164" s="149"/>
      <c r="D164" s="38"/>
      <c r="E164" s="198"/>
      <c r="F164" s="202"/>
      <c r="G164" s="197"/>
      <c r="H164" s="197"/>
      <c r="I164" s="197"/>
      <c r="J164" s="202"/>
      <c r="K164" s="197"/>
      <c r="L164" s="197"/>
      <c r="M164" s="197"/>
      <c r="N164" s="200"/>
      <c r="O164" s="201"/>
      <c r="P164" s="197"/>
      <c r="Q164" s="197"/>
      <c r="R164" s="197"/>
      <c r="S164" s="197"/>
    </row>
    <row r="165" spans="2:19">
      <c r="B165" s="149"/>
      <c r="C165" s="149"/>
      <c r="D165" s="38"/>
      <c r="E165" s="198"/>
      <c r="F165" s="202"/>
      <c r="G165" s="197"/>
      <c r="H165" s="197"/>
      <c r="I165" s="197"/>
      <c r="J165" s="202"/>
      <c r="K165" s="197"/>
      <c r="L165" s="197"/>
      <c r="M165" s="197"/>
      <c r="N165" s="200"/>
      <c r="O165" s="201"/>
      <c r="P165" s="197"/>
      <c r="Q165" s="197"/>
      <c r="R165" s="197"/>
      <c r="S165" s="197"/>
    </row>
    <row r="166" spans="2:19">
      <c r="B166" s="149"/>
      <c r="C166" s="149"/>
      <c r="D166" s="38"/>
      <c r="E166" s="198"/>
      <c r="F166" s="202"/>
      <c r="G166" s="197"/>
      <c r="H166" s="197"/>
      <c r="I166" s="197"/>
      <c r="J166" s="202"/>
      <c r="K166" s="197"/>
      <c r="L166" s="197"/>
      <c r="M166" s="197"/>
      <c r="N166" s="200"/>
      <c r="O166" s="201"/>
      <c r="P166" s="197"/>
      <c r="Q166" s="197"/>
      <c r="R166" s="197"/>
      <c r="S166" s="197"/>
    </row>
    <row r="167" spans="2:19">
      <c r="B167" s="149"/>
      <c r="C167" s="149"/>
      <c r="D167" s="38"/>
      <c r="E167" s="198"/>
      <c r="F167" s="202"/>
      <c r="G167" s="197"/>
      <c r="H167" s="197"/>
      <c r="I167" s="197"/>
      <c r="J167" s="202"/>
      <c r="K167" s="197"/>
      <c r="L167" s="197"/>
      <c r="M167" s="197"/>
      <c r="N167" s="200"/>
      <c r="O167" s="201"/>
      <c r="P167" s="197"/>
      <c r="Q167" s="197"/>
      <c r="R167" s="197"/>
      <c r="S167" s="197"/>
    </row>
    <row r="168" spans="2:19">
      <c r="B168" s="149"/>
      <c r="C168" s="149"/>
      <c r="D168" s="38"/>
      <c r="E168" s="198"/>
      <c r="F168" s="202"/>
      <c r="G168" s="197"/>
      <c r="H168" s="197"/>
      <c r="I168" s="197"/>
      <c r="J168" s="202"/>
      <c r="K168" s="197"/>
      <c r="L168" s="197"/>
      <c r="M168" s="197"/>
      <c r="N168" s="200"/>
      <c r="O168" s="201"/>
      <c r="P168" s="197"/>
      <c r="Q168" s="197"/>
      <c r="R168" s="197"/>
      <c r="S168" s="197"/>
    </row>
    <row r="169" spans="2:19">
      <c r="B169" s="149"/>
      <c r="C169" s="149"/>
      <c r="D169" s="38"/>
      <c r="E169" s="198"/>
      <c r="F169" s="202"/>
      <c r="G169" s="197"/>
      <c r="H169" s="197"/>
      <c r="I169" s="197"/>
      <c r="J169" s="202"/>
      <c r="K169" s="197"/>
      <c r="L169" s="197"/>
      <c r="M169" s="197"/>
      <c r="N169" s="200"/>
      <c r="O169" s="201"/>
      <c r="P169" s="197"/>
      <c r="Q169" s="197"/>
      <c r="R169" s="197"/>
      <c r="S169" s="197"/>
    </row>
    <row r="170" spans="2:19">
      <c r="B170" s="149"/>
      <c r="C170" s="149"/>
      <c r="D170" s="38"/>
      <c r="E170" s="198"/>
      <c r="F170" s="202"/>
      <c r="G170" s="197"/>
      <c r="H170" s="197"/>
      <c r="I170" s="197"/>
      <c r="J170" s="202"/>
      <c r="K170" s="197"/>
      <c r="L170" s="197"/>
      <c r="M170" s="197"/>
      <c r="N170" s="200"/>
      <c r="O170" s="201"/>
      <c r="P170" s="197"/>
      <c r="Q170" s="197"/>
      <c r="R170" s="197"/>
      <c r="S170" s="197"/>
    </row>
    <row r="171" spans="2:19">
      <c r="B171" s="149"/>
      <c r="C171" s="149"/>
      <c r="D171" s="38"/>
      <c r="E171" s="198"/>
      <c r="F171" s="202"/>
      <c r="G171" s="197"/>
      <c r="H171" s="197"/>
      <c r="I171" s="197"/>
      <c r="J171" s="202"/>
      <c r="K171" s="197"/>
      <c r="L171" s="197"/>
      <c r="M171" s="197"/>
      <c r="N171" s="200"/>
      <c r="O171" s="201"/>
      <c r="P171" s="197"/>
      <c r="Q171" s="197"/>
      <c r="R171" s="197"/>
      <c r="S171" s="197"/>
    </row>
    <row r="172" spans="2:19">
      <c r="B172" s="149"/>
      <c r="C172" s="149"/>
      <c r="D172" s="38"/>
      <c r="E172" s="198"/>
      <c r="F172" s="202"/>
      <c r="G172" s="197"/>
      <c r="H172" s="197"/>
      <c r="I172" s="197"/>
      <c r="J172" s="202"/>
      <c r="K172" s="197"/>
      <c r="L172" s="197"/>
      <c r="M172" s="197"/>
      <c r="N172" s="200"/>
      <c r="O172" s="201"/>
      <c r="P172" s="197"/>
      <c r="Q172" s="197"/>
      <c r="R172" s="197"/>
      <c r="S172" s="197"/>
    </row>
    <row r="173" spans="2:19">
      <c r="B173" s="149"/>
      <c r="C173" s="149"/>
      <c r="D173" s="38"/>
      <c r="E173" s="198"/>
      <c r="F173" s="202"/>
      <c r="G173" s="197"/>
      <c r="H173" s="197"/>
      <c r="I173" s="197"/>
      <c r="J173" s="202"/>
      <c r="K173" s="197"/>
      <c r="L173" s="197"/>
      <c r="M173" s="197"/>
      <c r="N173" s="200"/>
      <c r="O173" s="201"/>
      <c r="P173" s="197"/>
      <c r="Q173" s="197"/>
      <c r="R173" s="197"/>
      <c r="S173" s="197"/>
    </row>
    <row r="174" spans="2:19">
      <c r="B174" s="149"/>
      <c r="C174" s="149"/>
      <c r="D174" s="38"/>
      <c r="E174" s="198"/>
      <c r="F174" s="202"/>
      <c r="G174" s="197"/>
      <c r="H174" s="197"/>
      <c r="I174" s="197"/>
      <c r="J174" s="202"/>
      <c r="K174" s="197"/>
      <c r="L174" s="197"/>
      <c r="M174" s="197"/>
      <c r="N174" s="200"/>
      <c r="O174" s="201"/>
      <c r="P174" s="197"/>
      <c r="Q174" s="197"/>
      <c r="R174" s="197"/>
      <c r="S174" s="197"/>
    </row>
    <row r="175" spans="2:19">
      <c r="B175" s="149"/>
      <c r="C175" s="149"/>
      <c r="D175" s="38"/>
      <c r="E175" s="198"/>
      <c r="F175" s="202"/>
      <c r="G175" s="197"/>
      <c r="H175" s="197"/>
      <c r="I175" s="197"/>
      <c r="J175" s="202"/>
      <c r="K175" s="197"/>
      <c r="L175" s="197"/>
      <c r="M175" s="197"/>
      <c r="N175" s="200"/>
      <c r="O175" s="201"/>
      <c r="P175" s="197"/>
      <c r="Q175" s="197"/>
      <c r="R175" s="197"/>
      <c r="S175" s="197"/>
    </row>
    <row r="176" spans="2:19">
      <c r="B176" s="149"/>
      <c r="C176" s="149"/>
      <c r="D176" s="38"/>
      <c r="E176" s="198"/>
      <c r="F176" s="202"/>
      <c r="G176" s="197"/>
      <c r="H176" s="197"/>
      <c r="I176" s="197"/>
      <c r="J176" s="202"/>
      <c r="K176" s="197"/>
      <c r="L176" s="197"/>
      <c r="M176" s="197"/>
      <c r="N176" s="200"/>
      <c r="O176" s="201"/>
      <c r="P176" s="197"/>
      <c r="Q176" s="197"/>
      <c r="R176" s="197"/>
      <c r="S176" s="197"/>
    </row>
    <row r="177" spans="2:19">
      <c r="B177" s="149"/>
      <c r="C177" s="149"/>
      <c r="D177" s="38"/>
      <c r="E177" s="198"/>
      <c r="F177" s="202"/>
      <c r="G177" s="197"/>
      <c r="H177" s="197"/>
      <c r="I177" s="197"/>
      <c r="J177" s="202"/>
      <c r="K177" s="197"/>
      <c r="L177" s="197"/>
      <c r="M177" s="197"/>
      <c r="N177" s="200"/>
      <c r="O177" s="201"/>
      <c r="P177" s="197"/>
      <c r="Q177" s="197"/>
      <c r="R177" s="197"/>
      <c r="S177" s="197"/>
    </row>
    <row r="178" spans="2:19">
      <c r="B178" s="149"/>
      <c r="C178" s="149"/>
      <c r="D178" s="38"/>
      <c r="E178" s="198"/>
      <c r="F178" s="202"/>
      <c r="G178" s="197"/>
      <c r="H178" s="197"/>
      <c r="I178" s="197"/>
      <c r="J178" s="202"/>
      <c r="K178" s="197"/>
      <c r="L178" s="197"/>
      <c r="M178" s="197"/>
      <c r="N178" s="200"/>
      <c r="O178" s="201"/>
      <c r="P178" s="197"/>
      <c r="Q178" s="197"/>
      <c r="R178" s="197"/>
      <c r="S178" s="197"/>
    </row>
    <row r="179" spans="2:19">
      <c r="B179" s="149"/>
      <c r="C179" s="149"/>
      <c r="D179" s="38"/>
      <c r="E179" s="198"/>
      <c r="F179" s="202"/>
      <c r="G179" s="197"/>
      <c r="H179" s="197"/>
      <c r="I179" s="197"/>
      <c r="J179" s="202"/>
      <c r="K179" s="197"/>
      <c r="L179" s="197"/>
      <c r="M179" s="197"/>
      <c r="N179" s="200"/>
      <c r="O179" s="201"/>
      <c r="P179" s="197"/>
      <c r="Q179" s="197"/>
      <c r="R179" s="197"/>
      <c r="S179" s="197"/>
    </row>
    <row r="180" spans="2:19">
      <c r="B180" s="149"/>
      <c r="C180" s="149"/>
      <c r="D180" s="38"/>
      <c r="E180" s="198"/>
      <c r="F180" s="202"/>
      <c r="G180" s="197"/>
      <c r="H180" s="197"/>
      <c r="I180" s="197"/>
      <c r="J180" s="202"/>
      <c r="K180" s="197"/>
      <c r="L180" s="197"/>
      <c r="M180" s="197"/>
      <c r="N180" s="200"/>
      <c r="O180" s="201"/>
      <c r="P180" s="197"/>
      <c r="Q180" s="197"/>
      <c r="R180" s="197"/>
      <c r="S180" s="197"/>
    </row>
    <row r="181" spans="2:19">
      <c r="B181" s="149"/>
      <c r="C181" s="149"/>
      <c r="D181" s="38"/>
      <c r="E181" s="38"/>
      <c r="F181" s="148"/>
      <c r="G181" s="36"/>
      <c r="H181" s="36"/>
      <c r="I181" s="36"/>
      <c r="J181" s="148"/>
      <c r="K181" s="36"/>
      <c r="L181" s="36"/>
      <c r="M181" s="36"/>
      <c r="N181" s="42"/>
      <c r="O181" s="142"/>
      <c r="P181" s="36"/>
      <c r="Q181" s="36"/>
      <c r="R181" s="36"/>
      <c r="S181" s="36"/>
    </row>
    <row r="182" spans="2:19">
      <c r="B182" s="149"/>
      <c r="C182" s="149"/>
      <c r="D182" s="38"/>
      <c r="E182" s="38"/>
      <c r="F182" s="148"/>
      <c r="G182" s="36"/>
      <c r="H182" s="36"/>
      <c r="I182" s="36"/>
      <c r="J182" s="148"/>
      <c r="K182" s="36"/>
      <c r="L182" s="36"/>
      <c r="M182" s="36"/>
      <c r="N182" s="42"/>
      <c r="O182" s="142"/>
      <c r="P182" s="36"/>
      <c r="Q182" s="36"/>
      <c r="R182" s="36"/>
      <c r="S182" s="36"/>
    </row>
    <row r="183" spans="2:19">
      <c r="B183" s="149"/>
      <c r="C183" s="149"/>
      <c r="D183" s="38"/>
      <c r="E183" s="38"/>
      <c r="F183" s="148"/>
      <c r="G183" s="36"/>
      <c r="H183" s="36"/>
      <c r="I183" s="36"/>
      <c r="J183" s="148"/>
      <c r="K183" s="36"/>
      <c r="L183" s="36"/>
      <c r="M183" s="36"/>
      <c r="N183" s="42"/>
      <c r="O183" s="142"/>
      <c r="P183" s="36"/>
      <c r="Q183" s="36"/>
      <c r="R183" s="36"/>
      <c r="S183" s="36"/>
    </row>
    <row r="184" spans="2:19">
      <c r="B184" s="149"/>
      <c r="C184" s="149"/>
      <c r="D184" s="38"/>
      <c r="E184" s="38"/>
      <c r="F184" s="148"/>
      <c r="G184" s="36"/>
      <c r="H184" s="36"/>
      <c r="I184" s="36"/>
      <c r="J184" s="148"/>
      <c r="K184" s="36"/>
      <c r="L184" s="36"/>
      <c r="M184" s="36"/>
      <c r="N184" s="42"/>
      <c r="O184" s="142"/>
      <c r="P184" s="36"/>
      <c r="Q184" s="36"/>
      <c r="R184" s="36"/>
      <c r="S184" s="36"/>
    </row>
    <row r="185" spans="2:19">
      <c r="B185" s="149"/>
      <c r="C185" s="149"/>
      <c r="D185" s="38"/>
      <c r="E185" s="38"/>
      <c r="F185" s="148"/>
      <c r="G185" s="36"/>
      <c r="H185" s="36"/>
      <c r="I185" s="36"/>
      <c r="J185" s="148"/>
      <c r="K185" s="36"/>
      <c r="L185" s="36"/>
      <c r="M185" s="36"/>
      <c r="N185" s="42"/>
      <c r="O185" s="142"/>
      <c r="P185" s="36"/>
      <c r="Q185" s="36"/>
      <c r="R185" s="36"/>
      <c r="S185" s="36"/>
    </row>
    <row r="186" spans="2:19">
      <c r="B186" s="149"/>
      <c r="C186" s="149"/>
      <c r="D186" s="38"/>
      <c r="E186" s="38"/>
      <c r="F186" s="148"/>
      <c r="G186" s="36"/>
      <c r="H186" s="36"/>
      <c r="I186" s="36"/>
      <c r="J186" s="148"/>
      <c r="K186" s="36"/>
      <c r="L186" s="36"/>
      <c r="M186" s="36"/>
      <c r="N186" s="42"/>
      <c r="O186" s="142"/>
      <c r="P186" s="36"/>
      <c r="Q186" s="36"/>
      <c r="R186" s="36"/>
      <c r="S186" s="36"/>
    </row>
    <row r="187" spans="2:19">
      <c r="B187" s="149"/>
      <c r="C187" s="149"/>
      <c r="D187" s="38"/>
      <c r="E187" s="38"/>
      <c r="F187" s="148"/>
      <c r="G187" s="36"/>
      <c r="H187" s="36"/>
      <c r="I187" s="36"/>
      <c r="J187" s="148"/>
      <c r="K187" s="36"/>
      <c r="L187" s="36"/>
      <c r="M187" s="36"/>
      <c r="N187" s="42"/>
      <c r="O187" s="142"/>
      <c r="P187" s="36"/>
      <c r="Q187" s="36"/>
      <c r="R187" s="36"/>
      <c r="S187" s="36"/>
    </row>
    <row r="188" spans="2:19">
      <c r="B188" s="149"/>
      <c r="C188" s="149"/>
      <c r="D188" s="38"/>
      <c r="E188" s="38"/>
      <c r="F188" s="148"/>
      <c r="G188" s="36"/>
      <c r="H188" s="36"/>
      <c r="I188" s="36"/>
      <c r="J188" s="148"/>
      <c r="K188" s="36"/>
      <c r="L188" s="36"/>
      <c r="M188" s="36"/>
      <c r="N188" s="42"/>
      <c r="O188" s="142"/>
      <c r="P188" s="36"/>
      <c r="Q188" s="36"/>
      <c r="R188" s="36"/>
      <c r="S188" s="36"/>
    </row>
    <row r="189" spans="2:19">
      <c r="B189" s="149"/>
      <c r="C189" s="149"/>
      <c r="D189" s="38"/>
      <c r="E189" s="38"/>
      <c r="F189" s="148"/>
      <c r="G189" s="36"/>
      <c r="H189" s="36"/>
      <c r="I189" s="36"/>
      <c r="J189" s="148"/>
      <c r="K189" s="36"/>
      <c r="L189" s="36"/>
      <c r="M189" s="36"/>
      <c r="N189" s="42"/>
      <c r="O189" s="142"/>
      <c r="P189" s="36"/>
      <c r="Q189" s="36"/>
      <c r="R189" s="36"/>
      <c r="S189" s="36"/>
    </row>
    <row r="190" spans="2:19">
      <c r="B190" s="149"/>
      <c r="C190" s="149"/>
      <c r="D190" s="38"/>
      <c r="E190" s="38"/>
      <c r="F190" s="148"/>
      <c r="G190" s="36"/>
      <c r="H190" s="36"/>
      <c r="I190" s="36"/>
      <c r="J190" s="148"/>
      <c r="K190" s="36"/>
      <c r="L190" s="36"/>
      <c r="M190" s="36"/>
      <c r="N190" s="42"/>
      <c r="O190" s="142"/>
      <c r="P190" s="36"/>
      <c r="Q190" s="36"/>
      <c r="R190" s="36"/>
      <c r="S190" s="36"/>
    </row>
    <row r="191" spans="2:19">
      <c r="B191" s="149"/>
      <c r="C191" s="149"/>
      <c r="D191" s="38"/>
      <c r="E191" s="38"/>
      <c r="F191" s="148"/>
      <c r="G191" s="36"/>
      <c r="H191" s="36"/>
      <c r="I191" s="36"/>
      <c r="J191" s="148"/>
      <c r="K191" s="36"/>
      <c r="L191" s="36"/>
      <c r="M191" s="36"/>
      <c r="N191" s="42"/>
      <c r="O191" s="142"/>
      <c r="P191" s="36"/>
      <c r="Q191" s="36"/>
      <c r="R191" s="36"/>
      <c r="S191" s="36"/>
    </row>
    <row r="192" spans="2:19">
      <c r="B192" s="149"/>
      <c r="C192" s="149"/>
      <c r="D192" s="38"/>
      <c r="E192" s="38"/>
      <c r="F192" s="148"/>
      <c r="G192" s="36"/>
      <c r="H192" s="36"/>
      <c r="I192" s="36"/>
      <c r="J192" s="148"/>
      <c r="K192" s="36"/>
      <c r="L192" s="36"/>
      <c r="M192" s="36"/>
      <c r="N192" s="42"/>
      <c r="O192" s="142"/>
      <c r="P192" s="36"/>
      <c r="Q192" s="36"/>
      <c r="R192" s="36"/>
      <c r="S192" s="36"/>
    </row>
    <row r="193" spans="2:19">
      <c r="B193" s="149"/>
      <c r="C193" s="149"/>
      <c r="D193" s="38"/>
      <c r="E193" s="38"/>
      <c r="F193" s="148"/>
      <c r="G193" s="36"/>
      <c r="H193" s="36"/>
      <c r="I193" s="36"/>
      <c r="J193" s="148"/>
      <c r="K193" s="36"/>
      <c r="L193" s="36"/>
      <c r="M193" s="36"/>
      <c r="N193" s="42"/>
      <c r="O193" s="142"/>
      <c r="P193" s="36"/>
      <c r="Q193" s="36"/>
      <c r="R193" s="36"/>
      <c r="S193" s="36"/>
    </row>
    <row r="194" spans="2:19">
      <c r="B194" s="149"/>
      <c r="C194" s="149"/>
      <c r="D194" s="38"/>
      <c r="E194" s="38"/>
      <c r="F194" s="148"/>
      <c r="G194" s="36"/>
      <c r="H194" s="36"/>
      <c r="I194" s="36"/>
      <c r="J194" s="148"/>
      <c r="K194" s="36"/>
      <c r="L194" s="36"/>
      <c r="M194" s="36"/>
      <c r="N194" s="42"/>
      <c r="O194" s="142"/>
      <c r="P194" s="36"/>
      <c r="Q194" s="36"/>
      <c r="R194" s="36"/>
      <c r="S194" s="36"/>
    </row>
    <row r="195" spans="2:19">
      <c r="B195" s="149"/>
      <c r="C195" s="149"/>
      <c r="D195" s="38"/>
      <c r="E195" s="38"/>
      <c r="F195" s="148"/>
      <c r="G195" s="36"/>
      <c r="H195" s="36"/>
      <c r="I195" s="36"/>
      <c r="J195" s="148"/>
      <c r="K195" s="36"/>
      <c r="L195" s="36"/>
      <c r="M195" s="36"/>
      <c r="N195" s="42"/>
      <c r="O195" s="142"/>
      <c r="P195" s="36"/>
      <c r="Q195" s="36"/>
      <c r="R195" s="36"/>
      <c r="S195" s="36"/>
    </row>
    <row r="196" spans="2:19">
      <c r="B196" s="149"/>
      <c r="C196" s="149"/>
      <c r="D196" s="38"/>
      <c r="E196" s="38"/>
      <c r="F196" s="148"/>
      <c r="G196" s="36"/>
      <c r="H196" s="36"/>
      <c r="I196" s="36"/>
      <c r="J196" s="148"/>
      <c r="K196" s="36"/>
      <c r="L196" s="36"/>
      <c r="M196" s="36"/>
      <c r="N196" s="42"/>
      <c r="O196" s="142"/>
      <c r="P196" s="36"/>
      <c r="Q196" s="36"/>
      <c r="R196" s="36"/>
      <c r="S196" s="36"/>
    </row>
    <row r="197" spans="2:19">
      <c r="B197" s="149"/>
      <c r="C197" s="149"/>
      <c r="D197" s="38"/>
      <c r="E197" s="38"/>
      <c r="F197" s="148"/>
      <c r="G197" s="36"/>
      <c r="H197" s="36"/>
      <c r="I197" s="36"/>
      <c r="J197" s="148"/>
      <c r="K197" s="36"/>
      <c r="L197" s="36"/>
      <c r="M197" s="36"/>
      <c r="N197" s="42"/>
      <c r="O197" s="142"/>
      <c r="P197" s="36"/>
      <c r="Q197" s="36"/>
      <c r="R197" s="36"/>
      <c r="S197" s="36"/>
    </row>
    <row r="198" spans="2:19">
      <c r="B198" s="149"/>
      <c r="C198" s="149"/>
      <c r="D198" s="38"/>
      <c r="E198" s="38"/>
      <c r="F198" s="148"/>
      <c r="G198" s="36"/>
      <c r="H198" s="36"/>
      <c r="I198" s="36"/>
      <c r="J198" s="148"/>
      <c r="K198" s="36"/>
      <c r="L198" s="36"/>
      <c r="M198" s="36"/>
      <c r="N198" s="42"/>
      <c r="O198" s="142"/>
      <c r="P198" s="36"/>
      <c r="Q198" s="36"/>
      <c r="R198" s="36"/>
      <c r="S198" s="36"/>
    </row>
    <row r="199" spans="2:19">
      <c r="B199" s="149"/>
      <c r="C199" s="149"/>
      <c r="D199" s="38"/>
      <c r="E199" s="38"/>
      <c r="F199" s="148"/>
      <c r="G199" s="36"/>
      <c r="H199" s="36"/>
      <c r="I199" s="36"/>
      <c r="J199" s="148"/>
      <c r="K199" s="36"/>
      <c r="L199" s="36"/>
      <c r="M199" s="36"/>
      <c r="N199" s="42"/>
      <c r="O199" s="142"/>
      <c r="P199" s="36"/>
      <c r="Q199" s="36"/>
      <c r="R199" s="36"/>
      <c r="S199" s="36"/>
    </row>
    <row r="200" spans="2:19">
      <c r="B200" s="149"/>
      <c r="C200" s="149"/>
      <c r="D200" s="38"/>
      <c r="E200" s="38"/>
      <c r="F200" s="148"/>
      <c r="G200" s="36"/>
      <c r="H200" s="36"/>
      <c r="I200" s="36"/>
      <c r="J200" s="148"/>
      <c r="K200" s="36"/>
      <c r="L200" s="36"/>
      <c r="M200" s="36"/>
      <c r="N200" s="42"/>
      <c r="O200" s="142"/>
      <c r="P200" s="36"/>
      <c r="Q200" s="36"/>
      <c r="R200" s="36"/>
      <c r="S200" s="36"/>
    </row>
    <row r="201" spans="2:19">
      <c r="B201" s="149"/>
      <c r="C201" s="149"/>
      <c r="D201" s="38"/>
      <c r="E201" s="38"/>
      <c r="F201" s="148"/>
      <c r="G201" s="36"/>
      <c r="H201" s="36"/>
      <c r="I201" s="36"/>
      <c r="J201" s="148"/>
      <c r="K201" s="36"/>
      <c r="L201" s="36"/>
      <c r="M201" s="36"/>
      <c r="N201" s="42"/>
      <c r="O201" s="142"/>
      <c r="P201" s="36"/>
      <c r="Q201" s="36"/>
      <c r="R201" s="36"/>
      <c r="S201" s="36"/>
    </row>
    <row r="202" spans="2:19">
      <c r="B202" s="149"/>
      <c r="C202" s="149"/>
      <c r="D202" s="38"/>
      <c r="E202" s="38"/>
      <c r="F202" s="148"/>
      <c r="G202" s="36"/>
      <c r="H202" s="36"/>
      <c r="I202" s="36"/>
      <c r="J202" s="148"/>
      <c r="K202" s="36"/>
      <c r="L202" s="36"/>
      <c r="M202" s="36"/>
      <c r="N202" s="42"/>
      <c r="O202" s="142"/>
      <c r="P202" s="36"/>
      <c r="Q202" s="36"/>
      <c r="R202" s="36"/>
      <c r="S202" s="36"/>
    </row>
    <row r="203" spans="2:19">
      <c r="B203" s="149"/>
      <c r="C203" s="149"/>
      <c r="D203" s="38"/>
      <c r="E203" s="38"/>
      <c r="F203" s="148"/>
      <c r="G203" s="36"/>
      <c r="H203" s="36"/>
      <c r="I203" s="36"/>
      <c r="J203" s="148"/>
      <c r="K203" s="36"/>
      <c r="L203" s="36"/>
      <c r="M203" s="36"/>
      <c r="N203" s="42"/>
      <c r="O203" s="142"/>
      <c r="P203" s="36"/>
      <c r="Q203" s="36"/>
      <c r="R203" s="36"/>
      <c r="S203" s="36"/>
    </row>
    <row r="204" spans="2:19">
      <c r="B204" s="149"/>
      <c r="C204" s="149"/>
      <c r="D204" s="38"/>
      <c r="E204" s="38"/>
      <c r="F204" s="148"/>
      <c r="G204" s="36"/>
      <c r="H204" s="36"/>
      <c r="I204" s="36"/>
      <c r="J204" s="148"/>
      <c r="K204" s="36"/>
      <c r="L204" s="36"/>
      <c r="M204" s="36"/>
      <c r="N204" s="42"/>
      <c r="O204" s="142"/>
      <c r="P204" s="36"/>
      <c r="Q204" s="36"/>
      <c r="R204" s="36"/>
      <c r="S204" s="36"/>
    </row>
    <row r="205" spans="2:19">
      <c r="B205" s="149"/>
      <c r="C205" s="149"/>
      <c r="D205" s="38"/>
      <c r="E205" s="38"/>
      <c r="F205" s="148"/>
      <c r="G205" s="36"/>
      <c r="H205" s="36"/>
      <c r="I205" s="36"/>
      <c r="J205" s="148"/>
      <c r="K205" s="36"/>
      <c r="L205" s="36"/>
      <c r="M205" s="36"/>
      <c r="N205" s="42"/>
      <c r="O205" s="142"/>
      <c r="P205" s="36"/>
      <c r="Q205" s="36"/>
      <c r="R205" s="36"/>
      <c r="S205" s="36"/>
    </row>
    <row r="206" spans="2:19">
      <c r="B206" s="149"/>
      <c r="C206" s="149"/>
      <c r="D206" s="38"/>
      <c r="E206" s="38"/>
      <c r="F206" s="148"/>
      <c r="G206" s="36"/>
      <c r="H206" s="36"/>
      <c r="I206" s="36"/>
      <c r="J206" s="148"/>
      <c r="K206" s="36"/>
      <c r="L206" s="36"/>
      <c r="M206" s="36"/>
      <c r="N206" s="42"/>
      <c r="O206" s="142"/>
      <c r="P206" s="36"/>
      <c r="Q206" s="36"/>
      <c r="R206" s="36"/>
      <c r="S206" s="36"/>
    </row>
    <row r="207" spans="2:19">
      <c r="B207" s="149"/>
      <c r="C207" s="149"/>
      <c r="D207" s="38"/>
      <c r="E207" s="38"/>
      <c r="F207" s="148"/>
      <c r="G207" s="36"/>
      <c r="H207" s="36"/>
      <c r="I207" s="36"/>
      <c r="J207" s="148"/>
      <c r="K207" s="36"/>
      <c r="L207" s="36"/>
      <c r="M207" s="36"/>
      <c r="N207" s="42"/>
      <c r="O207" s="142"/>
      <c r="P207" s="36"/>
      <c r="Q207" s="36"/>
      <c r="R207" s="36"/>
      <c r="S207" s="36"/>
    </row>
    <row r="208" spans="2:19">
      <c r="B208" s="149"/>
      <c r="C208" s="149"/>
      <c r="D208" s="38"/>
      <c r="E208" s="38"/>
      <c r="F208" s="148"/>
      <c r="G208" s="36"/>
      <c r="H208" s="36"/>
      <c r="I208" s="36"/>
      <c r="J208" s="148"/>
      <c r="K208" s="36"/>
      <c r="L208" s="36"/>
      <c r="M208" s="36"/>
      <c r="N208" s="42"/>
      <c r="O208" s="142"/>
      <c r="P208" s="36"/>
      <c r="Q208" s="36"/>
      <c r="R208" s="36"/>
      <c r="S208" s="36"/>
    </row>
    <row r="209" spans="2:19">
      <c r="B209" s="149"/>
      <c r="C209" s="149"/>
      <c r="D209" s="38"/>
      <c r="E209" s="38"/>
      <c r="F209" s="148"/>
      <c r="G209" s="36"/>
      <c r="H209" s="36"/>
      <c r="I209" s="36"/>
      <c r="J209" s="148"/>
      <c r="K209" s="36"/>
      <c r="L209" s="36"/>
      <c r="M209" s="36"/>
      <c r="N209" s="42"/>
      <c r="O209" s="142"/>
      <c r="P209" s="36"/>
      <c r="Q209" s="36"/>
      <c r="R209" s="36"/>
      <c r="S209" s="36"/>
    </row>
    <row r="210" spans="2:19">
      <c r="B210" s="149"/>
      <c r="C210" s="149"/>
      <c r="D210" s="38"/>
      <c r="E210" s="38"/>
      <c r="F210" s="148"/>
      <c r="G210" s="36"/>
      <c r="H210" s="36"/>
      <c r="I210" s="36"/>
      <c r="J210" s="148"/>
      <c r="K210" s="36"/>
      <c r="L210" s="36"/>
      <c r="M210" s="36"/>
      <c r="N210" s="42"/>
      <c r="O210" s="142"/>
      <c r="P210" s="36"/>
      <c r="Q210" s="36"/>
      <c r="R210" s="36"/>
      <c r="S210" s="36"/>
    </row>
    <row r="211" spans="2:19">
      <c r="B211" s="149"/>
      <c r="C211" s="149"/>
      <c r="D211" s="38"/>
      <c r="E211" s="38"/>
      <c r="F211" s="148"/>
      <c r="G211" s="36"/>
      <c r="H211" s="36"/>
      <c r="I211" s="36"/>
      <c r="J211" s="148"/>
      <c r="K211" s="36"/>
      <c r="L211" s="36"/>
      <c r="M211" s="36"/>
      <c r="N211" s="42"/>
      <c r="O211" s="142"/>
      <c r="P211" s="36"/>
      <c r="Q211" s="36"/>
      <c r="R211" s="36"/>
      <c r="S211" s="36"/>
    </row>
    <row r="212" spans="2:19">
      <c r="B212" s="149"/>
      <c r="C212" s="149"/>
      <c r="D212" s="38"/>
      <c r="E212" s="38"/>
      <c r="F212" s="148"/>
      <c r="G212" s="36"/>
      <c r="H212" s="36"/>
      <c r="I212" s="36"/>
      <c r="J212" s="148"/>
      <c r="K212" s="36"/>
      <c r="L212" s="36"/>
      <c r="M212" s="36"/>
      <c r="N212" s="42"/>
      <c r="O212" s="142"/>
      <c r="P212" s="36"/>
      <c r="Q212" s="36"/>
      <c r="R212" s="36"/>
      <c r="S212" s="36"/>
    </row>
    <row r="213" spans="2:19">
      <c r="B213" s="149"/>
      <c r="C213" s="149"/>
      <c r="D213" s="38"/>
      <c r="E213" s="38"/>
      <c r="F213" s="148"/>
      <c r="G213" s="36"/>
      <c r="H213" s="36"/>
      <c r="I213" s="36"/>
      <c r="J213" s="148"/>
      <c r="K213" s="36"/>
      <c r="L213" s="36"/>
      <c r="M213" s="36"/>
      <c r="N213" s="42"/>
      <c r="O213" s="142"/>
      <c r="P213" s="36"/>
      <c r="Q213" s="36"/>
      <c r="R213" s="36"/>
      <c r="S213" s="36"/>
    </row>
    <row r="214" spans="2:19">
      <c r="B214" s="149"/>
      <c r="C214" s="149"/>
      <c r="D214" s="38"/>
      <c r="E214" s="38"/>
      <c r="F214" s="148"/>
      <c r="G214" s="36"/>
      <c r="H214" s="36"/>
      <c r="I214" s="36"/>
      <c r="J214" s="148"/>
      <c r="K214" s="36"/>
      <c r="L214" s="36"/>
      <c r="M214" s="36"/>
      <c r="N214" s="42"/>
      <c r="O214" s="142"/>
      <c r="P214" s="36"/>
      <c r="Q214" s="36"/>
      <c r="R214" s="36"/>
      <c r="S214" s="36"/>
    </row>
    <row r="215" spans="2:19">
      <c r="B215" s="149"/>
      <c r="C215" s="149"/>
      <c r="D215" s="38"/>
      <c r="E215" s="38"/>
      <c r="F215" s="148"/>
      <c r="G215" s="36"/>
      <c r="H215" s="36"/>
      <c r="I215" s="36"/>
      <c r="J215" s="148"/>
      <c r="K215" s="36"/>
      <c r="L215" s="36"/>
      <c r="M215" s="36"/>
      <c r="N215" s="42"/>
      <c r="O215" s="142"/>
      <c r="P215" s="36"/>
      <c r="Q215" s="36"/>
      <c r="R215" s="36"/>
      <c r="S215" s="36"/>
    </row>
    <row r="216" spans="2:19">
      <c r="B216" s="149"/>
      <c r="C216" s="149"/>
      <c r="D216" s="38"/>
      <c r="E216" s="38"/>
      <c r="F216" s="148"/>
      <c r="G216" s="36"/>
      <c r="H216" s="36"/>
      <c r="I216" s="36"/>
      <c r="J216" s="148"/>
      <c r="K216" s="36"/>
      <c r="L216" s="36"/>
      <c r="M216" s="36"/>
      <c r="N216" s="42"/>
      <c r="O216" s="142"/>
      <c r="P216" s="36"/>
      <c r="Q216" s="36"/>
      <c r="R216" s="36"/>
      <c r="S216" s="36"/>
    </row>
    <row r="217" spans="2:19">
      <c r="B217" s="149"/>
      <c r="C217" s="149"/>
      <c r="D217" s="38"/>
      <c r="E217" s="38"/>
      <c r="F217" s="148"/>
      <c r="G217" s="36"/>
      <c r="H217" s="36"/>
      <c r="I217" s="36"/>
      <c r="J217" s="148"/>
      <c r="K217" s="36"/>
      <c r="L217" s="36"/>
      <c r="M217" s="36"/>
      <c r="N217" s="42"/>
      <c r="O217" s="142"/>
      <c r="P217" s="36"/>
      <c r="Q217" s="36"/>
      <c r="R217" s="36"/>
      <c r="S217" s="36"/>
    </row>
    <row r="218" spans="2:19">
      <c r="B218" s="149"/>
      <c r="C218" s="149"/>
      <c r="D218" s="38"/>
      <c r="E218" s="38"/>
      <c r="F218" s="148"/>
      <c r="G218" s="36"/>
      <c r="H218" s="36"/>
      <c r="I218" s="36"/>
      <c r="J218" s="148"/>
      <c r="K218" s="36"/>
      <c r="L218" s="36"/>
      <c r="M218" s="36"/>
      <c r="N218" s="42"/>
      <c r="O218" s="142"/>
      <c r="P218" s="36"/>
      <c r="Q218" s="36"/>
      <c r="R218" s="36"/>
      <c r="S218" s="36"/>
    </row>
    <row r="219" spans="2:19">
      <c r="B219" s="149"/>
      <c r="C219" s="149"/>
      <c r="D219" s="38"/>
      <c r="E219" s="38"/>
      <c r="F219" s="148"/>
      <c r="G219" s="36"/>
      <c r="H219" s="36"/>
      <c r="I219" s="36"/>
      <c r="J219" s="148"/>
      <c r="K219" s="36"/>
      <c r="L219" s="36"/>
      <c r="M219" s="36"/>
      <c r="N219" s="42"/>
      <c r="O219" s="142"/>
      <c r="P219" s="36"/>
      <c r="Q219" s="36"/>
      <c r="R219" s="36"/>
      <c r="S219" s="36"/>
    </row>
    <row r="220" spans="2:19">
      <c r="B220" s="149"/>
      <c r="C220" s="149"/>
      <c r="D220" s="38"/>
      <c r="E220" s="38"/>
      <c r="F220" s="148"/>
      <c r="G220" s="36"/>
      <c r="H220" s="36"/>
      <c r="I220" s="36"/>
      <c r="J220" s="148"/>
      <c r="K220" s="36"/>
      <c r="L220" s="36"/>
      <c r="M220" s="36"/>
      <c r="N220" s="42"/>
      <c r="O220" s="142"/>
      <c r="P220" s="36"/>
      <c r="Q220" s="36"/>
      <c r="R220" s="36"/>
      <c r="S220" s="36"/>
    </row>
    <row r="221" spans="2:19">
      <c r="B221" s="149"/>
      <c r="C221" s="149"/>
      <c r="D221" s="38"/>
      <c r="E221" s="38"/>
      <c r="F221" s="148"/>
      <c r="G221" s="36"/>
      <c r="H221" s="36"/>
      <c r="I221" s="36"/>
      <c r="J221" s="148"/>
      <c r="K221" s="36"/>
      <c r="L221" s="36"/>
      <c r="M221" s="36"/>
      <c r="N221" s="42"/>
      <c r="O221" s="142"/>
      <c r="P221" s="36"/>
      <c r="Q221" s="36"/>
      <c r="R221" s="36"/>
      <c r="S221" s="36"/>
    </row>
    <row r="222" spans="2:19">
      <c r="B222" s="149"/>
      <c r="C222" s="149"/>
      <c r="D222" s="38"/>
      <c r="E222" s="38"/>
      <c r="F222" s="148"/>
      <c r="G222" s="36"/>
      <c r="H222" s="36"/>
      <c r="I222" s="36"/>
      <c r="J222" s="148"/>
      <c r="K222" s="36"/>
      <c r="L222" s="36"/>
      <c r="M222" s="36"/>
      <c r="N222" s="42"/>
      <c r="O222" s="142"/>
      <c r="P222" s="36"/>
      <c r="Q222" s="36"/>
      <c r="R222" s="36"/>
      <c r="S222" s="36"/>
    </row>
    <row r="223" spans="2:19">
      <c r="B223" s="149"/>
      <c r="C223" s="149"/>
      <c r="D223" s="38"/>
      <c r="E223" s="38"/>
      <c r="F223" s="148"/>
      <c r="G223" s="36"/>
      <c r="H223" s="36"/>
      <c r="I223" s="36"/>
      <c r="J223" s="148"/>
      <c r="K223" s="36"/>
      <c r="L223" s="36"/>
      <c r="M223" s="36"/>
      <c r="N223" s="42"/>
      <c r="O223" s="142"/>
      <c r="P223" s="36"/>
      <c r="Q223" s="36"/>
      <c r="R223" s="36"/>
      <c r="S223" s="36"/>
    </row>
    <row r="224" spans="2:19">
      <c r="B224" s="149"/>
      <c r="C224" s="149"/>
      <c r="D224" s="38"/>
      <c r="E224" s="38"/>
      <c r="F224" s="148"/>
      <c r="G224" s="36"/>
      <c r="H224" s="36"/>
      <c r="I224" s="36"/>
      <c r="J224" s="148"/>
      <c r="K224" s="36"/>
      <c r="L224" s="36"/>
      <c r="M224" s="36"/>
      <c r="N224" s="42"/>
      <c r="O224" s="142"/>
      <c r="P224" s="36"/>
      <c r="Q224" s="36"/>
      <c r="R224" s="36"/>
      <c r="S224" s="36"/>
    </row>
    <row r="225" spans="2:19">
      <c r="B225" s="149"/>
      <c r="C225" s="149"/>
      <c r="D225" s="38"/>
      <c r="E225" s="38"/>
      <c r="F225" s="148"/>
      <c r="G225" s="36"/>
      <c r="H225" s="36"/>
      <c r="I225" s="36"/>
      <c r="J225" s="148"/>
      <c r="K225" s="36"/>
      <c r="L225" s="36"/>
      <c r="M225" s="36"/>
      <c r="N225" s="42"/>
      <c r="O225" s="142"/>
      <c r="P225" s="36"/>
      <c r="Q225" s="36"/>
      <c r="R225" s="36"/>
      <c r="S225" s="36"/>
    </row>
    <row r="226" spans="2:19">
      <c r="B226" s="149"/>
      <c r="C226" s="149"/>
      <c r="D226" s="38"/>
      <c r="E226" s="38"/>
      <c r="F226" s="148"/>
      <c r="G226" s="36"/>
      <c r="H226" s="36"/>
      <c r="I226" s="36"/>
      <c r="J226" s="148"/>
      <c r="K226" s="36"/>
      <c r="L226" s="36"/>
      <c r="M226" s="36"/>
      <c r="N226" s="42"/>
      <c r="O226" s="142"/>
      <c r="P226" s="36"/>
      <c r="Q226" s="36"/>
      <c r="R226" s="36"/>
      <c r="S226" s="36"/>
    </row>
    <row r="227" spans="2:19">
      <c r="B227" s="149"/>
      <c r="C227" s="149"/>
      <c r="D227" s="38"/>
      <c r="E227" s="38"/>
      <c r="F227" s="148"/>
      <c r="G227" s="36"/>
      <c r="H227" s="36"/>
      <c r="I227" s="36"/>
      <c r="J227" s="148"/>
      <c r="K227" s="36"/>
      <c r="L227" s="36"/>
      <c r="M227" s="36"/>
      <c r="N227" s="42"/>
      <c r="O227" s="142"/>
      <c r="P227" s="36"/>
      <c r="Q227" s="36"/>
      <c r="R227" s="36"/>
      <c r="S227" s="36"/>
    </row>
    <row r="228" spans="2:19">
      <c r="B228" s="149"/>
      <c r="C228" s="149"/>
      <c r="D228" s="38"/>
      <c r="E228" s="38"/>
      <c r="F228" s="148"/>
      <c r="G228" s="36"/>
      <c r="H228" s="36"/>
      <c r="I228" s="36"/>
      <c r="J228" s="148"/>
      <c r="K228" s="36"/>
      <c r="L228" s="36"/>
      <c r="M228" s="36"/>
      <c r="N228" s="42"/>
      <c r="O228" s="142"/>
      <c r="P228" s="36"/>
      <c r="Q228" s="36"/>
      <c r="R228" s="36"/>
      <c r="S228" s="36"/>
    </row>
    <row r="229" spans="2:19">
      <c r="B229" s="149"/>
      <c r="C229" s="149"/>
      <c r="D229" s="38"/>
      <c r="E229" s="38"/>
      <c r="F229" s="148"/>
      <c r="G229" s="36"/>
      <c r="H229" s="36"/>
      <c r="I229" s="36"/>
      <c r="J229" s="148"/>
      <c r="K229" s="36"/>
      <c r="L229" s="36"/>
      <c r="M229" s="36"/>
      <c r="N229" s="42"/>
      <c r="O229" s="142"/>
      <c r="P229" s="36"/>
      <c r="Q229" s="36"/>
      <c r="R229" s="36"/>
      <c r="S229" s="36"/>
    </row>
    <row r="230" spans="2:19">
      <c r="B230" s="149"/>
      <c r="C230" s="149"/>
      <c r="D230" s="38"/>
      <c r="E230" s="38"/>
      <c r="F230" s="148"/>
      <c r="G230" s="36"/>
      <c r="H230" s="36"/>
      <c r="I230" s="36"/>
      <c r="J230" s="148"/>
      <c r="K230" s="36"/>
      <c r="L230" s="36"/>
      <c r="M230" s="36"/>
      <c r="N230" s="42"/>
      <c r="O230" s="142"/>
      <c r="P230" s="36"/>
      <c r="Q230" s="36"/>
      <c r="R230" s="36"/>
      <c r="S230" s="36"/>
    </row>
    <row r="231" spans="2:19">
      <c r="B231" s="149"/>
      <c r="C231" s="149"/>
      <c r="D231" s="38"/>
      <c r="E231" s="38"/>
      <c r="F231" s="148"/>
      <c r="G231" s="36"/>
      <c r="H231" s="36"/>
      <c r="I231" s="36"/>
      <c r="J231" s="148"/>
      <c r="K231" s="36"/>
      <c r="L231" s="36"/>
      <c r="M231" s="36"/>
      <c r="N231" s="42"/>
      <c r="O231" s="142"/>
      <c r="P231" s="36"/>
      <c r="Q231" s="36"/>
      <c r="R231" s="36"/>
      <c r="S231" s="36"/>
    </row>
    <row r="232" spans="2:19">
      <c r="B232" s="149"/>
      <c r="C232" s="149"/>
      <c r="D232" s="38"/>
      <c r="E232" s="38"/>
      <c r="F232" s="148"/>
      <c r="G232" s="36"/>
      <c r="H232" s="36"/>
      <c r="I232" s="36"/>
      <c r="J232" s="148"/>
      <c r="K232" s="36"/>
      <c r="L232" s="36"/>
      <c r="M232" s="36"/>
      <c r="N232" s="42"/>
      <c r="O232" s="142"/>
      <c r="P232" s="36"/>
      <c r="Q232" s="36"/>
      <c r="R232" s="36"/>
      <c r="S232" s="36"/>
    </row>
    <row r="233" spans="2:19">
      <c r="B233" s="149"/>
      <c r="C233" s="149"/>
      <c r="D233" s="38"/>
      <c r="E233" s="38"/>
      <c r="F233" s="148"/>
      <c r="G233" s="36"/>
      <c r="H233" s="36"/>
      <c r="I233" s="36"/>
      <c r="J233" s="148"/>
      <c r="K233" s="36"/>
      <c r="L233" s="36"/>
      <c r="M233" s="36"/>
      <c r="N233" s="42"/>
      <c r="O233" s="142"/>
      <c r="P233" s="36"/>
      <c r="Q233" s="36"/>
      <c r="R233" s="36"/>
      <c r="S233" s="36"/>
    </row>
    <row r="234" spans="2:19">
      <c r="B234" s="149"/>
      <c r="C234" s="149"/>
      <c r="D234" s="38"/>
      <c r="E234" s="38"/>
      <c r="F234" s="148"/>
      <c r="G234" s="36"/>
      <c r="H234" s="36"/>
      <c r="I234" s="36"/>
      <c r="J234" s="148"/>
      <c r="K234" s="36"/>
      <c r="L234" s="36"/>
      <c r="M234" s="36"/>
      <c r="N234" s="42"/>
      <c r="O234" s="142"/>
      <c r="P234" s="36"/>
      <c r="Q234" s="36"/>
      <c r="R234" s="36"/>
      <c r="S234" s="36"/>
    </row>
    <row r="235" spans="2:19">
      <c r="B235" s="149"/>
      <c r="C235" s="149"/>
      <c r="D235" s="38"/>
      <c r="E235" s="38"/>
      <c r="F235" s="148"/>
      <c r="G235" s="36"/>
      <c r="H235" s="36"/>
      <c r="I235" s="36"/>
      <c r="J235" s="148"/>
      <c r="K235" s="36"/>
      <c r="L235" s="36"/>
      <c r="M235" s="36"/>
      <c r="N235" s="42"/>
      <c r="O235" s="142"/>
      <c r="P235" s="36"/>
      <c r="Q235" s="36"/>
      <c r="R235" s="36"/>
      <c r="S235" s="36"/>
    </row>
    <row r="236" spans="2:19">
      <c r="B236" s="149"/>
      <c r="C236" s="149"/>
      <c r="D236" s="38"/>
      <c r="E236" s="38"/>
      <c r="F236" s="148"/>
      <c r="G236" s="36"/>
      <c r="H236" s="36"/>
      <c r="I236" s="36"/>
      <c r="J236" s="148"/>
      <c r="K236" s="36"/>
      <c r="L236" s="36"/>
      <c r="M236" s="36"/>
      <c r="N236" s="42"/>
      <c r="O236" s="142"/>
      <c r="P236" s="36"/>
      <c r="Q236" s="36"/>
      <c r="R236" s="36"/>
      <c r="S236" s="36"/>
    </row>
    <row r="237" spans="2:19">
      <c r="B237" s="149"/>
      <c r="C237" s="149"/>
      <c r="D237" s="38"/>
      <c r="E237" s="38"/>
      <c r="F237" s="148"/>
      <c r="G237" s="36"/>
      <c r="H237" s="36"/>
      <c r="I237" s="36"/>
      <c r="J237" s="148"/>
      <c r="K237" s="36"/>
      <c r="L237" s="36"/>
      <c r="M237" s="36"/>
      <c r="N237" s="42"/>
      <c r="O237" s="142"/>
      <c r="P237" s="36"/>
      <c r="Q237" s="36"/>
      <c r="R237" s="36"/>
      <c r="S237" s="36"/>
    </row>
    <row r="238" spans="2:19">
      <c r="B238" s="149"/>
      <c r="C238" s="149"/>
      <c r="D238" s="38"/>
      <c r="E238" s="38"/>
      <c r="F238" s="148"/>
      <c r="G238" s="36"/>
      <c r="H238" s="36"/>
      <c r="I238" s="36"/>
      <c r="J238" s="148"/>
      <c r="K238" s="36"/>
      <c r="L238" s="36"/>
      <c r="M238" s="36"/>
      <c r="N238" s="42"/>
      <c r="O238" s="142"/>
      <c r="P238" s="36"/>
      <c r="Q238" s="36"/>
      <c r="R238" s="36"/>
      <c r="S238" s="36"/>
    </row>
    <row r="239" spans="2:19">
      <c r="B239" s="149"/>
      <c r="C239" s="149"/>
      <c r="D239" s="38"/>
      <c r="E239" s="38"/>
      <c r="F239" s="148"/>
      <c r="G239" s="36"/>
      <c r="H239" s="36"/>
      <c r="I239" s="36"/>
      <c r="J239" s="148"/>
      <c r="K239" s="36"/>
      <c r="L239" s="36"/>
      <c r="M239" s="36"/>
      <c r="N239" s="42"/>
      <c r="O239" s="142"/>
      <c r="P239" s="36"/>
      <c r="Q239" s="36"/>
      <c r="R239" s="36"/>
      <c r="S239" s="36"/>
    </row>
    <row r="240" spans="2:19">
      <c r="B240" s="149"/>
      <c r="C240" s="149"/>
      <c r="D240" s="38"/>
      <c r="E240" s="38"/>
      <c r="F240" s="148"/>
      <c r="G240" s="36"/>
      <c r="H240" s="36"/>
      <c r="I240" s="36"/>
      <c r="J240" s="148"/>
      <c r="K240" s="36"/>
      <c r="L240" s="36"/>
      <c r="M240" s="36"/>
      <c r="N240" s="42"/>
      <c r="O240" s="142"/>
      <c r="P240" s="36"/>
      <c r="Q240" s="36"/>
      <c r="R240" s="36"/>
      <c r="S240" s="36"/>
    </row>
    <row r="241" spans="2:19">
      <c r="B241" s="149"/>
      <c r="C241" s="149"/>
      <c r="D241" s="38"/>
      <c r="E241" s="38"/>
      <c r="F241" s="148"/>
      <c r="G241" s="36"/>
      <c r="H241" s="36"/>
      <c r="I241" s="36"/>
      <c r="J241" s="148"/>
      <c r="K241" s="36"/>
      <c r="L241" s="36"/>
      <c r="M241" s="36"/>
      <c r="N241" s="42"/>
      <c r="O241" s="142"/>
      <c r="P241" s="36"/>
      <c r="Q241" s="36"/>
      <c r="R241" s="36"/>
      <c r="S241" s="36"/>
    </row>
    <row r="242" spans="2:19">
      <c r="B242" s="149"/>
      <c r="C242" s="149"/>
      <c r="D242" s="38"/>
      <c r="E242" s="38"/>
      <c r="F242" s="148"/>
      <c r="G242" s="36"/>
      <c r="H242" s="36"/>
      <c r="I242" s="36"/>
      <c r="J242" s="148"/>
      <c r="K242" s="36"/>
      <c r="L242" s="36"/>
      <c r="M242" s="36"/>
      <c r="N242" s="42"/>
      <c r="O242" s="142"/>
      <c r="P242" s="36"/>
      <c r="Q242" s="36"/>
      <c r="R242" s="36"/>
      <c r="S242" s="36"/>
    </row>
    <row r="243" spans="2:19">
      <c r="B243" s="149"/>
      <c r="C243" s="149"/>
      <c r="D243" s="38"/>
      <c r="E243" s="38"/>
      <c r="F243" s="148"/>
      <c r="G243" s="36"/>
      <c r="H243" s="36"/>
      <c r="I243" s="36"/>
      <c r="J243" s="148"/>
      <c r="K243" s="36"/>
      <c r="L243" s="36"/>
      <c r="M243" s="36"/>
      <c r="N243" s="42"/>
      <c r="O243" s="142"/>
      <c r="P243" s="36"/>
      <c r="Q243" s="36"/>
      <c r="R243" s="36"/>
      <c r="S243" s="36"/>
    </row>
    <row r="244" spans="2:19">
      <c r="B244" s="149"/>
      <c r="C244" s="149"/>
      <c r="D244" s="38"/>
      <c r="E244" s="38"/>
      <c r="F244" s="148"/>
      <c r="G244" s="36"/>
      <c r="H244" s="36"/>
      <c r="I244" s="36"/>
      <c r="J244" s="148"/>
      <c r="K244" s="36"/>
      <c r="L244" s="36"/>
      <c r="M244" s="36"/>
      <c r="N244" s="42"/>
      <c r="O244" s="142"/>
      <c r="P244" s="36"/>
      <c r="Q244" s="36"/>
      <c r="R244" s="36"/>
      <c r="S244" s="36"/>
    </row>
    <row r="245" spans="2:19">
      <c r="B245" s="149"/>
      <c r="C245" s="149"/>
      <c r="D245" s="38"/>
      <c r="E245" s="38"/>
      <c r="F245" s="148"/>
      <c r="G245" s="36"/>
      <c r="H245" s="36"/>
      <c r="I245" s="36"/>
      <c r="J245" s="148"/>
      <c r="K245" s="36"/>
      <c r="L245" s="36"/>
      <c r="M245" s="36"/>
      <c r="N245" s="42"/>
      <c r="O245" s="142"/>
      <c r="P245" s="36"/>
      <c r="Q245" s="36"/>
      <c r="R245" s="36"/>
      <c r="S245" s="36"/>
    </row>
    <row r="246" spans="2:19">
      <c r="B246" s="149"/>
      <c r="C246" s="149"/>
      <c r="D246" s="38"/>
      <c r="E246" s="38"/>
      <c r="F246" s="148"/>
      <c r="G246" s="36"/>
      <c r="H246" s="36"/>
      <c r="I246" s="36"/>
      <c r="J246" s="148"/>
      <c r="K246" s="36"/>
      <c r="L246" s="36"/>
      <c r="M246" s="36"/>
      <c r="N246" s="42"/>
      <c r="O246" s="142"/>
      <c r="P246" s="36"/>
      <c r="Q246" s="36"/>
      <c r="R246" s="36"/>
      <c r="S246" s="36"/>
    </row>
    <row r="247" spans="2:19">
      <c r="B247" s="149"/>
      <c r="C247" s="149"/>
      <c r="D247" s="38"/>
      <c r="E247" s="38"/>
      <c r="F247" s="148"/>
      <c r="G247" s="36"/>
      <c r="H247" s="36"/>
      <c r="I247" s="36"/>
      <c r="J247" s="148"/>
      <c r="K247" s="36"/>
      <c r="L247" s="36"/>
      <c r="M247" s="36"/>
      <c r="N247" s="42"/>
      <c r="O247" s="142"/>
      <c r="P247" s="36"/>
      <c r="Q247" s="36"/>
      <c r="R247" s="36"/>
      <c r="S247" s="36"/>
    </row>
    <row r="248" spans="2:19">
      <c r="B248" s="149"/>
      <c r="C248" s="149"/>
      <c r="D248" s="38"/>
      <c r="E248" s="38"/>
      <c r="F248" s="148"/>
      <c r="G248" s="36"/>
      <c r="H248" s="36"/>
      <c r="I248" s="36"/>
      <c r="J248" s="148"/>
      <c r="K248" s="36"/>
      <c r="L248" s="36"/>
      <c r="M248" s="36"/>
      <c r="N248" s="42"/>
      <c r="O248" s="142"/>
      <c r="P248" s="36"/>
      <c r="Q248" s="36"/>
      <c r="R248" s="36"/>
      <c r="S248" s="36"/>
    </row>
    <row r="249" spans="2:19">
      <c r="B249" s="149"/>
      <c r="C249" s="149"/>
      <c r="D249" s="38"/>
      <c r="E249" s="38"/>
      <c r="F249" s="148"/>
      <c r="G249" s="36"/>
      <c r="H249" s="36"/>
      <c r="I249" s="36"/>
      <c r="J249" s="148"/>
      <c r="K249" s="36"/>
      <c r="L249" s="36"/>
      <c r="M249" s="36"/>
      <c r="N249" s="42"/>
      <c r="O249" s="142"/>
      <c r="P249" s="36"/>
      <c r="Q249" s="36"/>
      <c r="R249" s="36"/>
      <c r="S249" s="36"/>
    </row>
    <row r="250" spans="2:19">
      <c r="B250" s="149"/>
      <c r="C250" s="149"/>
      <c r="D250" s="38"/>
      <c r="E250" s="38"/>
      <c r="F250" s="148"/>
      <c r="G250" s="36"/>
      <c r="H250" s="36"/>
      <c r="I250" s="36"/>
      <c r="J250" s="148"/>
      <c r="K250" s="36"/>
      <c r="L250" s="36"/>
      <c r="M250" s="36"/>
      <c r="N250" s="42"/>
      <c r="O250" s="142"/>
      <c r="P250" s="36"/>
      <c r="Q250" s="36"/>
      <c r="R250" s="36"/>
      <c r="S250" s="36"/>
    </row>
    <row r="251" spans="2:19">
      <c r="B251" s="149"/>
      <c r="C251" s="149"/>
      <c r="D251" s="38"/>
      <c r="E251" s="38"/>
      <c r="F251" s="148"/>
      <c r="G251" s="36"/>
      <c r="H251" s="36"/>
      <c r="I251" s="36"/>
      <c r="J251" s="148"/>
      <c r="K251" s="36"/>
      <c r="L251" s="36"/>
      <c r="M251" s="36"/>
      <c r="N251" s="42"/>
      <c r="O251" s="142"/>
      <c r="P251" s="36"/>
      <c r="Q251" s="36"/>
      <c r="R251" s="36"/>
      <c r="S251" s="36"/>
    </row>
    <row r="252" spans="2:19">
      <c r="B252" s="149"/>
      <c r="C252" s="149"/>
      <c r="D252" s="38"/>
      <c r="E252" s="38"/>
      <c r="F252" s="148"/>
      <c r="G252" s="36"/>
      <c r="H252" s="36"/>
      <c r="I252" s="36"/>
      <c r="J252" s="148"/>
      <c r="K252" s="36"/>
      <c r="L252" s="36"/>
      <c r="M252" s="36"/>
      <c r="N252" s="42"/>
      <c r="O252" s="142"/>
      <c r="P252" s="36"/>
      <c r="Q252" s="36"/>
      <c r="R252" s="36"/>
      <c r="S252" s="36"/>
    </row>
    <row r="253" spans="2:19">
      <c r="B253" s="149"/>
      <c r="C253" s="149"/>
      <c r="D253" s="38"/>
      <c r="E253" s="38"/>
      <c r="F253" s="148"/>
      <c r="G253" s="36"/>
      <c r="H253" s="36"/>
      <c r="I253" s="36"/>
      <c r="J253" s="148"/>
      <c r="K253" s="36"/>
      <c r="L253" s="36"/>
      <c r="M253" s="36"/>
      <c r="N253" s="42"/>
      <c r="O253" s="142"/>
      <c r="P253" s="36"/>
      <c r="Q253" s="36"/>
      <c r="R253" s="36"/>
      <c r="S253" s="36"/>
    </row>
    <row r="254" spans="2:19">
      <c r="B254" s="149"/>
      <c r="C254" s="149"/>
      <c r="D254" s="38"/>
      <c r="E254" s="38"/>
      <c r="F254" s="148"/>
      <c r="G254" s="36"/>
      <c r="H254" s="36"/>
      <c r="I254" s="36"/>
      <c r="J254" s="148"/>
      <c r="K254" s="36"/>
      <c r="L254" s="36"/>
      <c r="M254" s="36"/>
      <c r="N254" s="42"/>
      <c r="O254" s="142"/>
      <c r="P254" s="36"/>
      <c r="Q254" s="36"/>
      <c r="R254" s="36"/>
      <c r="S254" s="36"/>
    </row>
    <row r="255" spans="2:19">
      <c r="B255" s="149"/>
      <c r="C255" s="149"/>
      <c r="D255" s="38"/>
      <c r="E255" s="38"/>
      <c r="F255" s="148"/>
      <c r="G255" s="36"/>
      <c r="H255" s="36"/>
      <c r="I255" s="36"/>
      <c r="J255" s="148"/>
      <c r="K255" s="36"/>
      <c r="L255" s="36"/>
      <c r="M255" s="36"/>
      <c r="N255" s="42"/>
      <c r="O255" s="142"/>
      <c r="P255" s="36"/>
      <c r="Q255" s="36"/>
      <c r="R255" s="36"/>
      <c r="S255" s="36"/>
    </row>
    <row r="256" spans="2:19">
      <c r="B256" s="149"/>
      <c r="C256" s="149"/>
      <c r="D256" s="38"/>
      <c r="E256" s="38"/>
      <c r="F256" s="148"/>
      <c r="G256" s="36"/>
      <c r="H256" s="36"/>
      <c r="I256" s="36"/>
      <c r="J256" s="148"/>
      <c r="K256" s="36"/>
      <c r="L256" s="36"/>
      <c r="M256" s="36"/>
      <c r="N256" s="42"/>
      <c r="O256" s="142"/>
      <c r="P256" s="36"/>
      <c r="Q256" s="36"/>
      <c r="R256" s="36"/>
      <c r="S256" s="36"/>
    </row>
    <row r="257" spans="2:19">
      <c r="B257" s="149"/>
      <c r="C257" s="149"/>
      <c r="D257" s="38"/>
      <c r="E257" s="38"/>
      <c r="F257" s="148"/>
      <c r="G257" s="36"/>
      <c r="H257" s="36"/>
      <c r="I257" s="36"/>
      <c r="J257" s="148"/>
      <c r="K257" s="36"/>
      <c r="L257" s="36"/>
      <c r="M257" s="36"/>
      <c r="N257" s="42"/>
      <c r="O257" s="142"/>
      <c r="P257" s="36"/>
      <c r="Q257" s="36"/>
      <c r="R257" s="36"/>
      <c r="S257" s="36"/>
    </row>
    <row r="258" spans="2:19">
      <c r="B258" s="149"/>
      <c r="C258" s="149"/>
      <c r="D258" s="38"/>
      <c r="E258" s="38"/>
      <c r="F258" s="148"/>
      <c r="G258" s="36"/>
      <c r="H258" s="36"/>
      <c r="I258" s="36"/>
      <c r="J258" s="148"/>
      <c r="K258" s="36"/>
      <c r="L258" s="36"/>
      <c r="M258" s="36"/>
      <c r="N258" s="42"/>
      <c r="O258" s="142"/>
      <c r="P258" s="36"/>
      <c r="Q258" s="36"/>
      <c r="R258" s="36"/>
      <c r="S258" s="36"/>
    </row>
    <row r="259" spans="2:19">
      <c r="B259" s="149"/>
      <c r="C259" s="149"/>
      <c r="D259" s="38"/>
      <c r="E259" s="38"/>
      <c r="F259" s="148"/>
      <c r="G259" s="36"/>
      <c r="H259" s="36"/>
      <c r="I259" s="36"/>
      <c r="J259" s="148"/>
      <c r="K259" s="36"/>
      <c r="L259" s="36"/>
      <c r="M259" s="36"/>
      <c r="N259" s="42"/>
      <c r="O259" s="142"/>
      <c r="P259" s="36"/>
      <c r="Q259" s="36"/>
      <c r="R259" s="36"/>
      <c r="S259" s="36"/>
    </row>
    <row r="260" spans="2:19">
      <c r="B260" s="149"/>
      <c r="C260" s="149"/>
      <c r="D260" s="38"/>
      <c r="E260" s="38"/>
      <c r="F260" s="148"/>
      <c r="G260" s="36"/>
      <c r="H260" s="36"/>
      <c r="I260" s="36"/>
      <c r="J260" s="148"/>
      <c r="K260" s="36"/>
      <c r="L260" s="36"/>
      <c r="M260" s="36"/>
      <c r="N260" s="42"/>
      <c r="O260" s="142"/>
      <c r="P260" s="36"/>
      <c r="Q260" s="36"/>
      <c r="R260" s="36"/>
      <c r="S260" s="36"/>
    </row>
    <row r="261" spans="2:19">
      <c r="B261" s="149"/>
      <c r="C261" s="149"/>
      <c r="D261" s="38"/>
      <c r="E261" s="38"/>
      <c r="F261" s="148"/>
      <c r="G261" s="36"/>
      <c r="H261" s="36"/>
      <c r="I261" s="36"/>
      <c r="J261" s="148"/>
      <c r="K261" s="36"/>
      <c r="L261" s="36"/>
      <c r="M261" s="36"/>
      <c r="N261" s="42"/>
      <c r="O261" s="142"/>
      <c r="P261" s="36"/>
      <c r="Q261" s="36"/>
      <c r="R261" s="36"/>
      <c r="S261" s="36"/>
    </row>
    <row r="262" spans="2:19">
      <c r="B262" s="149"/>
      <c r="C262" s="149"/>
      <c r="D262" s="38"/>
      <c r="E262" s="38"/>
      <c r="F262" s="148"/>
      <c r="G262" s="36"/>
      <c r="H262" s="36"/>
      <c r="I262" s="36"/>
      <c r="J262" s="148"/>
      <c r="K262" s="36"/>
      <c r="L262" s="36"/>
      <c r="M262" s="36"/>
      <c r="N262" s="42"/>
      <c r="O262" s="142"/>
      <c r="P262" s="36"/>
      <c r="Q262" s="36"/>
      <c r="R262" s="36"/>
      <c r="S262" s="36"/>
    </row>
    <row r="263" spans="2:19">
      <c r="B263" s="149"/>
      <c r="C263" s="149"/>
      <c r="D263" s="38"/>
      <c r="E263" s="38"/>
      <c r="F263" s="148"/>
      <c r="G263" s="36"/>
      <c r="H263" s="36"/>
      <c r="I263" s="36"/>
      <c r="J263" s="148"/>
      <c r="K263" s="36"/>
      <c r="L263" s="36"/>
      <c r="M263" s="36"/>
      <c r="N263" s="42"/>
      <c r="O263" s="142"/>
      <c r="P263" s="36"/>
      <c r="Q263" s="36"/>
      <c r="R263" s="36"/>
      <c r="S263" s="36"/>
    </row>
    <row r="264" spans="2:19">
      <c r="B264" s="149"/>
      <c r="C264" s="149"/>
      <c r="D264" s="38"/>
      <c r="E264" s="38"/>
      <c r="F264" s="148"/>
      <c r="G264" s="36"/>
      <c r="H264" s="36"/>
      <c r="I264" s="36"/>
      <c r="J264" s="148"/>
      <c r="K264" s="36"/>
      <c r="L264" s="36"/>
      <c r="M264" s="36"/>
      <c r="N264" s="42"/>
      <c r="O264" s="142"/>
      <c r="P264" s="36"/>
      <c r="Q264" s="36"/>
      <c r="R264" s="36"/>
      <c r="S264" s="36"/>
    </row>
    <row r="265" spans="2:19">
      <c r="B265" s="149"/>
      <c r="C265" s="149"/>
      <c r="D265" s="38"/>
      <c r="E265" s="38"/>
      <c r="F265" s="148"/>
      <c r="G265" s="36"/>
      <c r="H265" s="36"/>
      <c r="I265" s="36"/>
      <c r="J265" s="148"/>
      <c r="K265" s="36"/>
      <c r="L265" s="36"/>
      <c r="M265" s="36"/>
      <c r="N265" s="42"/>
      <c r="O265" s="142"/>
      <c r="P265" s="36"/>
      <c r="Q265" s="36"/>
      <c r="R265" s="36"/>
      <c r="S265" s="36"/>
    </row>
    <row r="266" spans="2:19">
      <c r="B266" s="149"/>
      <c r="C266" s="149"/>
      <c r="D266" s="38"/>
      <c r="E266" s="38"/>
      <c r="F266" s="148"/>
      <c r="G266" s="36"/>
      <c r="H266" s="36"/>
      <c r="I266" s="36"/>
      <c r="J266" s="148"/>
      <c r="K266" s="36"/>
      <c r="L266" s="36"/>
      <c r="M266" s="36"/>
      <c r="N266" s="42"/>
      <c r="O266" s="142"/>
      <c r="P266" s="36"/>
      <c r="Q266" s="36"/>
      <c r="R266" s="36"/>
      <c r="S266" s="36"/>
    </row>
    <row r="267" spans="2:19">
      <c r="B267" s="149"/>
      <c r="C267" s="149"/>
      <c r="D267" s="38"/>
      <c r="E267" s="38"/>
      <c r="F267" s="148"/>
      <c r="G267" s="36"/>
      <c r="H267" s="36"/>
      <c r="I267" s="36"/>
      <c r="J267" s="148"/>
      <c r="K267" s="36"/>
      <c r="L267" s="36"/>
      <c r="M267" s="36"/>
      <c r="N267" s="42"/>
      <c r="O267" s="142"/>
      <c r="P267" s="36"/>
      <c r="Q267" s="36"/>
      <c r="R267" s="36"/>
      <c r="S267" s="36"/>
    </row>
    <row r="268" spans="2:19">
      <c r="B268" s="149"/>
      <c r="C268" s="149"/>
      <c r="D268" s="38"/>
      <c r="E268" s="38"/>
      <c r="F268" s="148"/>
      <c r="G268" s="36"/>
      <c r="H268" s="36"/>
      <c r="I268" s="36"/>
      <c r="J268" s="148"/>
      <c r="K268" s="36"/>
      <c r="L268" s="36"/>
      <c r="M268" s="36"/>
      <c r="N268" s="42"/>
      <c r="O268" s="142"/>
      <c r="P268" s="36"/>
      <c r="Q268" s="36"/>
      <c r="R268" s="36"/>
      <c r="S268" s="36"/>
    </row>
    <row r="269" spans="2:19">
      <c r="B269" s="149"/>
      <c r="C269" s="149"/>
      <c r="D269" s="38"/>
      <c r="E269" s="38"/>
      <c r="F269" s="148"/>
      <c r="G269" s="36"/>
      <c r="H269" s="36"/>
      <c r="I269" s="36"/>
      <c r="J269" s="148"/>
      <c r="K269" s="36"/>
      <c r="L269" s="36"/>
      <c r="M269" s="36"/>
      <c r="N269" s="42"/>
      <c r="O269" s="142"/>
      <c r="P269" s="36"/>
      <c r="Q269" s="36"/>
      <c r="R269" s="36"/>
      <c r="S269" s="36"/>
    </row>
    <row r="270" spans="2:19">
      <c r="B270" s="149"/>
      <c r="C270" s="149"/>
      <c r="D270" s="38"/>
      <c r="E270" s="38"/>
      <c r="F270" s="148"/>
      <c r="G270" s="36"/>
      <c r="H270" s="36"/>
      <c r="I270" s="36"/>
      <c r="J270" s="148"/>
      <c r="K270" s="36"/>
      <c r="L270" s="36"/>
      <c r="M270" s="36"/>
      <c r="N270" s="42"/>
      <c r="O270" s="142"/>
      <c r="P270" s="36"/>
      <c r="Q270" s="36"/>
      <c r="R270" s="36"/>
      <c r="S270" s="36"/>
    </row>
    <row r="271" spans="2:19">
      <c r="B271" s="149"/>
      <c r="C271" s="149"/>
      <c r="D271" s="38"/>
      <c r="E271" s="38"/>
      <c r="F271" s="148"/>
      <c r="G271" s="36"/>
      <c r="H271" s="36"/>
      <c r="I271" s="36"/>
      <c r="J271" s="148"/>
      <c r="K271" s="36"/>
      <c r="L271" s="36"/>
      <c r="M271" s="36"/>
      <c r="N271" s="42"/>
      <c r="O271" s="142"/>
      <c r="P271" s="36"/>
      <c r="Q271" s="36"/>
      <c r="R271" s="36"/>
      <c r="S271" s="36"/>
    </row>
    <row r="272" spans="2:19">
      <c r="B272" s="149"/>
      <c r="C272" s="149"/>
      <c r="D272" s="38"/>
      <c r="E272" s="38"/>
      <c r="F272" s="148"/>
      <c r="G272" s="36"/>
      <c r="H272" s="36"/>
      <c r="I272" s="36"/>
      <c r="J272" s="148"/>
      <c r="K272" s="36"/>
      <c r="L272" s="36"/>
      <c r="M272" s="36"/>
      <c r="N272" s="42"/>
      <c r="O272" s="142"/>
      <c r="P272" s="36"/>
      <c r="Q272" s="36"/>
      <c r="R272" s="36"/>
      <c r="S272" s="36"/>
    </row>
    <row r="273" spans="2:19">
      <c r="B273" s="149"/>
      <c r="C273" s="149"/>
      <c r="D273" s="38"/>
      <c r="E273" s="38"/>
      <c r="F273" s="148"/>
      <c r="G273" s="36"/>
      <c r="H273" s="36"/>
      <c r="I273" s="36"/>
      <c r="J273" s="148"/>
      <c r="K273" s="36"/>
      <c r="L273" s="36"/>
      <c r="M273" s="36"/>
      <c r="N273" s="42"/>
      <c r="O273" s="142"/>
      <c r="P273" s="36"/>
      <c r="Q273" s="36"/>
      <c r="R273" s="36"/>
      <c r="S273" s="36"/>
    </row>
    <row r="274" spans="2:19">
      <c r="B274" s="149"/>
      <c r="C274" s="149"/>
      <c r="D274" s="38"/>
      <c r="E274" s="38"/>
      <c r="F274" s="148"/>
      <c r="G274" s="36"/>
      <c r="H274" s="36"/>
      <c r="I274" s="36"/>
      <c r="J274" s="148"/>
      <c r="K274" s="36"/>
      <c r="L274" s="36"/>
      <c r="M274" s="36"/>
      <c r="N274" s="42"/>
      <c r="O274" s="142"/>
      <c r="P274" s="36"/>
      <c r="Q274" s="36"/>
      <c r="R274" s="36"/>
      <c r="S274" s="36"/>
    </row>
    <row r="275" spans="2:19">
      <c r="B275" s="149"/>
      <c r="C275" s="149"/>
      <c r="D275" s="38"/>
      <c r="E275" s="38"/>
      <c r="F275" s="148"/>
      <c r="G275" s="36"/>
      <c r="H275" s="36"/>
      <c r="I275" s="36"/>
      <c r="J275" s="148"/>
      <c r="K275" s="36"/>
      <c r="L275" s="36"/>
      <c r="M275" s="36"/>
      <c r="N275" s="42"/>
      <c r="O275" s="142"/>
      <c r="P275" s="36"/>
      <c r="Q275" s="36"/>
      <c r="R275" s="36"/>
      <c r="S275" s="36"/>
    </row>
    <row r="276" spans="2:19">
      <c r="B276" s="149"/>
      <c r="C276" s="149"/>
      <c r="D276" s="38"/>
      <c r="E276" s="38"/>
      <c r="F276" s="148"/>
      <c r="G276" s="36"/>
      <c r="H276" s="36"/>
      <c r="I276" s="36"/>
      <c r="J276" s="148"/>
      <c r="K276" s="36"/>
      <c r="L276" s="36"/>
      <c r="M276" s="36"/>
      <c r="N276" s="42"/>
      <c r="O276" s="142"/>
      <c r="P276" s="36"/>
      <c r="Q276" s="36"/>
      <c r="R276" s="36"/>
      <c r="S276" s="36"/>
    </row>
    <row r="277" spans="2:19">
      <c r="B277" s="149"/>
      <c r="C277" s="149"/>
      <c r="D277" s="38"/>
      <c r="E277" s="38"/>
      <c r="F277" s="148"/>
      <c r="G277" s="36"/>
      <c r="H277" s="36"/>
      <c r="I277" s="36"/>
      <c r="J277" s="148"/>
      <c r="K277" s="36"/>
      <c r="L277" s="36"/>
      <c r="M277" s="36"/>
      <c r="N277" s="42"/>
      <c r="O277" s="142"/>
      <c r="P277" s="36"/>
      <c r="Q277" s="36"/>
      <c r="R277" s="36"/>
      <c r="S277" s="36"/>
    </row>
    <row r="278" spans="2:19">
      <c r="B278" s="149"/>
      <c r="C278" s="149"/>
      <c r="D278" s="38"/>
      <c r="E278" s="38"/>
      <c r="F278" s="148"/>
      <c r="G278" s="36"/>
      <c r="H278" s="36"/>
      <c r="I278" s="36"/>
      <c r="J278" s="148"/>
      <c r="K278" s="36"/>
      <c r="L278" s="36"/>
      <c r="M278" s="36"/>
      <c r="N278" s="42"/>
      <c r="O278" s="142"/>
      <c r="P278" s="36"/>
      <c r="Q278" s="36"/>
      <c r="R278" s="36"/>
      <c r="S278" s="36"/>
    </row>
    <row r="279" spans="2:19">
      <c r="B279" s="149"/>
      <c r="C279" s="149"/>
      <c r="D279" s="38"/>
      <c r="E279" s="38"/>
      <c r="F279" s="148"/>
      <c r="G279" s="36"/>
      <c r="H279" s="36"/>
      <c r="I279" s="36"/>
      <c r="J279" s="148"/>
      <c r="K279" s="36"/>
      <c r="L279" s="36"/>
      <c r="M279" s="36"/>
      <c r="N279" s="42"/>
      <c r="O279" s="142"/>
      <c r="P279" s="36"/>
      <c r="Q279" s="36"/>
      <c r="R279" s="36"/>
      <c r="S279" s="36"/>
    </row>
    <row r="280" spans="2:19">
      <c r="B280" s="149"/>
      <c r="C280" s="149"/>
      <c r="D280" s="38"/>
      <c r="E280" s="38"/>
      <c r="F280" s="148"/>
      <c r="G280" s="36"/>
      <c r="H280" s="36"/>
      <c r="I280" s="36"/>
      <c r="J280" s="148"/>
      <c r="K280" s="36"/>
      <c r="L280" s="36"/>
      <c r="M280" s="36"/>
      <c r="N280" s="42"/>
      <c r="O280" s="142"/>
      <c r="P280" s="36"/>
      <c r="Q280" s="36"/>
      <c r="R280" s="36"/>
      <c r="S280" s="36"/>
    </row>
    <row r="281" spans="2:19">
      <c r="B281" s="149"/>
      <c r="C281" s="149"/>
      <c r="D281" s="38"/>
      <c r="E281" s="38"/>
      <c r="F281" s="148"/>
      <c r="G281" s="36"/>
      <c r="H281" s="36"/>
      <c r="I281" s="36"/>
      <c r="J281" s="148"/>
      <c r="K281" s="36"/>
      <c r="L281" s="36"/>
      <c r="M281" s="36"/>
      <c r="N281" s="42"/>
      <c r="O281" s="142"/>
      <c r="P281" s="36"/>
      <c r="Q281" s="36"/>
      <c r="R281" s="36"/>
      <c r="S281" s="36"/>
    </row>
    <row r="282" spans="2:19">
      <c r="B282" s="149"/>
      <c r="C282" s="149"/>
      <c r="D282" s="38"/>
      <c r="E282" s="38"/>
      <c r="F282" s="148"/>
      <c r="G282" s="36"/>
      <c r="H282" s="36"/>
      <c r="I282" s="36"/>
      <c r="J282" s="148"/>
      <c r="K282" s="36"/>
      <c r="L282" s="36"/>
      <c r="M282" s="36"/>
      <c r="N282" s="42"/>
      <c r="O282" s="142"/>
      <c r="P282" s="36"/>
      <c r="Q282" s="36"/>
      <c r="R282" s="36"/>
      <c r="S282" s="36"/>
    </row>
    <row r="283" spans="2:19">
      <c r="B283" s="149"/>
      <c r="C283" s="149"/>
      <c r="D283" s="38"/>
      <c r="E283" s="38"/>
      <c r="F283" s="148"/>
      <c r="G283" s="36"/>
      <c r="H283" s="36"/>
      <c r="I283" s="36"/>
      <c r="J283" s="148"/>
      <c r="K283" s="36"/>
      <c r="L283" s="36"/>
      <c r="M283" s="36"/>
      <c r="N283" s="42"/>
      <c r="O283" s="142"/>
      <c r="P283" s="36"/>
      <c r="Q283" s="36"/>
      <c r="R283" s="36"/>
      <c r="S283" s="36"/>
    </row>
    <row r="284" spans="2:19">
      <c r="B284" s="149"/>
      <c r="C284" s="149"/>
      <c r="D284" s="38"/>
      <c r="E284" s="38"/>
      <c r="F284" s="148"/>
      <c r="G284" s="36"/>
      <c r="H284" s="36"/>
      <c r="I284" s="36"/>
      <c r="J284" s="148"/>
      <c r="K284" s="36"/>
      <c r="L284" s="36"/>
      <c r="M284" s="36"/>
      <c r="N284" s="42"/>
      <c r="O284" s="142"/>
      <c r="P284" s="36"/>
      <c r="Q284" s="36"/>
      <c r="R284" s="36"/>
      <c r="S284" s="36"/>
    </row>
    <row r="285" spans="2:19">
      <c r="B285" s="149"/>
      <c r="C285" s="149"/>
      <c r="D285" s="38"/>
      <c r="E285" s="38"/>
      <c r="F285" s="148"/>
      <c r="G285" s="36"/>
      <c r="H285" s="36"/>
      <c r="I285" s="36"/>
      <c r="J285" s="148"/>
      <c r="K285" s="36"/>
      <c r="L285" s="36"/>
      <c r="M285" s="36"/>
      <c r="N285" s="42"/>
      <c r="O285" s="142"/>
      <c r="P285" s="36"/>
      <c r="Q285" s="36"/>
      <c r="R285" s="36"/>
      <c r="S285" s="36"/>
    </row>
    <row r="286" spans="2:19">
      <c r="B286" s="149"/>
      <c r="C286" s="149"/>
      <c r="D286" s="38"/>
      <c r="E286" s="38"/>
      <c r="F286" s="148"/>
      <c r="G286" s="36"/>
      <c r="H286" s="36"/>
      <c r="I286" s="36"/>
      <c r="J286" s="148"/>
      <c r="K286" s="36"/>
      <c r="L286" s="36"/>
      <c r="M286" s="36"/>
      <c r="N286" s="42"/>
      <c r="O286" s="142"/>
      <c r="P286" s="36"/>
      <c r="Q286" s="36"/>
      <c r="R286" s="36"/>
      <c r="S286" s="36"/>
    </row>
    <row r="287" spans="2:19">
      <c r="B287" s="149"/>
      <c r="C287" s="149"/>
      <c r="D287" s="38"/>
      <c r="E287" s="38"/>
      <c r="F287" s="148"/>
      <c r="G287" s="36"/>
      <c r="H287" s="36"/>
      <c r="I287" s="36"/>
      <c r="J287" s="148"/>
      <c r="K287" s="36"/>
      <c r="L287" s="36"/>
      <c r="M287" s="36"/>
      <c r="N287" s="42"/>
      <c r="O287" s="142"/>
      <c r="P287" s="36"/>
      <c r="Q287" s="36"/>
      <c r="R287" s="36"/>
      <c r="S287" s="36"/>
    </row>
    <row r="288" spans="2:19">
      <c r="B288" s="149"/>
      <c r="C288" s="149"/>
      <c r="D288" s="38"/>
      <c r="E288" s="38"/>
      <c r="F288" s="148"/>
      <c r="G288" s="36"/>
      <c r="H288" s="36"/>
      <c r="I288" s="36"/>
      <c r="J288" s="148"/>
      <c r="K288" s="36"/>
      <c r="L288" s="36"/>
      <c r="M288" s="36"/>
      <c r="N288" s="42"/>
      <c r="O288" s="142"/>
      <c r="P288" s="36"/>
      <c r="Q288" s="36"/>
      <c r="R288" s="36"/>
      <c r="S288" s="36"/>
    </row>
    <row r="289" spans="2:19">
      <c r="B289" s="149"/>
      <c r="C289" s="149"/>
      <c r="D289" s="38"/>
      <c r="E289" s="38"/>
      <c r="F289" s="148"/>
      <c r="G289" s="36"/>
      <c r="H289" s="36"/>
      <c r="I289" s="36"/>
      <c r="J289" s="148"/>
      <c r="K289" s="36"/>
      <c r="L289" s="36"/>
      <c r="M289" s="36"/>
      <c r="N289" s="42"/>
      <c r="O289" s="142"/>
      <c r="P289" s="36"/>
      <c r="Q289" s="36"/>
      <c r="R289" s="36"/>
      <c r="S289" s="36"/>
    </row>
    <row r="290" spans="2:19">
      <c r="B290" s="149"/>
      <c r="C290" s="149"/>
      <c r="D290" s="38"/>
      <c r="E290" s="38"/>
      <c r="F290" s="148"/>
      <c r="G290" s="36"/>
      <c r="H290" s="36"/>
      <c r="I290" s="36"/>
      <c r="J290" s="148"/>
      <c r="K290" s="36"/>
      <c r="L290" s="36"/>
      <c r="M290" s="36"/>
      <c r="N290" s="42"/>
      <c r="O290" s="142"/>
      <c r="P290" s="36"/>
      <c r="Q290" s="36"/>
      <c r="R290" s="36"/>
      <c r="S290" s="36"/>
    </row>
    <row r="291" spans="2:19">
      <c r="B291" s="149"/>
      <c r="C291" s="149"/>
      <c r="D291" s="38"/>
      <c r="E291" s="38"/>
      <c r="F291" s="148"/>
      <c r="G291" s="36"/>
      <c r="H291" s="36"/>
      <c r="I291" s="36"/>
      <c r="J291" s="148"/>
      <c r="K291" s="36"/>
      <c r="L291" s="36"/>
      <c r="M291" s="36"/>
      <c r="N291" s="42"/>
      <c r="O291" s="142"/>
      <c r="P291" s="36"/>
      <c r="Q291" s="36"/>
      <c r="R291" s="36"/>
      <c r="S291" s="36"/>
    </row>
    <row r="292" spans="2:19">
      <c r="B292" s="149"/>
      <c r="C292" s="149"/>
      <c r="D292" s="38"/>
      <c r="E292" s="38"/>
      <c r="F292" s="148"/>
      <c r="G292" s="36"/>
      <c r="H292" s="36"/>
      <c r="I292" s="36"/>
      <c r="J292" s="148"/>
      <c r="K292" s="36"/>
      <c r="L292" s="36"/>
      <c r="M292" s="36"/>
      <c r="N292" s="42"/>
      <c r="O292" s="142"/>
      <c r="P292" s="36"/>
      <c r="Q292" s="36"/>
      <c r="R292" s="36"/>
      <c r="S292" s="36"/>
    </row>
    <row r="293" spans="2:19">
      <c r="B293" s="149"/>
      <c r="C293" s="149"/>
      <c r="D293" s="38"/>
      <c r="E293" s="38"/>
      <c r="F293" s="148"/>
      <c r="G293" s="36"/>
      <c r="H293" s="36"/>
      <c r="I293" s="36"/>
      <c r="J293" s="148"/>
      <c r="K293" s="36"/>
      <c r="L293" s="36"/>
      <c r="M293" s="36"/>
      <c r="N293" s="42"/>
      <c r="O293" s="142"/>
      <c r="P293" s="36"/>
      <c r="Q293" s="36"/>
      <c r="R293" s="36"/>
      <c r="S293" s="36"/>
    </row>
    <row r="294" spans="2:19">
      <c r="B294" s="149"/>
      <c r="C294" s="149"/>
      <c r="D294" s="38"/>
      <c r="E294" s="38"/>
      <c r="F294" s="148"/>
      <c r="G294" s="36"/>
      <c r="H294" s="36"/>
      <c r="I294" s="36"/>
      <c r="J294" s="148"/>
      <c r="K294" s="36"/>
      <c r="L294" s="36"/>
      <c r="M294" s="36"/>
      <c r="N294" s="42"/>
      <c r="O294" s="142"/>
      <c r="P294" s="36"/>
      <c r="Q294" s="36"/>
      <c r="R294" s="36"/>
      <c r="S294" s="36"/>
    </row>
    <row r="295" spans="2:19">
      <c r="B295" s="149"/>
      <c r="C295" s="149"/>
      <c r="D295" s="38"/>
      <c r="E295" s="38"/>
      <c r="F295" s="148"/>
      <c r="G295" s="36"/>
      <c r="H295" s="36"/>
      <c r="I295" s="36"/>
      <c r="J295" s="148"/>
      <c r="K295" s="36"/>
      <c r="L295" s="36"/>
      <c r="M295" s="36"/>
      <c r="N295" s="42"/>
      <c r="O295" s="142"/>
      <c r="P295" s="36"/>
      <c r="Q295" s="36"/>
      <c r="R295" s="36"/>
      <c r="S295" s="36"/>
    </row>
    <row r="296" spans="2:19">
      <c r="B296" s="149"/>
      <c r="C296" s="149"/>
      <c r="D296" s="38"/>
      <c r="E296" s="38"/>
      <c r="F296" s="148"/>
      <c r="G296" s="36"/>
      <c r="H296" s="36"/>
      <c r="I296" s="36"/>
      <c r="J296" s="148"/>
      <c r="K296" s="36"/>
      <c r="L296" s="36"/>
      <c r="M296" s="36"/>
      <c r="N296" s="42"/>
      <c r="O296" s="142"/>
      <c r="P296" s="36"/>
      <c r="Q296" s="36"/>
      <c r="R296" s="36"/>
      <c r="S296" s="36"/>
    </row>
    <row r="297" spans="2:19">
      <c r="B297" s="149"/>
      <c r="C297" s="149"/>
      <c r="D297" s="38"/>
      <c r="E297" s="38"/>
      <c r="F297" s="148"/>
      <c r="G297" s="36"/>
      <c r="H297" s="36"/>
      <c r="I297" s="36"/>
      <c r="J297" s="148"/>
      <c r="K297" s="36"/>
      <c r="L297" s="36"/>
      <c r="M297" s="36"/>
      <c r="N297" s="42"/>
      <c r="O297" s="142"/>
      <c r="P297" s="36"/>
      <c r="Q297" s="36"/>
      <c r="R297" s="36"/>
      <c r="S297" s="36"/>
    </row>
    <row r="298" spans="2:19">
      <c r="B298" s="149"/>
      <c r="C298" s="149"/>
      <c r="D298" s="38"/>
      <c r="E298" s="38"/>
      <c r="F298" s="148"/>
      <c r="G298" s="36"/>
      <c r="H298" s="36"/>
      <c r="I298" s="36"/>
      <c r="J298" s="148"/>
      <c r="K298" s="36"/>
      <c r="L298" s="36"/>
      <c r="M298" s="36"/>
      <c r="N298" s="42"/>
      <c r="O298" s="142"/>
      <c r="P298" s="36"/>
      <c r="Q298" s="36"/>
      <c r="R298" s="36"/>
      <c r="S298" s="36"/>
    </row>
    <row r="299" spans="2:19">
      <c r="B299" s="149"/>
      <c r="C299" s="149"/>
      <c r="D299" s="38"/>
      <c r="E299" s="38"/>
      <c r="F299" s="148"/>
      <c r="G299" s="36"/>
      <c r="H299" s="36"/>
      <c r="I299" s="36"/>
      <c r="J299" s="148"/>
      <c r="K299" s="36"/>
      <c r="L299" s="36"/>
      <c r="M299" s="36"/>
      <c r="N299" s="42"/>
      <c r="O299" s="142"/>
      <c r="P299" s="36"/>
      <c r="Q299" s="36"/>
      <c r="R299" s="36"/>
      <c r="S299" s="36"/>
    </row>
    <row r="300" spans="2:19">
      <c r="B300" s="149"/>
      <c r="C300" s="149"/>
      <c r="D300" s="38"/>
      <c r="E300" s="38"/>
      <c r="F300" s="148"/>
      <c r="G300" s="36"/>
      <c r="H300" s="36"/>
      <c r="I300" s="36"/>
      <c r="J300" s="148"/>
      <c r="K300" s="36"/>
      <c r="L300" s="36"/>
      <c r="M300" s="36"/>
      <c r="N300" s="42"/>
      <c r="O300" s="142"/>
      <c r="P300" s="36"/>
      <c r="Q300" s="36"/>
      <c r="R300" s="36"/>
      <c r="S300" s="36"/>
    </row>
    <row r="301" spans="2:19">
      <c r="B301" s="149"/>
      <c r="C301" s="149"/>
      <c r="D301" s="38"/>
      <c r="E301" s="38"/>
      <c r="F301" s="148"/>
      <c r="G301" s="36"/>
      <c r="H301" s="36"/>
      <c r="I301" s="36"/>
      <c r="J301" s="148"/>
      <c r="K301" s="36"/>
      <c r="L301" s="36"/>
      <c r="M301" s="36"/>
      <c r="N301" s="42"/>
      <c r="O301" s="142"/>
      <c r="P301" s="36"/>
      <c r="Q301" s="36"/>
      <c r="R301" s="36"/>
      <c r="S301" s="36"/>
    </row>
    <row r="302" spans="2:19">
      <c r="B302" s="149"/>
      <c r="C302" s="149"/>
      <c r="D302" s="38"/>
      <c r="E302" s="38"/>
      <c r="F302" s="148"/>
      <c r="G302" s="36"/>
      <c r="H302" s="36"/>
      <c r="I302" s="36"/>
      <c r="J302" s="148"/>
      <c r="K302" s="36"/>
      <c r="L302" s="36"/>
      <c r="M302" s="36"/>
      <c r="N302" s="42"/>
      <c r="O302" s="142"/>
      <c r="P302" s="36"/>
      <c r="Q302" s="36"/>
      <c r="R302" s="36"/>
      <c r="S302" s="36"/>
    </row>
    <row r="303" spans="2:19">
      <c r="B303" s="149"/>
      <c r="C303" s="149"/>
      <c r="D303" s="38"/>
      <c r="E303" s="38"/>
      <c r="F303" s="148"/>
      <c r="G303" s="36"/>
      <c r="H303" s="36"/>
      <c r="I303" s="36"/>
      <c r="J303" s="148"/>
      <c r="K303" s="36"/>
      <c r="L303" s="36"/>
      <c r="M303" s="36"/>
      <c r="N303" s="42"/>
      <c r="O303" s="142"/>
      <c r="P303" s="36"/>
      <c r="Q303" s="36"/>
      <c r="R303" s="36"/>
      <c r="S303" s="36"/>
    </row>
    <row r="304" spans="2:19">
      <c r="B304" s="149"/>
      <c r="C304" s="149"/>
      <c r="D304" s="38"/>
      <c r="E304" s="38"/>
      <c r="F304" s="148"/>
      <c r="G304" s="36"/>
      <c r="H304" s="36"/>
      <c r="I304" s="36"/>
      <c r="J304" s="148"/>
      <c r="K304" s="36"/>
      <c r="L304" s="36"/>
      <c r="M304" s="36"/>
      <c r="N304" s="42"/>
      <c r="O304" s="142"/>
      <c r="P304" s="36"/>
      <c r="Q304" s="36"/>
      <c r="R304" s="36"/>
      <c r="S304" s="36"/>
    </row>
    <row r="305" spans="2:19">
      <c r="B305" s="149"/>
      <c r="C305" s="149"/>
      <c r="D305" s="38"/>
      <c r="E305" s="38"/>
      <c r="F305" s="148"/>
      <c r="G305" s="36"/>
      <c r="H305" s="36"/>
      <c r="I305" s="36"/>
      <c r="J305" s="148"/>
      <c r="K305" s="36"/>
      <c r="L305" s="36"/>
      <c r="M305" s="36"/>
      <c r="N305" s="42"/>
      <c r="O305" s="142"/>
      <c r="P305" s="36"/>
      <c r="Q305" s="36"/>
      <c r="R305" s="36"/>
      <c r="S305" s="36"/>
    </row>
    <row r="306" spans="2:19">
      <c r="B306" s="149"/>
      <c r="C306" s="149"/>
      <c r="D306" s="38"/>
      <c r="E306" s="38"/>
      <c r="F306" s="148"/>
      <c r="G306" s="36"/>
      <c r="H306" s="36"/>
      <c r="I306" s="36"/>
      <c r="J306" s="148"/>
      <c r="K306" s="36"/>
      <c r="L306" s="36"/>
      <c r="M306" s="36"/>
      <c r="N306" s="42"/>
      <c r="O306" s="142"/>
      <c r="P306" s="36"/>
      <c r="Q306" s="36"/>
      <c r="R306" s="36"/>
      <c r="S306" s="36"/>
    </row>
    <row r="307" spans="2:19">
      <c r="B307" s="149"/>
      <c r="C307" s="149"/>
      <c r="D307" s="38"/>
      <c r="E307" s="38"/>
      <c r="F307" s="148"/>
      <c r="G307" s="36"/>
      <c r="H307" s="36"/>
      <c r="I307" s="36"/>
      <c r="J307" s="148"/>
      <c r="K307" s="36"/>
      <c r="L307" s="36"/>
      <c r="M307" s="36"/>
      <c r="N307" s="42"/>
      <c r="O307" s="142"/>
      <c r="P307" s="36"/>
      <c r="Q307" s="36"/>
      <c r="R307" s="36"/>
      <c r="S307" s="36"/>
    </row>
    <row r="308" spans="2:19">
      <c r="B308" s="149"/>
      <c r="C308" s="149"/>
      <c r="D308" s="38"/>
      <c r="E308" s="38"/>
      <c r="F308" s="148"/>
      <c r="G308" s="36"/>
      <c r="H308" s="36"/>
      <c r="I308" s="36"/>
      <c r="J308" s="148"/>
      <c r="K308" s="36"/>
      <c r="L308" s="36"/>
      <c r="M308" s="36"/>
      <c r="N308" s="42"/>
      <c r="O308" s="142"/>
      <c r="P308" s="36"/>
      <c r="Q308" s="36"/>
      <c r="R308" s="36"/>
      <c r="S308" s="36"/>
    </row>
    <row r="309" spans="2:19">
      <c r="B309" s="149"/>
      <c r="C309" s="149"/>
      <c r="D309" s="38"/>
      <c r="E309" s="38"/>
      <c r="F309" s="148"/>
      <c r="G309" s="36"/>
      <c r="H309" s="36"/>
      <c r="I309" s="36"/>
      <c r="J309" s="148"/>
      <c r="K309" s="36"/>
      <c r="L309" s="36"/>
      <c r="M309" s="36"/>
      <c r="N309" s="42"/>
      <c r="O309" s="142"/>
      <c r="P309" s="36"/>
      <c r="Q309" s="36"/>
      <c r="R309" s="36"/>
      <c r="S309" s="36"/>
    </row>
    <row r="310" spans="2:19">
      <c r="B310" s="149"/>
      <c r="C310" s="149"/>
      <c r="D310" s="38"/>
      <c r="E310" s="38"/>
      <c r="F310" s="148"/>
      <c r="G310" s="36"/>
      <c r="H310" s="36"/>
      <c r="I310" s="36"/>
      <c r="J310" s="148"/>
      <c r="K310" s="36"/>
      <c r="L310" s="36"/>
      <c r="M310" s="36"/>
      <c r="N310" s="42"/>
      <c r="O310" s="142"/>
      <c r="P310" s="36"/>
      <c r="Q310" s="36"/>
      <c r="R310" s="36"/>
      <c r="S310" s="36"/>
    </row>
    <row r="311" spans="2:19">
      <c r="B311" s="149"/>
      <c r="C311" s="149"/>
      <c r="D311" s="38"/>
      <c r="E311" s="38"/>
      <c r="F311" s="148"/>
      <c r="G311" s="36"/>
      <c r="H311" s="36"/>
      <c r="I311" s="36"/>
      <c r="J311" s="148"/>
      <c r="K311" s="36"/>
      <c r="L311" s="36"/>
      <c r="M311" s="36"/>
      <c r="N311" s="42"/>
      <c r="O311" s="142"/>
      <c r="P311" s="36"/>
      <c r="Q311" s="36"/>
      <c r="R311" s="36"/>
      <c r="S311" s="36"/>
    </row>
    <row r="312" spans="2:19">
      <c r="B312" s="149"/>
      <c r="C312" s="149"/>
      <c r="D312" s="38"/>
      <c r="E312" s="38"/>
      <c r="F312" s="148"/>
      <c r="G312" s="36"/>
      <c r="H312" s="36"/>
      <c r="I312" s="36"/>
      <c r="J312" s="148"/>
      <c r="K312" s="36"/>
      <c r="L312" s="36"/>
      <c r="M312" s="36"/>
      <c r="N312" s="42"/>
      <c r="O312" s="142"/>
      <c r="P312" s="36"/>
      <c r="Q312" s="36"/>
      <c r="R312" s="36"/>
      <c r="S312" s="36"/>
    </row>
    <row r="313" spans="2:19">
      <c r="B313" s="149"/>
      <c r="C313" s="149"/>
      <c r="D313" s="38"/>
      <c r="E313" s="38"/>
      <c r="F313" s="148"/>
      <c r="G313" s="36"/>
      <c r="H313" s="36"/>
      <c r="I313" s="36"/>
      <c r="J313" s="148"/>
      <c r="K313" s="36"/>
      <c r="L313" s="36"/>
      <c r="M313" s="36"/>
      <c r="N313" s="42"/>
      <c r="O313" s="142"/>
      <c r="P313" s="36"/>
      <c r="Q313" s="36"/>
      <c r="R313" s="36"/>
      <c r="S313" s="36"/>
    </row>
    <row r="314" spans="2:19">
      <c r="B314" s="149"/>
      <c r="C314" s="149"/>
      <c r="D314" s="38"/>
      <c r="E314" s="38"/>
      <c r="F314" s="148"/>
      <c r="G314" s="36"/>
      <c r="H314" s="36"/>
      <c r="I314" s="36"/>
      <c r="J314" s="148"/>
      <c r="K314" s="36"/>
      <c r="L314" s="36"/>
      <c r="M314" s="36"/>
      <c r="N314" s="42"/>
      <c r="O314" s="142"/>
      <c r="P314" s="36"/>
      <c r="Q314" s="36"/>
      <c r="R314" s="36"/>
      <c r="S314" s="36"/>
    </row>
    <row r="315" spans="2:19">
      <c r="B315" s="149"/>
      <c r="C315" s="149"/>
      <c r="D315" s="38"/>
      <c r="E315" s="38"/>
      <c r="F315" s="148"/>
      <c r="G315" s="36"/>
      <c r="H315" s="36"/>
      <c r="I315" s="36"/>
      <c r="J315" s="148"/>
      <c r="K315" s="36"/>
      <c r="L315" s="36"/>
      <c r="M315" s="36"/>
      <c r="N315" s="42"/>
      <c r="O315" s="142"/>
      <c r="P315" s="36"/>
      <c r="Q315" s="36"/>
      <c r="R315" s="36"/>
      <c r="S315" s="36"/>
    </row>
    <row r="316" spans="2:19">
      <c r="B316" s="149"/>
      <c r="C316" s="149"/>
      <c r="D316" s="38"/>
      <c r="E316" s="38"/>
      <c r="F316" s="148"/>
      <c r="G316" s="36"/>
      <c r="H316" s="36"/>
      <c r="I316" s="36"/>
      <c r="J316" s="148"/>
      <c r="K316" s="36"/>
      <c r="L316" s="36"/>
      <c r="M316" s="36"/>
      <c r="N316" s="42"/>
      <c r="O316" s="142"/>
      <c r="P316" s="36"/>
      <c r="Q316" s="36"/>
      <c r="R316" s="36"/>
      <c r="S316" s="36"/>
    </row>
    <row r="317" spans="2:19">
      <c r="B317" s="149"/>
      <c r="C317" s="149"/>
      <c r="D317" s="38"/>
      <c r="E317" s="38"/>
      <c r="F317" s="148"/>
      <c r="G317" s="36"/>
      <c r="H317" s="36"/>
      <c r="I317" s="36"/>
      <c r="J317" s="148"/>
      <c r="K317" s="36"/>
      <c r="L317" s="36"/>
      <c r="M317" s="36"/>
      <c r="N317" s="42"/>
      <c r="O317" s="142"/>
      <c r="P317" s="36"/>
      <c r="Q317" s="36"/>
      <c r="R317" s="36"/>
      <c r="S317" s="36"/>
    </row>
    <row r="318" spans="2:19">
      <c r="B318" s="149"/>
      <c r="C318" s="149"/>
      <c r="D318" s="38"/>
      <c r="E318" s="38"/>
      <c r="F318" s="148"/>
      <c r="G318" s="36"/>
      <c r="H318" s="36"/>
      <c r="I318" s="36"/>
      <c r="J318" s="148"/>
      <c r="K318" s="36"/>
      <c r="L318" s="36"/>
      <c r="M318" s="36"/>
      <c r="N318" s="42"/>
      <c r="O318" s="142"/>
      <c r="P318" s="36"/>
      <c r="Q318" s="36"/>
      <c r="R318" s="36"/>
      <c r="S318" s="36"/>
    </row>
    <row r="319" spans="2:19">
      <c r="B319" s="149"/>
      <c r="C319" s="149"/>
      <c r="D319" s="38"/>
      <c r="E319" s="38"/>
      <c r="F319" s="148"/>
      <c r="G319" s="36"/>
      <c r="H319" s="36"/>
      <c r="I319" s="36"/>
      <c r="J319" s="148"/>
      <c r="K319" s="36"/>
      <c r="L319" s="36"/>
      <c r="M319" s="36"/>
      <c r="N319" s="42"/>
      <c r="O319" s="142"/>
      <c r="P319" s="36"/>
      <c r="Q319" s="36"/>
      <c r="R319" s="36"/>
      <c r="S319" s="36"/>
    </row>
    <row r="320" spans="2:19">
      <c r="B320" s="149"/>
      <c r="C320" s="149"/>
      <c r="D320" s="38"/>
      <c r="E320" s="38"/>
      <c r="F320" s="148"/>
      <c r="G320" s="36"/>
      <c r="H320" s="36"/>
      <c r="I320" s="36"/>
      <c r="J320" s="148"/>
      <c r="K320" s="36"/>
      <c r="L320" s="36"/>
      <c r="M320" s="36"/>
      <c r="N320" s="42"/>
      <c r="O320" s="142"/>
      <c r="P320" s="36"/>
      <c r="Q320" s="36"/>
      <c r="R320" s="36"/>
      <c r="S320" s="36"/>
    </row>
    <row r="321" spans="2:19">
      <c r="B321" s="149"/>
      <c r="C321" s="149"/>
      <c r="D321" s="38"/>
      <c r="E321" s="38"/>
      <c r="F321" s="148"/>
      <c r="G321" s="36"/>
      <c r="H321" s="36"/>
      <c r="I321" s="36"/>
      <c r="J321" s="148"/>
      <c r="K321" s="36"/>
      <c r="L321" s="36"/>
      <c r="M321" s="36"/>
      <c r="N321" s="42"/>
      <c r="O321" s="142"/>
      <c r="P321" s="36"/>
      <c r="Q321" s="36"/>
      <c r="R321" s="36"/>
      <c r="S321" s="36"/>
    </row>
    <row r="322" spans="2:19">
      <c r="B322" s="149"/>
      <c r="C322" s="149"/>
      <c r="D322" s="38"/>
      <c r="E322" s="38"/>
      <c r="F322" s="148"/>
      <c r="G322" s="36"/>
      <c r="H322" s="36"/>
      <c r="I322" s="36"/>
      <c r="J322" s="148"/>
      <c r="K322" s="36"/>
      <c r="L322" s="36"/>
      <c r="M322" s="36"/>
      <c r="N322" s="42"/>
      <c r="O322" s="142"/>
      <c r="P322" s="36"/>
      <c r="Q322" s="36"/>
      <c r="R322" s="36"/>
      <c r="S322" s="36"/>
    </row>
    <row r="323" spans="2:19">
      <c r="B323" s="149"/>
      <c r="C323" s="149"/>
      <c r="D323" s="38"/>
      <c r="E323" s="38"/>
      <c r="F323" s="148"/>
      <c r="G323" s="36"/>
      <c r="H323" s="36"/>
      <c r="I323" s="36"/>
      <c r="J323" s="148"/>
      <c r="K323" s="36"/>
      <c r="L323" s="36"/>
      <c r="M323" s="36"/>
      <c r="N323" s="42"/>
      <c r="O323" s="142"/>
      <c r="P323" s="36"/>
      <c r="Q323" s="36"/>
      <c r="R323" s="36"/>
      <c r="S323" s="36"/>
    </row>
    <row r="324" spans="2:19">
      <c r="B324" s="149"/>
      <c r="C324" s="149"/>
      <c r="D324" s="38"/>
      <c r="E324" s="38"/>
      <c r="F324" s="148"/>
      <c r="G324" s="36"/>
      <c r="H324" s="36"/>
      <c r="I324" s="36"/>
      <c r="J324" s="148"/>
      <c r="K324" s="36"/>
      <c r="L324" s="36"/>
      <c r="M324" s="36"/>
      <c r="N324" s="42"/>
      <c r="O324" s="142"/>
      <c r="P324" s="36"/>
      <c r="Q324" s="36"/>
      <c r="R324" s="36"/>
      <c r="S324" s="36"/>
    </row>
    <row r="325" spans="2:19">
      <c r="B325" s="149"/>
      <c r="C325" s="149"/>
      <c r="D325" s="38"/>
      <c r="E325" s="38"/>
      <c r="F325" s="148"/>
      <c r="G325" s="36"/>
      <c r="H325" s="36"/>
      <c r="I325" s="36"/>
      <c r="J325" s="148"/>
      <c r="K325" s="36"/>
      <c r="L325" s="36"/>
      <c r="M325" s="36"/>
      <c r="N325" s="42"/>
      <c r="O325" s="142"/>
      <c r="P325" s="36"/>
      <c r="Q325" s="36"/>
      <c r="R325" s="36"/>
      <c r="S325" s="36"/>
    </row>
    <row r="326" spans="2:19">
      <c r="B326" s="149"/>
      <c r="C326" s="149"/>
      <c r="D326" s="38"/>
      <c r="E326" s="38"/>
      <c r="F326" s="148"/>
      <c r="G326" s="36"/>
      <c r="H326" s="36"/>
      <c r="I326" s="36"/>
      <c r="J326" s="148"/>
      <c r="K326" s="36"/>
      <c r="L326" s="36"/>
      <c r="M326" s="36"/>
      <c r="N326" s="42"/>
      <c r="O326" s="142"/>
      <c r="P326" s="36"/>
      <c r="Q326" s="36"/>
      <c r="R326" s="36"/>
      <c r="S326" s="36"/>
    </row>
    <row r="327" spans="2:19">
      <c r="B327" s="149"/>
      <c r="C327" s="149"/>
      <c r="D327" s="38"/>
      <c r="E327" s="38"/>
      <c r="F327" s="148"/>
      <c r="G327" s="36"/>
      <c r="H327" s="36"/>
      <c r="I327" s="36"/>
      <c r="J327" s="148"/>
      <c r="K327" s="36"/>
      <c r="L327" s="36"/>
      <c r="M327" s="36"/>
      <c r="N327" s="42"/>
      <c r="O327" s="142"/>
      <c r="P327" s="36"/>
      <c r="Q327" s="36"/>
      <c r="R327" s="36"/>
      <c r="S327" s="36"/>
    </row>
    <row r="328" spans="2:19">
      <c r="B328" s="149"/>
      <c r="C328" s="149"/>
      <c r="D328" s="38"/>
      <c r="E328" s="38"/>
      <c r="F328" s="148"/>
      <c r="G328" s="36"/>
      <c r="H328" s="36"/>
      <c r="I328" s="36"/>
      <c r="J328" s="148"/>
      <c r="K328" s="36"/>
      <c r="L328" s="36"/>
      <c r="M328" s="36"/>
      <c r="N328" s="42"/>
      <c r="O328" s="142"/>
      <c r="P328" s="36"/>
      <c r="Q328" s="36"/>
      <c r="R328" s="36"/>
      <c r="S328" s="36"/>
    </row>
    <row r="329" spans="2:19">
      <c r="B329" s="149"/>
      <c r="C329" s="149"/>
      <c r="D329" s="38"/>
      <c r="E329" s="38"/>
      <c r="F329" s="148"/>
      <c r="G329" s="36"/>
      <c r="H329" s="36"/>
      <c r="I329" s="36"/>
      <c r="J329" s="148"/>
      <c r="K329" s="36"/>
      <c r="L329" s="36"/>
      <c r="M329" s="36"/>
      <c r="N329" s="42"/>
      <c r="O329" s="142"/>
      <c r="P329" s="36"/>
      <c r="Q329" s="36"/>
      <c r="R329" s="36"/>
      <c r="S329" s="36"/>
    </row>
    <row r="330" spans="2:19">
      <c r="B330" s="149"/>
      <c r="C330" s="149"/>
      <c r="D330" s="38"/>
      <c r="E330" s="38"/>
      <c r="F330" s="148"/>
      <c r="G330" s="36"/>
      <c r="H330" s="36"/>
      <c r="I330" s="36"/>
      <c r="J330" s="148"/>
      <c r="K330" s="36"/>
      <c r="L330" s="36"/>
      <c r="M330" s="36"/>
      <c r="N330" s="42"/>
      <c r="O330" s="142"/>
      <c r="P330" s="36"/>
      <c r="Q330" s="36"/>
      <c r="R330" s="36"/>
      <c r="S330" s="36"/>
    </row>
    <row r="331" spans="2:19">
      <c r="B331" s="149"/>
      <c r="C331" s="149"/>
      <c r="D331" s="38"/>
      <c r="E331" s="38"/>
      <c r="F331" s="148"/>
      <c r="G331" s="36"/>
      <c r="H331" s="36"/>
      <c r="I331" s="36"/>
      <c r="J331" s="148"/>
      <c r="K331" s="36"/>
      <c r="L331" s="36"/>
      <c r="M331" s="36"/>
      <c r="N331" s="42"/>
      <c r="O331" s="142"/>
      <c r="P331" s="36"/>
      <c r="Q331" s="36"/>
      <c r="R331" s="36"/>
      <c r="S331" s="36"/>
    </row>
    <row r="332" spans="2:19">
      <c r="B332" s="149"/>
      <c r="C332" s="149"/>
      <c r="D332" s="38"/>
      <c r="E332" s="38"/>
      <c r="F332" s="148"/>
      <c r="G332" s="36"/>
      <c r="H332" s="36"/>
      <c r="I332" s="36"/>
      <c r="J332" s="148"/>
      <c r="K332" s="36"/>
      <c r="L332" s="36"/>
      <c r="M332" s="36"/>
      <c r="N332" s="42"/>
      <c r="O332" s="142"/>
      <c r="P332" s="36"/>
      <c r="Q332" s="36"/>
      <c r="R332" s="36"/>
      <c r="S332" s="36"/>
    </row>
    <row r="333" spans="2:19">
      <c r="B333" s="149"/>
      <c r="C333" s="149"/>
      <c r="D333" s="38"/>
      <c r="E333" s="38"/>
      <c r="F333" s="148"/>
      <c r="G333" s="36"/>
      <c r="H333" s="36"/>
      <c r="I333" s="36"/>
      <c r="J333" s="148"/>
      <c r="K333" s="36"/>
      <c r="L333" s="36"/>
      <c r="M333" s="36"/>
      <c r="N333" s="42"/>
      <c r="O333" s="142"/>
      <c r="P333" s="36"/>
      <c r="Q333" s="36"/>
      <c r="R333" s="36"/>
      <c r="S333" s="36"/>
    </row>
    <row r="334" spans="2:19">
      <c r="B334" s="149"/>
      <c r="C334" s="149"/>
      <c r="D334" s="38"/>
      <c r="E334" s="38"/>
      <c r="F334" s="148"/>
      <c r="G334" s="36"/>
      <c r="H334" s="36"/>
      <c r="I334" s="36"/>
      <c r="J334" s="148"/>
      <c r="K334" s="36"/>
      <c r="L334" s="36"/>
      <c r="M334" s="36"/>
      <c r="N334" s="42"/>
      <c r="O334" s="142"/>
      <c r="P334" s="36"/>
      <c r="Q334" s="36"/>
      <c r="R334" s="36"/>
      <c r="S334" s="36"/>
    </row>
    <row r="335" spans="2:19">
      <c r="B335" s="149"/>
      <c r="C335" s="149"/>
      <c r="D335" s="38"/>
      <c r="E335" s="38"/>
      <c r="F335" s="148"/>
      <c r="G335" s="36"/>
      <c r="H335" s="36"/>
      <c r="I335" s="36"/>
      <c r="J335" s="148"/>
      <c r="K335" s="36"/>
      <c r="L335" s="36"/>
      <c r="M335" s="36"/>
      <c r="N335" s="42"/>
      <c r="O335" s="142"/>
      <c r="P335" s="36"/>
      <c r="Q335" s="36"/>
      <c r="R335" s="36"/>
      <c r="S335" s="36"/>
    </row>
    <row r="336" spans="2:19">
      <c r="B336" s="149"/>
      <c r="C336" s="149"/>
      <c r="D336" s="38"/>
      <c r="E336" s="38"/>
      <c r="F336" s="148"/>
      <c r="G336" s="36"/>
      <c r="H336" s="36"/>
      <c r="I336" s="36"/>
      <c r="J336" s="148"/>
      <c r="K336" s="36"/>
      <c r="L336" s="36"/>
      <c r="M336" s="36"/>
      <c r="N336" s="42"/>
      <c r="O336" s="142"/>
      <c r="P336" s="36"/>
      <c r="Q336" s="36"/>
      <c r="R336" s="36"/>
      <c r="S336" s="36"/>
    </row>
    <row r="337" spans="2:19">
      <c r="B337" s="149"/>
      <c r="C337" s="149"/>
      <c r="D337" s="38"/>
      <c r="E337" s="38"/>
      <c r="F337" s="148"/>
      <c r="G337" s="36"/>
      <c r="H337" s="36"/>
      <c r="I337" s="36"/>
      <c r="J337" s="148"/>
      <c r="K337" s="36"/>
      <c r="L337" s="36"/>
      <c r="M337" s="36"/>
      <c r="N337" s="42"/>
      <c r="O337" s="142"/>
      <c r="P337" s="36"/>
      <c r="Q337" s="36"/>
      <c r="R337" s="36"/>
      <c r="S337" s="36"/>
    </row>
    <row r="338" spans="2:19">
      <c r="B338" s="149"/>
      <c r="C338" s="149"/>
      <c r="D338" s="38"/>
      <c r="E338" s="38"/>
      <c r="F338" s="148"/>
      <c r="G338" s="36"/>
      <c r="H338" s="36"/>
      <c r="I338" s="36"/>
      <c r="J338" s="148"/>
      <c r="K338" s="36"/>
      <c r="L338" s="36"/>
      <c r="M338" s="36"/>
      <c r="N338" s="42"/>
      <c r="O338" s="142"/>
      <c r="P338" s="36"/>
      <c r="Q338" s="36"/>
      <c r="R338" s="36"/>
      <c r="S338" s="36"/>
    </row>
    <row r="339" spans="2:19">
      <c r="B339" s="149"/>
      <c r="C339" s="149"/>
      <c r="D339" s="38"/>
      <c r="E339" s="38"/>
      <c r="F339" s="148"/>
      <c r="G339" s="36"/>
      <c r="H339" s="36"/>
      <c r="I339" s="36"/>
      <c r="J339" s="148"/>
      <c r="K339" s="36"/>
      <c r="L339" s="36"/>
      <c r="M339" s="36"/>
      <c r="N339" s="42"/>
      <c r="O339" s="142"/>
      <c r="P339" s="36"/>
      <c r="Q339" s="36"/>
      <c r="R339" s="36"/>
      <c r="S339" s="36"/>
    </row>
    <row r="340" spans="2:19">
      <c r="B340" s="149"/>
      <c r="C340" s="149"/>
      <c r="D340" s="38"/>
      <c r="E340" s="38"/>
      <c r="F340" s="148"/>
      <c r="G340" s="36"/>
      <c r="H340" s="36"/>
      <c r="I340" s="36"/>
      <c r="J340" s="148"/>
      <c r="K340" s="36"/>
      <c r="L340" s="36"/>
      <c r="M340" s="36"/>
      <c r="N340" s="42"/>
      <c r="O340" s="142"/>
      <c r="P340" s="36"/>
      <c r="Q340" s="36"/>
      <c r="R340" s="36"/>
      <c r="S340" s="36"/>
    </row>
    <row r="341" spans="2:19">
      <c r="B341" s="149"/>
      <c r="C341" s="149"/>
      <c r="D341" s="38"/>
      <c r="E341" s="38"/>
      <c r="F341" s="148"/>
      <c r="G341" s="36"/>
      <c r="H341" s="36"/>
      <c r="I341" s="36"/>
      <c r="J341" s="148"/>
      <c r="K341" s="36"/>
      <c r="L341" s="36"/>
      <c r="M341" s="36"/>
      <c r="N341" s="42"/>
      <c r="O341" s="142"/>
      <c r="P341" s="36"/>
      <c r="Q341" s="36"/>
      <c r="R341" s="36"/>
      <c r="S341" s="36"/>
    </row>
    <row r="342" spans="2:19">
      <c r="B342" s="149"/>
      <c r="C342" s="149"/>
      <c r="D342" s="38"/>
      <c r="E342" s="38"/>
      <c r="F342" s="148"/>
      <c r="G342" s="36"/>
      <c r="H342" s="36"/>
      <c r="I342" s="36"/>
      <c r="J342" s="148"/>
      <c r="K342" s="36"/>
      <c r="L342" s="36"/>
      <c r="M342" s="36"/>
      <c r="N342" s="42"/>
      <c r="O342" s="142"/>
      <c r="P342" s="36"/>
      <c r="Q342" s="36"/>
      <c r="R342" s="36"/>
      <c r="S342" s="36"/>
    </row>
    <row r="343" spans="2:19">
      <c r="B343" s="149"/>
      <c r="C343" s="149"/>
      <c r="D343" s="38"/>
      <c r="E343" s="38"/>
      <c r="F343" s="148"/>
      <c r="G343" s="36"/>
      <c r="H343" s="36"/>
      <c r="I343" s="36"/>
      <c r="J343" s="148"/>
      <c r="K343" s="36"/>
      <c r="L343" s="36"/>
      <c r="M343" s="36"/>
      <c r="N343" s="42"/>
      <c r="O343" s="142"/>
      <c r="P343" s="36"/>
      <c r="Q343" s="36"/>
      <c r="R343" s="36"/>
      <c r="S343" s="36"/>
    </row>
    <row r="344" spans="2:19">
      <c r="B344" s="149"/>
      <c r="C344" s="149"/>
      <c r="D344" s="38"/>
      <c r="E344" s="38"/>
      <c r="F344" s="148"/>
      <c r="G344" s="36"/>
      <c r="H344" s="36"/>
      <c r="I344" s="36"/>
      <c r="J344" s="148"/>
      <c r="K344" s="36"/>
      <c r="L344" s="36"/>
      <c r="M344" s="36"/>
      <c r="N344" s="42"/>
      <c r="O344" s="142"/>
      <c r="P344" s="36"/>
      <c r="Q344" s="36"/>
      <c r="R344" s="36"/>
      <c r="S344" s="36"/>
    </row>
    <row r="345" spans="2:19">
      <c r="B345" s="149"/>
      <c r="C345" s="149"/>
      <c r="D345" s="38"/>
      <c r="E345" s="38"/>
      <c r="F345" s="148"/>
      <c r="G345" s="36"/>
      <c r="H345" s="36"/>
      <c r="I345" s="36"/>
      <c r="J345" s="148"/>
      <c r="K345" s="36"/>
      <c r="L345" s="36"/>
      <c r="M345" s="36"/>
      <c r="N345" s="42"/>
      <c r="O345" s="142"/>
      <c r="P345" s="36"/>
      <c r="Q345" s="36"/>
      <c r="R345" s="36"/>
      <c r="S345" s="36"/>
    </row>
    <row r="346" spans="2:19">
      <c r="B346" s="149"/>
      <c r="C346" s="149"/>
      <c r="D346" s="38"/>
      <c r="E346" s="38"/>
      <c r="F346" s="148"/>
      <c r="G346" s="36"/>
      <c r="H346" s="36"/>
      <c r="I346" s="36"/>
      <c r="J346" s="148"/>
      <c r="K346" s="36"/>
      <c r="L346" s="36"/>
      <c r="M346" s="36"/>
      <c r="N346" s="42"/>
      <c r="O346" s="142"/>
      <c r="P346" s="36"/>
      <c r="Q346" s="36"/>
      <c r="R346" s="36"/>
      <c r="S346" s="36"/>
    </row>
    <row r="347" spans="2:19">
      <c r="B347" s="149"/>
      <c r="C347" s="149"/>
      <c r="D347" s="38"/>
      <c r="E347" s="38"/>
      <c r="F347" s="148"/>
      <c r="G347" s="36"/>
      <c r="H347" s="36"/>
      <c r="I347" s="36"/>
      <c r="J347" s="148"/>
      <c r="K347" s="36"/>
      <c r="L347" s="36"/>
      <c r="M347" s="36"/>
      <c r="N347" s="42"/>
      <c r="O347" s="142"/>
      <c r="P347" s="36"/>
      <c r="Q347" s="36"/>
      <c r="R347" s="36"/>
      <c r="S347" s="36"/>
    </row>
    <row r="348" spans="2:19">
      <c r="B348" s="149"/>
      <c r="C348" s="149"/>
      <c r="D348" s="38"/>
      <c r="E348" s="38"/>
      <c r="F348" s="148"/>
      <c r="G348" s="36"/>
      <c r="H348" s="36"/>
      <c r="I348" s="36"/>
      <c r="J348" s="148"/>
      <c r="K348" s="36"/>
      <c r="L348" s="36"/>
      <c r="M348" s="36"/>
      <c r="N348" s="42"/>
      <c r="O348" s="142"/>
      <c r="P348" s="36"/>
      <c r="Q348" s="36"/>
      <c r="R348" s="36"/>
      <c r="S348" s="36"/>
    </row>
    <row r="349" spans="2:19">
      <c r="B349" s="149"/>
      <c r="C349" s="149"/>
      <c r="D349" s="38"/>
      <c r="E349" s="38"/>
      <c r="F349" s="148"/>
      <c r="G349" s="36"/>
      <c r="H349" s="36"/>
      <c r="I349" s="36"/>
      <c r="J349" s="148"/>
      <c r="K349" s="36"/>
      <c r="L349" s="36"/>
      <c r="M349" s="36"/>
      <c r="N349" s="42"/>
      <c r="O349" s="142"/>
      <c r="P349" s="36"/>
      <c r="Q349" s="36"/>
      <c r="R349" s="36"/>
      <c r="S349" s="36"/>
    </row>
    <row r="350" spans="2:19">
      <c r="B350" s="149"/>
      <c r="C350" s="149"/>
      <c r="D350" s="38"/>
      <c r="E350" s="38"/>
      <c r="F350" s="148"/>
      <c r="G350" s="36"/>
      <c r="H350" s="36"/>
      <c r="I350" s="36"/>
      <c r="J350" s="148"/>
      <c r="K350" s="36"/>
      <c r="L350" s="36"/>
      <c r="M350" s="36"/>
      <c r="N350" s="42"/>
      <c r="O350" s="142"/>
      <c r="P350" s="36"/>
      <c r="Q350" s="36"/>
      <c r="R350" s="36"/>
      <c r="S350" s="36"/>
    </row>
    <row r="351" spans="2:19">
      <c r="B351" s="149"/>
      <c r="C351" s="149"/>
      <c r="D351" s="38"/>
      <c r="E351" s="38"/>
      <c r="F351" s="148"/>
      <c r="G351" s="36"/>
      <c r="H351" s="36"/>
      <c r="I351" s="36"/>
      <c r="J351" s="148"/>
      <c r="K351" s="36"/>
      <c r="L351" s="36"/>
      <c r="M351" s="36"/>
      <c r="N351" s="42"/>
      <c r="O351" s="142"/>
      <c r="P351" s="36"/>
      <c r="Q351" s="36"/>
      <c r="R351" s="36"/>
      <c r="S351" s="36"/>
    </row>
    <row r="352" spans="2:19">
      <c r="B352" s="149"/>
      <c r="C352" s="149"/>
      <c r="D352" s="38"/>
      <c r="E352" s="38"/>
      <c r="F352" s="148"/>
      <c r="G352" s="36"/>
      <c r="H352" s="36"/>
      <c r="I352" s="36"/>
      <c r="J352" s="148"/>
      <c r="K352" s="36"/>
      <c r="L352" s="36"/>
      <c r="M352" s="36"/>
      <c r="N352" s="42"/>
      <c r="O352" s="142"/>
      <c r="P352" s="36"/>
      <c r="Q352" s="36"/>
      <c r="R352" s="36"/>
      <c r="S352" s="36"/>
    </row>
    <row r="353" spans="2:19">
      <c r="B353" s="149"/>
      <c r="C353" s="149"/>
      <c r="D353" s="38"/>
      <c r="E353" s="38"/>
      <c r="F353" s="148"/>
      <c r="G353" s="36"/>
      <c r="H353" s="36"/>
      <c r="I353" s="36"/>
      <c r="J353" s="148"/>
      <c r="K353" s="36"/>
      <c r="L353" s="36"/>
      <c r="M353" s="36"/>
      <c r="N353" s="42"/>
      <c r="O353" s="142"/>
      <c r="P353" s="36"/>
      <c r="Q353" s="36"/>
      <c r="R353" s="36"/>
      <c r="S353" s="36"/>
    </row>
    <row r="354" spans="2:19">
      <c r="B354" s="149"/>
      <c r="C354" s="149"/>
      <c r="D354" s="38"/>
      <c r="E354" s="38"/>
      <c r="F354" s="148"/>
      <c r="G354" s="36"/>
      <c r="H354" s="36"/>
      <c r="I354" s="36"/>
      <c r="J354" s="148"/>
      <c r="K354" s="36"/>
      <c r="L354" s="36"/>
      <c r="M354" s="36"/>
      <c r="N354" s="42"/>
      <c r="O354" s="142"/>
      <c r="P354" s="36"/>
      <c r="Q354" s="36"/>
      <c r="R354" s="36"/>
      <c r="S354" s="36"/>
    </row>
    <row r="355" spans="2:19">
      <c r="B355" s="149"/>
      <c r="C355" s="149"/>
      <c r="D355" s="38"/>
      <c r="E355" s="38"/>
      <c r="F355" s="148"/>
      <c r="G355" s="36"/>
      <c r="H355" s="36"/>
      <c r="I355" s="36"/>
      <c r="J355" s="148"/>
      <c r="K355" s="36"/>
      <c r="L355" s="36"/>
      <c r="M355" s="36"/>
      <c r="N355" s="42"/>
      <c r="O355" s="142"/>
      <c r="P355" s="36"/>
      <c r="Q355" s="36"/>
      <c r="R355" s="36"/>
      <c r="S355" s="36"/>
    </row>
    <row r="356" spans="2:19">
      <c r="B356" s="149"/>
      <c r="C356" s="149"/>
      <c r="D356" s="38"/>
      <c r="E356" s="38"/>
      <c r="F356" s="148"/>
      <c r="G356" s="36"/>
      <c r="H356" s="36"/>
      <c r="I356" s="36"/>
      <c r="J356" s="148"/>
      <c r="K356" s="36"/>
      <c r="L356" s="36"/>
      <c r="M356" s="36"/>
      <c r="N356" s="42"/>
      <c r="O356" s="142"/>
      <c r="P356" s="36"/>
      <c r="Q356" s="36"/>
      <c r="R356" s="36"/>
      <c r="S356" s="36"/>
    </row>
    <row r="357" spans="2:19">
      <c r="B357" s="149"/>
      <c r="C357" s="149"/>
      <c r="D357" s="38"/>
      <c r="E357" s="38"/>
      <c r="F357" s="148"/>
      <c r="G357" s="36"/>
      <c r="H357" s="36"/>
      <c r="I357" s="36"/>
      <c r="J357" s="148"/>
      <c r="K357" s="36"/>
      <c r="L357" s="36"/>
      <c r="M357" s="36"/>
      <c r="N357" s="42"/>
      <c r="O357" s="142"/>
      <c r="P357" s="36"/>
      <c r="Q357" s="36"/>
      <c r="R357" s="36"/>
      <c r="S357" s="36"/>
    </row>
    <row r="358" spans="2:19">
      <c r="B358" s="149"/>
      <c r="C358" s="149"/>
      <c r="D358" s="38"/>
      <c r="E358" s="38"/>
      <c r="F358" s="148"/>
      <c r="G358" s="36"/>
      <c r="H358" s="36"/>
      <c r="I358" s="36"/>
      <c r="J358" s="148"/>
      <c r="K358" s="36"/>
      <c r="L358" s="36"/>
      <c r="M358" s="36"/>
      <c r="N358" s="42"/>
      <c r="O358" s="142"/>
      <c r="P358" s="36"/>
      <c r="Q358" s="36"/>
      <c r="R358" s="36"/>
      <c r="S358" s="36"/>
    </row>
    <row r="359" spans="2:19">
      <c r="B359" s="149"/>
      <c r="C359" s="149"/>
      <c r="D359" s="38"/>
      <c r="E359" s="38"/>
      <c r="F359" s="148"/>
      <c r="G359" s="36"/>
      <c r="H359" s="36"/>
      <c r="I359" s="36"/>
      <c r="J359" s="148"/>
      <c r="K359" s="36"/>
      <c r="L359" s="36"/>
      <c r="M359" s="36"/>
      <c r="N359" s="42"/>
      <c r="O359" s="142"/>
      <c r="P359" s="36"/>
      <c r="Q359" s="36"/>
      <c r="R359" s="36"/>
      <c r="S359" s="36"/>
    </row>
    <row r="360" spans="2:19">
      <c r="B360" s="149"/>
      <c r="C360" s="149"/>
      <c r="D360" s="38"/>
      <c r="E360" s="38"/>
      <c r="F360" s="148"/>
      <c r="G360" s="36"/>
      <c r="H360" s="36"/>
      <c r="I360" s="36"/>
      <c r="J360" s="148"/>
      <c r="K360" s="36"/>
      <c r="L360" s="36"/>
      <c r="M360" s="36"/>
      <c r="N360" s="42"/>
      <c r="O360" s="142"/>
      <c r="P360" s="36"/>
      <c r="Q360" s="36"/>
      <c r="R360" s="36"/>
      <c r="S360" s="36"/>
    </row>
    <row r="361" spans="2:19">
      <c r="B361" s="149"/>
      <c r="C361" s="149"/>
      <c r="D361" s="38"/>
      <c r="E361" s="38"/>
      <c r="F361" s="148"/>
      <c r="G361" s="36"/>
      <c r="H361" s="36"/>
      <c r="I361" s="36"/>
      <c r="J361" s="148"/>
      <c r="K361" s="36"/>
      <c r="L361" s="36"/>
      <c r="M361" s="36"/>
      <c r="N361" s="42"/>
      <c r="O361" s="142"/>
      <c r="P361" s="36"/>
      <c r="Q361" s="36"/>
      <c r="R361" s="36"/>
      <c r="S361" s="36"/>
    </row>
    <row r="362" spans="2:19">
      <c r="B362" s="149"/>
      <c r="C362" s="149"/>
      <c r="D362" s="38"/>
      <c r="E362" s="38"/>
      <c r="F362" s="148"/>
      <c r="G362" s="36"/>
      <c r="H362" s="36"/>
      <c r="I362" s="36"/>
      <c r="J362" s="148"/>
      <c r="K362" s="36"/>
      <c r="L362" s="36"/>
      <c r="M362" s="36"/>
      <c r="N362" s="42"/>
      <c r="O362" s="142"/>
      <c r="P362" s="36"/>
      <c r="Q362" s="36"/>
      <c r="R362" s="36"/>
      <c r="S362" s="36"/>
    </row>
    <row r="363" spans="2:19">
      <c r="B363" s="149"/>
      <c r="C363" s="149"/>
      <c r="D363" s="38"/>
      <c r="E363" s="38"/>
      <c r="F363" s="148"/>
      <c r="G363" s="36"/>
      <c r="H363" s="36"/>
      <c r="I363" s="36"/>
      <c r="J363" s="148"/>
      <c r="K363" s="36"/>
      <c r="L363" s="36"/>
      <c r="M363" s="36"/>
      <c r="N363" s="42"/>
      <c r="O363" s="142"/>
      <c r="P363" s="36"/>
      <c r="Q363" s="36"/>
      <c r="R363" s="36"/>
      <c r="S363" s="36"/>
    </row>
    <row r="364" spans="2:19">
      <c r="B364" s="149"/>
      <c r="C364" s="149"/>
      <c r="D364" s="38"/>
      <c r="E364" s="38"/>
      <c r="F364" s="148"/>
      <c r="G364" s="36"/>
      <c r="H364" s="36"/>
      <c r="I364" s="36"/>
      <c r="J364" s="148"/>
      <c r="K364" s="36"/>
      <c r="L364" s="36"/>
      <c r="M364" s="36"/>
      <c r="N364" s="42"/>
      <c r="O364" s="142"/>
      <c r="P364" s="36"/>
      <c r="Q364" s="36"/>
      <c r="R364" s="36"/>
      <c r="S364" s="36"/>
    </row>
    <row r="365" spans="2:19">
      <c r="B365" s="149"/>
      <c r="C365" s="149"/>
      <c r="D365" s="38"/>
      <c r="E365" s="38"/>
      <c r="F365" s="148"/>
      <c r="G365" s="36"/>
      <c r="H365" s="36"/>
      <c r="I365" s="36"/>
      <c r="J365" s="148"/>
      <c r="K365" s="36"/>
      <c r="L365" s="36"/>
      <c r="M365" s="36"/>
      <c r="N365" s="42"/>
      <c r="O365" s="142"/>
      <c r="P365" s="36"/>
      <c r="Q365" s="36"/>
      <c r="R365" s="36"/>
      <c r="S365" s="36"/>
    </row>
    <row r="366" spans="2:19">
      <c r="B366" s="149"/>
      <c r="C366" s="149"/>
      <c r="D366" s="38"/>
      <c r="E366" s="38"/>
      <c r="F366" s="148"/>
      <c r="G366" s="36"/>
      <c r="H366" s="36"/>
      <c r="I366" s="36"/>
      <c r="J366" s="148"/>
      <c r="K366" s="36"/>
      <c r="L366" s="36"/>
      <c r="M366" s="36"/>
      <c r="N366" s="42"/>
      <c r="O366" s="142"/>
      <c r="P366" s="36"/>
      <c r="Q366" s="36"/>
      <c r="R366" s="36"/>
      <c r="S366" s="36"/>
    </row>
    <row r="367" spans="2:19">
      <c r="B367" s="149"/>
      <c r="C367" s="149"/>
      <c r="D367" s="38"/>
      <c r="E367" s="38"/>
      <c r="F367" s="148"/>
      <c r="G367" s="36"/>
      <c r="H367" s="36"/>
      <c r="I367" s="36"/>
      <c r="J367" s="148"/>
      <c r="K367" s="36"/>
      <c r="L367" s="36"/>
      <c r="M367" s="36"/>
      <c r="N367" s="42"/>
      <c r="O367" s="142"/>
      <c r="P367" s="36"/>
      <c r="Q367" s="36"/>
      <c r="R367" s="36"/>
      <c r="S367" s="36"/>
    </row>
    <row r="368" spans="2:19">
      <c r="B368" s="149"/>
      <c r="C368" s="149"/>
      <c r="D368" s="38"/>
      <c r="E368" s="38"/>
      <c r="F368" s="148"/>
      <c r="G368" s="36"/>
      <c r="H368" s="36"/>
      <c r="I368" s="36"/>
      <c r="J368" s="148"/>
      <c r="K368" s="36"/>
      <c r="L368" s="36"/>
      <c r="M368" s="36"/>
      <c r="N368" s="42"/>
      <c r="O368" s="142"/>
      <c r="P368" s="36"/>
      <c r="Q368" s="36"/>
      <c r="R368" s="36"/>
      <c r="S368" s="36"/>
    </row>
    <row r="369" spans="2:19">
      <c r="B369" s="149"/>
      <c r="C369" s="149"/>
      <c r="D369" s="38"/>
      <c r="E369" s="38"/>
      <c r="F369" s="148"/>
      <c r="G369" s="36"/>
      <c r="H369" s="36"/>
      <c r="I369" s="36"/>
      <c r="J369" s="148"/>
      <c r="K369" s="36"/>
      <c r="L369" s="36"/>
      <c r="M369" s="36"/>
      <c r="N369" s="42"/>
      <c r="O369" s="142"/>
      <c r="P369" s="36"/>
      <c r="Q369" s="36"/>
      <c r="R369" s="36"/>
      <c r="S369" s="36"/>
    </row>
    <row r="370" spans="2:19">
      <c r="B370" s="149"/>
      <c r="C370" s="149"/>
      <c r="D370" s="38"/>
      <c r="E370" s="38"/>
      <c r="F370" s="148"/>
      <c r="G370" s="36"/>
      <c r="H370" s="36"/>
      <c r="I370" s="36"/>
      <c r="J370" s="148"/>
      <c r="K370" s="36"/>
      <c r="L370" s="36"/>
      <c r="M370" s="36"/>
      <c r="N370" s="42"/>
      <c r="O370" s="142"/>
      <c r="P370" s="36"/>
      <c r="Q370" s="36"/>
      <c r="R370" s="36"/>
      <c r="S370" s="36"/>
    </row>
    <row r="371" spans="2:19">
      <c r="B371" s="149"/>
      <c r="C371" s="149"/>
      <c r="D371" s="38"/>
      <c r="E371" s="38"/>
      <c r="F371" s="148"/>
      <c r="G371" s="36"/>
      <c r="H371" s="36"/>
      <c r="I371" s="36"/>
      <c r="J371" s="148"/>
      <c r="K371" s="36"/>
      <c r="L371" s="36"/>
      <c r="M371" s="36"/>
      <c r="N371" s="42"/>
      <c r="O371" s="142"/>
      <c r="P371" s="36"/>
      <c r="Q371" s="36"/>
      <c r="R371" s="36"/>
      <c r="S371" s="36"/>
    </row>
    <row r="372" spans="2:19">
      <c r="B372" s="149"/>
      <c r="C372" s="149"/>
      <c r="D372" s="38"/>
      <c r="E372" s="38"/>
      <c r="F372" s="148"/>
      <c r="G372" s="36"/>
      <c r="H372" s="36"/>
      <c r="I372" s="36"/>
      <c r="J372" s="148"/>
      <c r="K372" s="36"/>
      <c r="L372" s="36"/>
      <c r="M372" s="36"/>
      <c r="N372" s="42"/>
      <c r="O372" s="142"/>
      <c r="P372" s="36"/>
      <c r="Q372" s="36"/>
      <c r="R372" s="36"/>
      <c r="S372" s="36"/>
    </row>
    <row r="373" spans="2:19">
      <c r="B373" s="149"/>
      <c r="C373" s="149"/>
      <c r="D373" s="38"/>
      <c r="E373" s="38"/>
      <c r="F373" s="148"/>
      <c r="G373" s="36"/>
      <c r="H373" s="36"/>
      <c r="I373" s="36"/>
      <c r="J373" s="148"/>
      <c r="K373" s="36"/>
      <c r="L373" s="36"/>
      <c r="M373" s="36"/>
      <c r="N373" s="42"/>
      <c r="O373" s="142"/>
      <c r="P373" s="36"/>
      <c r="Q373" s="36"/>
      <c r="R373" s="36"/>
      <c r="S373" s="36"/>
    </row>
    <row r="374" spans="2:19">
      <c r="B374" s="149"/>
      <c r="C374" s="149"/>
      <c r="D374" s="38"/>
      <c r="E374" s="38"/>
      <c r="F374" s="148"/>
      <c r="G374" s="36"/>
      <c r="H374" s="36"/>
      <c r="I374" s="36"/>
      <c r="J374" s="148"/>
      <c r="K374" s="36"/>
      <c r="L374" s="36"/>
      <c r="M374" s="36"/>
      <c r="N374" s="42"/>
      <c r="O374" s="142"/>
      <c r="P374" s="36"/>
      <c r="Q374" s="36"/>
      <c r="R374" s="36"/>
      <c r="S374" s="36"/>
    </row>
    <row r="375" spans="2:19">
      <c r="B375" s="149"/>
      <c r="C375" s="149"/>
      <c r="D375" s="38"/>
      <c r="E375" s="38"/>
      <c r="F375" s="148"/>
      <c r="G375" s="36"/>
      <c r="H375" s="36"/>
      <c r="I375" s="36"/>
      <c r="J375" s="148"/>
      <c r="K375" s="36"/>
      <c r="L375" s="36"/>
      <c r="M375" s="36"/>
      <c r="N375" s="42"/>
      <c r="O375" s="142"/>
      <c r="P375" s="36"/>
      <c r="Q375" s="36"/>
      <c r="R375" s="36"/>
      <c r="S375" s="36"/>
    </row>
    <row r="376" spans="2:19">
      <c r="B376" s="149"/>
      <c r="C376" s="149"/>
      <c r="D376" s="38"/>
      <c r="E376" s="38"/>
      <c r="F376" s="148"/>
      <c r="G376" s="36"/>
      <c r="H376" s="36"/>
      <c r="I376" s="36"/>
      <c r="J376" s="148"/>
      <c r="K376" s="36"/>
      <c r="L376" s="36"/>
      <c r="M376" s="36"/>
      <c r="N376" s="42"/>
      <c r="O376" s="142"/>
      <c r="P376" s="36"/>
      <c r="Q376" s="36"/>
      <c r="R376" s="36"/>
      <c r="S376" s="36"/>
    </row>
    <row r="377" spans="2:19">
      <c r="B377" s="149"/>
      <c r="C377" s="149"/>
      <c r="D377" s="38"/>
      <c r="E377" s="38"/>
      <c r="F377" s="148"/>
      <c r="G377" s="36"/>
      <c r="H377" s="36"/>
      <c r="I377" s="36"/>
      <c r="J377" s="148"/>
      <c r="K377" s="36"/>
      <c r="L377" s="36"/>
      <c r="M377" s="36"/>
      <c r="N377" s="42"/>
      <c r="O377" s="142"/>
      <c r="P377" s="36"/>
      <c r="Q377" s="36"/>
      <c r="R377" s="36"/>
      <c r="S377" s="36"/>
    </row>
    <row r="378" spans="2:19">
      <c r="B378" s="149"/>
      <c r="C378" s="149"/>
      <c r="D378" s="38"/>
      <c r="E378" s="38"/>
      <c r="F378" s="148"/>
      <c r="G378" s="36"/>
      <c r="H378" s="36"/>
      <c r="I378" s="36"/>
      <c r="J378" s="148"/>
      <c r="K378" s="36"/>
      <c r="L378" s="36"/>
      <c r="M378" s="36"/>
      <c r="N378" s="42"/>
      <c r="O378" s="142"/>
      <c r="P378" s="36"/>
      <c r="Q378" s="36"/>
      <c r="R378" s="36"/>
      <c r="S378" s="36"/>
    </row>
    <row r="379" spans="2:19">
      <c r="B379" s="149"/>
      <c r="C379" s="149"/>
      <c r="D379" s="38"/>
      <c r="E379" s="38"/>
      <c r="F379" s="148"/>
      <c r="G379" s="36"/>
      <c r="H379" s="36"/>
      <c r="I379" s="36"/>
      <c r="J379" s="148"/>
      <c r="K379" s="36"/>
      <c r="L379" s="36"/>
      <c r="M379" s="36"/>
      <c r="N379" s="42"/>
      <c r="O379" s="142"/>
      <c r="P379" s="36"/>
      <c r="Q379" s="36"/>
      <c r="R379" s="36"/>
      <c r="S379" s="36"/>
    </row>
    <row r="380" spans="2:19">
      <c r="B380" s="149"/>
      <c r="C380" s="149"/>
      <c r="D380" s="38"/>
      <c r="E380" s="38"/>
      <c r="F380" s="148"/>
      <c r="G380" s="36"/>
      <c r="H380" s="36"/>
      <c r="I380" s="36"/>
      <c r="J380" s="148"/>
      <c r="K380" s="36"/>
      <c r="L380" s="36"/>
      <c r="M380" s="36"/>
      <c r="N380" s="42"/>
      <c r="O380" s="142"/>
      <c r="P380" s="36"/>
      <c r="Q380" s="36"/>
      <c r="R380" s="36"/>
      <c r="S380" s="36"/>
    </row>
    <row r="381" spans="2:19">
      <c r="B381" s="149"/>
      <c r="C381" s="149"/>
      <c r="D381" s="38"/>
      <c r="E381" s="38"/>
      <c r="F381" s="148"/>
      <c r="G381" s="36"/>
      <c r="H381" s="36"/>
      <c r="I381" s="36"/>
      <c r="J381" s="148"/>
      <c r="K381" s="36"/>
      <c r="L381" s="36"/>
      <c r="M381" s="36"/>
      <c r="N381" s="42"/>
      <c r="O381" s="142"/>
      <c r="P381" s="36"/>
      <c r="Q381" s="36"/>
      <c r="R381" s="36"/>
      <c r="S381" s="36"/>
    </row>
    <row r="382" spans="2:19">
      <c r="B382" s="149"/>
      <c r="C382" s="149"/>
      <c r="D382" s="38"/>
      <c r="E382" s="38"/>
      <c r="F382" s="148"/>
      <c r="G382" s="36"/>
      <c r="H382" s="36"/>
      <c r="I382" s="36"/>
      <c r="J382" s="148"/>
      <c r="K382" s="36"/>
      <c r="L382" s="36"/>
      <c r="M382" s="36"/>
      <c r="N382" s="42"/>
      <c r="O382" s="142"/>
      <c r="P382" s="36"/>
      <c r="Q382" s="36"/>
      <c r="R382" s="36"/>
      <c r="S382" s="36"/>
    </row>
    <row r="383" spans="2:19">
      <c r="B383" s="149"/>
      <c r="C383" s="149"/>
      <c r="D383" s="38"/>
      <c r="E383" s="38"/>
      <c r="F383" s="148"/>
      <c r="G383" s="36"/>
      <c r="H383" s="36"/>
      <c r="I383" s="36"/>
      <c r="J383" s="148"/>
      <c r="K383" s="36"/>
      <c r="L383" s="36"/>
      <c r="M383" s="36"/>
      <c r="N383" s="42"/>
      <c r="O383" s="142"/>
      <c r="P383" s="36"/>
      <c r="Q383" s="36"/>
      <c r="R383" s="36"/>
      <c r="S383" s="36"/>
    </row>
    <row r="384" spans="2:19">
      <c r="B384" s="149"/>
      <c r="C384" s="149"/>
      <c r="D384" s="38"/>
      <c r="E384" s="38"/>
      <c r="F384" s="148"/>
      <c r="G384" s="36"/>
      <c r="H384" s="36"/>
      <c r="I384" s="36"/>
      <c r="J384" s="148"/>
      <c r="K384" s="36"/>
      <c r="L384" s="36"/>
      <c r="M384" s="36"/>
      <c r="N384" s="42"/>
      <c r="O384" s="142"/>
      <c r="P384" s="36"/>
      <c r="Q384" s="36"/>
      <c r="R384" s="36"/>
      <c r="S384" s="36"/>
    </row>
    <row r="385" spans="2:19">
      <c r="B385" s="149"/>
      <c r="C385" s="149"/>
      <c r="D385" s="38"/>
      <c r="E385" s="38"/>
      <c r="F385" s="148"/>
      <c r="G385" s="36"/>
      <c r="H385" s="36"/>
      <c r="I385" s="36"/>
      <c r="J385" s="148"/>
      <c r="K385" s="36"/>
      <c r="L385" s="36"/>
      <c r="M385" s="36"/>
      <c r="N385" s="42"/>
      <c r="O385" s="142"/>
      <c r="P385" s="36"/>
      <c r="Q385" s="36"/>
      <c r="R385" s="36"/>
      <c r="S385" s="36"/>
    </row>
    <row r="386" spans="2:19">
      <c r="B386" s="149"/>
      <c r="C386" s="149"/>
      <c r="D386" s="38"/>
      <c r="E386" s="38"/>
      <c r="F386" s="148"/>
      <c r="G386" s="36"/>
      <c r="H386" s="36"/>
      <c r="I386" s="36"/>
      <c r="J386" s="148"/>
      <c r="K386" s="36"/>
      <c r="L386" s="36"/>
      <c r="M386" s="36"/>
      <c r="N386" s="42"/>
      <c r="O386" s="142"/>
      <c r="P386" s="36"/>
      <c r="Q386" s="36"/>
      <c r="R386" s="36"/>
      <c r="S386" s="36"/>
    </row>
    <row r="387" spans="2:19">
      <c r="B387" s="149"/>
      <c r="C387" s="149"/>
      <c r="D387" s="38"/>
      <c r="E387" s="38"/>
      <c r="F387" s="148"/>
      <c r="G387" s="36"/>
      <c r="H387" s="36"/>
      <c r="I387" s="36"/>
      <c r="J387" s="148"/>
      <c r="K387" s="36"/>
      <c r="L387" s="36"/>
      <c r="M387" s="36"/>
      <c r="N387" s="42"/>
      <c r="O387" s="142"/>
      <c r="P387" s="36"/>
      <c r="Q387" s="36"/>
      <c r="R387" s="36"/>
      <c r="S387" s="36"/>
    </row>
    <row r="388" spans="2:19">
      <c r="B388" s="149"/>
      <c r="C388" s="149"/>
      <c r="D388" s="38"/>
      <c r="E388" s="38"/>
      <c r="F388" s="148"/>
      <c r="G388" s="36"/>
      <c r="H388" s="36"/>
      <c r="I388" s="36"/>
      <c r="J388" s="148"/>
      <c r="K388" s="36"/>
      <c r="L388" s="36"/>
      <c r="M388" s="36"/>
      <c r="N388" s="42"/>
      <c r="O388" s="142"/>
      <c r="P388" s="36"/>
      <c r="Q388" s="36"/>
      <c r="R388" s="36"/>
      <c r="S388" s="36"/>
    </row>
    <row r="389" spans="2:19">
      <c r="B389" s="149"/>
      <c r="C389" s="149"/>
      <c r="D389" s="38"/>
      <c r="E389" s="38"/>
      <c r="F389" s="148"/>
      <c r="G389" s="36"/>
      <c r="H389" s="36"/>
      <c r="I389" s="36"/>
      <c r="J389" s="148"/>
      <c r="K389" s="36"/>
      <c r="L389" s="36"/>
      <c r="M389" s="36"/>
      <c r="N389" s="42"/>
      <c r="O389" s="142"/>
      <c r="P389" s="36"/>
      <c r="Q389" s="36"/>
      <c r="R389" s="36"/>
      <c r="S389" s="36"/>
    </row>
    <row r="390" spans="2:19">
      <c r="B390" s="149"/>
      <c r="C390" s="149"/>
      <c r="D390" s="38"/>
      <c r="E390" s="38"/>
      <c r="F390" s="148"/>
      <c r="G390" s="36"/>
      <c r="H390" s="36"/>
      <c r="I390" s="36"/>
      <c r="J390" s="148"/>
      <c r="K390" s="36"/>
      <c r="L390" s="36"/>
      <c r="M390" s="36"/>
      <c r="N390" s="42"/>
      <c r="O390" s="142"/>
      <c r="P390" s="36"/>
      <c r="Q390" s="36"/>
      <c r="R390" s="36"/>
      <c r="S390" s="36"/>
    </row>
    <row r="391" spans="2:19">
      <c r="B391" s="149"/>
      <c r="C391" s="149"/>
      <c r="D391" s="38"/>
      <c r="E391" s="38"/>
      <c r="F391" s="148"/>
      <c r="G391" s="36"/>
      <c r="H391" s="36"/>
      <c r="I391" s="36"/>
      <c r="J391" s="148"/>
      <c r="K391" s="36"/>
      <c r="L391" s="36"/>
      <c r="M391" s="36"/>
      <c r="N391" s="42"/>
      <c r="O391" s="142"/>
      <c r="P391" s="36"/>
      <c r="Q391" s="36"/>
      <c r="R391" s="36"/>
      <c r="S391" s="36"/>
    </row>
    <row r="392" spans="2:19">
      <c r="B392" s="149"/>
      <c r="C392" s="149"/>
      <c r="D392" s="38"/>
      <c r="E392" s="38"/>
      <c r="F392" s="148"/>
      <c r="G392" s="36"/>
      <c r="H392" s="36"/>
      <c r="I392" s="36"/>
      <c r="J392" s="148"/>
      <c r="K392" s="36"/>
      <c r="L392" s="36"/>
      <c r="M392" s="36"/>
      <c r="N392" s="42"/>
      <c r="O392" s="142"/>
      <c r="P392" s="36"/>
      <c r="Q392" s="36"/>
      <c r="R392" s="36"/>
      <c r="S392" s="36"/>
    </row>
    <row r="393" spans="2:19">
      <c r="B393" s="149"/>
      <c r="C393" s="149"/>
      <c r="D393" s="38"/>
      <c r="E393" s="38"/>
      <c r="F393" s="148"/>
      <c r="G393" s="36"/>
      <c r="H393" s="36"/>
      <c r="I393" s="36"/>
      <c r="J393" s="148"/>
      <c r="K393" s="36"/>
      <c r="L393" s="36"/>
      <c r="M393" s="36"/>
      <c r="N393" s="42"/>
      <c r="O393" s="142"/>
      <c r="P393" s="36"/>
      <c r="Q393" s="36"/>
      <c r="R393" s="36"/>
      <c r="S393" s="36"/>
    </row>
    <row r="394" spans="2:19">
      <c r="B394" s="149"/>
      <c r="C394" s="149"/>
      <c r="D394" s="38"/>
      <c r="E394" s="38"/>
      <c r="F394" s="148"/>
      <c r="G394" s="36"/>
      <c r="H394" s="36"/>
      <c r="I394" s="36"/>
      <c r="J394" s="148"/>
      <c r="K394" s="36"/>
      <c r="L394" s="36"/>
      <c r="M394" s="36"/>
      <c r="N394" s="42"/>
      <c r="O394" s="142"/>
      <c r="P394" s="36"/>
      <c r="Q394" s="36"/>
      <c r="R394" s="36"/>
      <c r="S394" s="36"/>
    </row>
    <row r="395" spans="2:19">
      <c r="B395" s="149"/>
      <c r="C395" s="149"/>
      <c r="D395" s="38"/>
      <c r="E395" s="38"/>
      <c r="F395" s="148"/>
      <c r="G395" s="36"/>
      <c r="H395" s="36"/>
      <c r="I395" s="36"/>
      <c r="J395" s="148"/>
      <c r="K395" s="36"/>
      <c r="L395" s="36"/>
      <c r="M395" s="36"/>
      <c r="N395" s="42"/>
      <c r="O395" s="142"/>
      <c r="P395" s="36"/>
      <c r="Q395" s="36"/>
      <c r="R395" s="36"/>
      <c r="S395" s="36"/>
    </row>
    <row r="396" spans="2:19">
      <c r="B396" s="149"/>
      <c r="C396" s="149"/>
      <c r="D396" s="38"/>
      <c r="E396" s="38"/>
      <c r="F396" s="148"/>
      <c r="G396" s="36"/>
      <c r="H396" s="36"/>
      <c r="I396" s="36"/>
      <c r="J396" s="148"/>
      <c r="K396" s="36"/>
      <c r="L396" s="36"/>
      <c r="M396" s="36"/>
      <c r="N396" s="42"/>
      <c r="O396" s="142"/>
      <c r="P396" s="36"/>
      <c r="Q396" s="36"/>
      <c r="R396" s="36"/>
      <c r="S396" s="36"/>
    </row>
    <row r="397" spans="2:19">
      <c r="B397" s="149"/>
      <c r="C397" s="149"/>
      <c r="D397" s="38"/>
      <c r="E397" s="38"/>
      <c r="F397" s="148"/>
      <c r="G397" s="36"/>
      <c r="H397" s="36"/>
      <c r="I397" s="36"/>
      <c r="J397" s="148"/>
      <c r="K397" s="36"/>
      <c r="L397" s="36"/>
      <c r="M397" s="36"/>
      <c r="N397" s="42"/>
      <c r="O397" s="142"/>
      <c r="P397" s="36"/>
      <c r="Q397" s="36"/>
      <c r="R397" s="36"/>
      <c r="S397" s="36"/>
    </row>
    <row r="398" spans="2:19">
      <c r="B398" s="149"/>
      <c r="C398" s="149"/>
      <c r="D398" s="38"/>
      <c r="E398" s="38"/>
      <c r="F398" s="148"/>
      <c r="G398" s="36"/>
      <c r="H398" s="36"/>
      <c r="I398" s="36"/>
      <c r="J398" s="148"/>
      <c r="K398" s="36"/>
      <c r="L398" s="36"/>
      <c r="M398" s="36"/>
      <c r="N398" s="42"/>
      <c r="O398" s="142"/>
      <c r="P398" s="36"/>
      <c r="Q398" s="36"/>
      <c r="R398" s="36"/>
      <c r="S398" s="36"/>
    </row>
    <row r="399" spans="2:19">
      <c r="B399" s="149"/>
      <c r="C399" s="149"/>
      <c r="D399" s="38"/>
      <c r="E399" s="38"/>
      <c r="F399" s="148"/>
      <c r="G399" s="36"/>
      <c r="H399" s="36"/>
      <c r="I399" s="36"/>
      <c r="J399" s="148"/>
      <c r="K399" s="36"/>
      <c r="L399" s="36"/>
      <c r="M399" s="36"/>
      <c r="N399" s="42"/>
      <c r="O399" s="142"/>
      <c r="P399" s="36"/>
      <c r="Q399" s="36"/>
      <c r="R399" s="36"/>
      <c r="S399" s="36"/>
    </row>
    <row r="400" spans="2:19">
      <c r="B400" s="149"/>
      <c r="C400" s="149"/>
      <c r="D400" s="38"/>
      <c r="E400" s="38"/>
      <c r="F400" s="148"/>
      <c r="G400" s="36"/>
      <c r="H400" s="36"/>
      <c r="I400" s="36"/>
      <c r="J400" s="148"/>
      <c r="K400" s="36"/>
      <c r="L400" s="36"/>
      <c r="M400" s="36"/>
      <c r="N400" s="42"/>
      <c r="O400" s="142"/>
      <c r="P400" s="36"/>
      <c r="Q400" s="36"/>
      <c r="R400" s="36"/>
      <c r="S400" s="36"/>
    </row>
    <row r="401" spans="2:19">
      <c r="B401" s="149"/>
      <c r="C401" s="149"/>
      <c r="D401" s="38"/>
      <c r="E401" s="38"/>
      <c r="F401" s="148"/>
      <c r="G401" s="36"/>
      <c r="H401" s="36"/>
      <c r="I401" s="36"/>
      <c r="J401" s="148"/>
      <c r="K401" s="36"/>
      <c r="L401" s="36"/>
      <c r="M401" s="36"/>
      <c r="N401" s="42"/>
      <c r="O401" s="142"/>
      <c r="P401" s="36"/>
      <c r="Q401" s="36"/>
      <c r="R401" s="36"/>
      <c r="S401" s="36"/>
    </row>
    <row r="402" spans="2:19">
      <c r="B402" s="149"/>
      <c r="C402" s="149"/>
      <c r="D402" s="38"/>
      <c r="E402" s="38"/>
      <c r="F402" s="148"/>
      <c r="G402" s="36"/>
      <c r="H402" s="36"/>
      <c r="I402" s="36"/>
      <c r="J402" s="148"/>
      <c r="K402" s="36"/>
      <c r="L402" s="36"/>
      <c r="M402" s="36"/>
      <c r="N402" s="42"/>
      <c r="O402" s="142"/>
      <c r="P402" s="36"/>
      <c r="Q402" s="36"/>
      <c r="R402" s="36"/>
      <c r="S402" s="36"/>
    </row>
    <row r="403" spans="2:19">
      <c r="B403" s="149"/>
      <c r="C403" s="149"/>
      <c r="D403" s="38"/>
      <c r="E403" s="38"/>
      <c r="F403" s="148"/>
      <c r="G403" s="36"/>
      <c r="H403" s="36"/>
      <c r="I403" s="36"/>
      <c r="J403" s="148"/>
      <c r="K403" s="36"/>
      <c r="L403" s="36"/>
      <c r="M403" s="36"/>
      <c r="N403" s="42"/>
      <c r="O403" s="142"/>
      <c r="P403" s="36"/>
      <c r="Q403" s="36"/>
      <c r="R403" s="36"/>
      <c r="S403" s="36"/>
    </row>
    <row r="404" spans="2:19">
      <c r="B404" s="149"/>
      <c r="C404" s="149"/>
      <c r="D404" s="38"/>
      <c r="E404" s="38"/>
      <c r="F404" s="148"/>
      <c r="G404" s="36"/>
      <c r="H404" s="36"/>
      <c r="I404" s="36"/>
      <c r="J404" s="148"/>
      <c r="K404" s="36"/>
      <c r="L404" s="36"/>
      <c r="M404" s="36"/>
      <c r="N404" s="42"/>
      <c r="O404" s="142"/>
      <c r="P404" s="36"/>
      <c r="Q404" s="36"/>
      <c r="R404" s="36"/>
      <c r="S404" s="36"/>
    </row>
    <row r="405" spans="2:19">
      <c r="B405" s="149"/>
      <c r="C405" s="149"/>
      <c r="D405" s="38"/>
      <c r="E405" s="38"/>
      <c r="F405" s="148"/>
      <c r="G405" s="36"/>
      <c r="H405" s="36"/>
      <c r="I405" s="36"/>
      <c r="J405" s="148"/>
      <c r="K405" s="36"/>
      <c r="L405" s="36"/>
      <c r="M405" s="36"/>
      <c r="N405" s="42"/>
      <c r="O405" s="142"/>
      <c r="P405" s="36"/>
      <c r="Q405" s="36"/>
      <c r="R405" s="36"/>
      <c r="S405" s="36"/>
    </row>
    <row r="406" spans="2:19">
      <c r="B406" s="149"/>
      <c r="C406" s="149"/>
      <c r="D406" s="38"/>
      <c r="E406" s="38"/>
      <c r="F406" s="148"/>
      <c r="G406" s="36"/>
      <c r="H406" s="36"/>
      <c r="I406" s="36"/>
      <c r="J406" s="148"/>
      <c r="K406" s="36"/>
      <c r="L406" s="36"/>
      <c r="M406" s="36"/>
      <c r="N406" s="42"/>
      <c r="O406" s="142"/>
      <c r="P406" s="36"/>
      <c r="Q406" s="36"/>
      <c r="R406" s="36"/>
      <c r="S406" s="36"/>
    </row>
    <row r="407" spans="2:19">
      <c r="B407" s="149"/>
      <c r="C407" s="149"/>
      <c r="D407" s="38"/>
      <c r="E407" s="38"/>
      <c r="F407" s="148"/>
      <c r="G407" s="36"/>
      <c r="H407" s="36"/>
      <c r="I407" s="36"/>
      <c r="J407" s="148"/>
      <c r="K407" s="36"/>
      <c r="L407" s="36"/>
      <c r="M407" s="36"/>
      <c r="N407" s="42"/>
      <c r="O407" s="142"/>
      <c r="P407" s="36"/>
      <c r="Q407" s="36"/>
      <c r="R407" s="36"/>
      <c r="S407" s="36"/>
    </row>
    <row r="408" spans="2:19">
      <c r="B408" s="149"/>
      <c r="C408" s="149"/>
      <c r="D408" s="38"/>
      <c r="E408" s="38"/>
      <c r="F408" s="148"/>
      <c r="G408" s="36"/>
      <c r="H408" s="36"/>
      <c r="I408" s="36"/>
      <c r="J408" s="148"/>
      <c r="K408" s="36"/>
      <c r="L408" s="36"/>
      <c r="M408" s="36"/>
      <c r="N408" s="42"/>
      <c r="O408" s="142"/>
      <c r="P408" s="36"/>
      <c r="Q408" s="36"/>
      <c r="R408" s="36"/>
      <c r="S408" s="36"/>
    </row>
    <row r="409" spans="2:19">
      <c r="B409" s="149"/>
      <c r="C409" s="149"/>
      <c r="D409" s="38"/>
      <c r="E409" s="38"/>
      <c r="F409" s="148"/>
      <c r="G409" s="36"/>
      <c r="H409" s="36"/>
      <c r="I409" s="36"/>
      <c r="J409" s="148"/>
      <c r="K409" s="36"/>
      <c r="L409" s="36"/>
      <c r="M409" s="36"/>
      <c r="N409" s="42"/>
      <c r="O409" s="142"/>
      <c r="P409" s="36"/>
      <c r="Q409" s="36"/>
      <c r="R409" s="36"/>
      <c r="S409" s="36"/>
    </row>
    <row r="410" spans="2:19">
      <c r="B410" s="149"/>
      <c r="C410" s="149"/>
      <c r="D410" s="38"/>
      <c r="E410" s="38"/>
      <c r="F410" s="148"/>
      <c r="G410" s="36"/>
      <c r="H410" s="36"/>
      <c r="I410" s="36"/>
      <c r="J410" s="148"/>
      <c r="K410" s="36"/>
      <c r="L410" s="36"/>
      <c r="M410" s="36"/>
      <c r="N410" s="42"/>
      <c r="O410" s="142"/>
      <c r="P410" s="36"/>
      <c r="Q410" s="36"/>
      <c r="R410" s="36"/>
      <c r="S410" s="36"/>
    </row>
    <row r="411" spans="2:19">
      <c r="B411" s="149"/>
      <c r="C411" s="149"/>
      <c r="D411" s="38"/>
      <c r="E411" s="38"/>
      <c r="F411" s="148"/>
      <c r="G411" s="36"/>
      <c r="H411" s="36"/>
      <c r="I411" s="36"/>
      <c r="J411" s="148"/>
      <c r="K411" s="36"/>
      <c r="L411" s="36"/>
      <c r="M411" s="36"/>
      <c r="N411" s="42"/>
      <c r="O411" s="142"/>
      <c r="P411" s="36"/>
      <c r="Q411" s="36"/>
      <c r="R411" s="36"/>
      <c r="S411" s="36"/>
    </row>
    <row r="412" spans="2:19">
      <c r="B412" s="149"/>
      <c r="C412" s="149"/>
      <c r="D412" s="38"/>
      <c r="E412" s="38"/>
      <c r="F412" s="148"/>
      <c r="G412" s="36"/>
      <c r="H412" s="36"/>
      <c r="I412" s="36"/>
      <c r="J412" s="148"/>
      <c r="K412" s="36"/>
      <c r="L412" s="36"/>
      <c r="M412" s="36"/>
      <c r="N412" s="42"/>
      <c r="O412" s="142"/>
      <c r="P412" s="36"/>
      <c r="Q412" s="36"/>
      <c r="R412" s="36"/>
      <c r="S412" s="36"/>
    </row>
    <row r="413" spans="2:19">
      <c r="B413" s="149"/>
      <c r="C413" s="149"/>
      <c r="D413" s="38"/>
      <c r="E413" s="38"/>
      <c r="F413" s="148"/>
      <c r="G413" s="36"/>
      <c r="H413" s="36"/>
      <c r="I413" s="36"/>
      <c r="J413" s="148"/>
      <c r="K413" s="36"/>
      <c r="L413" s="36"/>
      <c r="M413" s="36"/>
      <c r="N413" s="42"/>
      <c r="O413" s="142"/>
      <c r="P413" s="36"/>
      <c r="Q413" s="36"/>
      <c r="R413" s="36"/>
      <c r="S413" s="36"/>
    </row>
    <row r="414" spans="2:19">
      <c r="B414" s="149"/>
      <c r="C414" s="149"/>
      <c r="D414" s="38"/>
      <c r="E414" s="38"/>
      <c r="F414" s="148"/>
      <c r="G414" s="36"/>
      <c r="H414" s="36"/>
      <c r="I414" s="36"/>
      <c r="J414" s="148"/>
      <c r="K414" s="36"/>
      <c r="L414" s="36"/>
      <c r="M414" s="36"/>
      <c r="N414" s="42"/>
      <c r="O414" s="142"/>
      <c r="P414" s="36"/>
      <c r="Q414" s="36"/>
      <c r="R414" s="36"/>
      <c r="S414" s="36"/>
    </row>
    <row r="415" spans="2:19">
      <c r="B415" s="149"/>
      <c r="C415" s="149"/>
      <c r="D415" s="38"/>
      <c r="E415" s="38"/>
      <c r="F415" s="148"/>
      <c r="G415" s="36"/>
      <c r="H415" s="36"/>
      <c r="I415" s="36"/>
      <c r="J415" s="148"/>
      <c r="K415" s="36"/>
      <c r="L415" s="36"/>
      <c r="M415" s="36"/>
      <c r="N415" s="42"/>
      <c r="O415" s="142"/>
      <c r="P415" s="36"/>
      <c r="Q415" s="36"/>
      <c r="R415" s="36"/>
      <c r="S415" s="36"/>
    </row>
    <row r="416" spans="2:19">
      <c r="B416" s="149"/>
      <c r="C416" s="149"/>
      <c r="D416" s="38"/>
      <c r="E416" s="38"/>
      <c r="F416" s="148"/>
      <c r="G416" s="36"/>
      <c r="H416" s="36"/>
      <c r="I416" s="36"/>
      <c r="J416" s="148"/>
      <c r="K416" s="36"/>
      <c r="L416" s="36"/>
      <c r="M416" s="36"/>
      <c r="N416" s="42"/>
      <c r="O416" s="142"/>
      <c r="P416" s="36"/>
      <c r="Q416" s="36"/>
      <c r="R416" s="36"/>
      <c r="S416" s="36"/>
    </row>
    <row r="417" spans="2:19">
      <c r="B417" s="149"/>
      <c r="C417" s="149"/>
      <c r="D417" s="38"/>
      <c r="E417" s="38"/>
      <c r="F417" s="148"/>
      <c r="G417" s="36"/>
      <c r="H417" s="36"/>
      <c r="I417" s="36"/>
      <c r="J417" s="148"/>
      <c r="K417" s="36"/>
      <c r="L417" s="36"/>
      <c r="M417" s="36"/>
      <c r="N417" s="42"/>
      <c r="O417" s="142"/>
      <c r="P417" s="36"/>
      <c r="Q417" s="36"/>
      <c r="R417" s="36"/>
      <c r="S417" s="36"/>
    </row>
    <row r="418" spans="2:19">
      <c r="B418" s="149"/>
      <c r="C418" s="149"/>
      <c r="D418" s="38"/>
      <c r="E418" s="38"/>
      <c r="F418" s="148"/>
      <c r="G418" s="36"/>
      <c r="H418" s="36"/>
      <c r="I418" s="36"/>
      <c r="J418" s="148"/>
      <c r="K418" s="36"/>
      <c r="L418" s="36"/>
      <c r="M418" s="36"/>
      <c r="N418" s="42"/>
      <c r="O418" s="142"/>
      <c r="P418" s="36"/>
      <c r="Q418" s="36"/>
      <c r="R418" s="36"/>
      <c r="S418" s="36"/>
    </row>
    <row r="419" spans="2:19">
      <c r="B419" s="149"/>
      <c r="C419" s="149"/>
      <c r="D419" s="38"/>
      <c r="E419" s="38"/>
      <c r="F419" s="148"/>
      <c r="G419" s="36"/>
      <c r="H419" s="36"/>
      <c r="I419" s="36"/>
      <c r="J419" s="148"/>
      <c r="K419" s="36"/>
      <c r="L419" s="36"/>
      <c r="M419" s="36"/>
      <c r="N419" s="42"/>
      <c r="O419" s="142"/>
      <c r="P419" s="36"/>
      <c r="Q419" s="36"/>
      <c r="R419" s="36"/>
      <c r="S419" s="36"/>
    </row>
    <row r="420" spans="2:19">
      <c r="B420" s="149"/>
      <c r="C420" s="149"/>
      <c r="D420" s="38"/>
      <c r="E420" s="38"/>
      <c r="F420" s="148"/>
      <c r="G420" s="36"/>
      <c r="H420" s="36"/>
      <c r="I420" s="36"/>
      <c r="J420" s="148"/>
      <c r="K420" s="36"/>
      <c r="L420" s="36"/>
      <c r="M420" s="36"/>
      <c r="N420" s="42"/>
      <c r="O420" s="142"/>
      <c r="P420" s="36"/>
      <c r="Q420" s="36"/>
      <c r="R420" s="36"/>
      <c r="S420" s="36"/>
    </row>
    <row r="421" spans="2:19">
      <c r="B421" s="149"/>
      <c r="C421" s="149"/>
      <c r="D421" s="38"/>
      <c r="E421" s="38"/>
      <c r="F421" s="148"/>
      <c r="G421" s="36"/>
      <c r="H421" s="36"/>
      <c r="I421" s="36"/>
      <c r="J421" s="148"/>
      <c r="K421" s="36"/>
      <c r="L421" s="36"/>
      <c r="M421" s="36"/>
      <c r="N421" s="42"/>
      <c r="O421" s="142"/>
      <c r="P421" s="36"/>
      <c r="Q421" s="36"/>
      <c r="R421" s="36"/>
      <c r="S421" s="36"/>
    </row>
    <row r="422" spans="2:19">
      <c r="B422" s="149"/>
      <c r="C422" s="149"/>
      <c r="D422" s="38"/>
      <c r="E422" s="38"/>
      <c r="F422" s="148"/>
      <c r="G422" s="36"/>
      <c r="H422" s="36"/>
      <c r="I422" s="36"/>
      <c r="J422" s="148"/>
      <c r="K422" s="36"/>
      <c r="L422" s="36"/>
      <c r="M422" s="36"/>
      <c r="N422" s="42"/>
      <c r="O422" s="142"/>
      <c r="P422" s="36"/>
      <c r="Q422" s="36"/>
      <c r="R422" s="36"/>
      <c r="S422" s="36"/>
    </row>
    <row r="423" spans="2:19">
      <c r="B423" s="149"/>
      <c r="C423" s="149"/>
      <c r="D423" s="38"/>
      <c r="E423" s="38"/>
      <c r="F423" s="148"/>
      <c r="G423" s="36"/>
      <c r="H423" s="36"/>
      <c r="I423" s="36"/>
      <c r="J423" s="148"/>
      <c r="K423" s="36"/>
      <c r="L423" s="36"/>
      <c r="M423" s="36"/>
      <c r="N423" s="42"/>
      <c r="O423" s="142"/>
      <c r="P423" s="36"/>
      <c r="Q423" s="36"/>
      <c r="R423" s="36"/>
      <c r="S423" s="36"/>
    </row>
    <row r="424" spans="2:19">
      <c r="B424" s="149"/>
      <c r="C424" s="149"/>
      <c r="D424" s="38"/>
      <c r="E424" s="38"/>
      <c r="F424" s="148"/>
      <c r="G424" s="36"/>
      <c r="H424" s="36"/>
      <c r="I424" s="36"/>
      <c r="J424" s="148"/>
      <c r="K424" s="36"/>
      <c r="L424" s="36"/>
      <c r="M424" s="36"/>
      <c r="N424" s="42"/>
      <c r="O424" s="142"/>
      <c r="P424" s="36"/>
      <c r="Q424" s="36"/>
      <c r="R424" s="36"/>
      <c r="S424" s="36"/>
    </row>
    <row r="425" spans="2:19">
      <c r="B425" s="149"/>
      <c r="C425" s="149"/>
      <c r="D425" s="38"/>
      <c r="E425" s="38"/>
      <c r="F425" s="148"/>
      <c r="G425" s="36"/>
      <c r="H425" s="36"/>
      <c r="I425" s="36"/>
      <c r="J425" s="148"/>
      <c r="K425" s="36"/>
      <c r="L425" s="36"/>
      <c r="M425" s="36"/>
      <c r="N425" s="42"/>
      <c r="O425" s="142"/>
      <c r="P425" s="36"/>
      <c r="Q425" s="36"/>
      <c r="R425" s="36"/>
      <c r="S425" s="36"/>
    </row>
    <row r="426" spans="2:19">
      <c r="B426" s="149"/>
      <c r="C426" s="149"/>
      <c r="D426" s="38"/>
      <c r="E426" s="38"/>
      <c r="F426" s="148"/>
      <c r="G426" s="36"/>
      <c r="H426" s="36"/>
      <c r="I426" s="36"/>
      <c r="J426" s="148"/>
      <c r="K426" s="36"/>
      <c r="L426" s="36"/>
      <c r="M426" s="36"/>
      <c r="N426" s="42"/>
      <c r="O426" s="142"/>
      <c r="P426" s="36"/>
      <c r="Q426" s="36"/>
      <c r="R426" s="36"/>
      <c r="S426" s="36"/>
    </row>
    <row r="427" spans="2:19">
      <c r="B427" s="149"/>
      <c r="C427" s="149"/>
      <c r="D427" s="38"/>
      <c r="E427" s="38"/>
      <c r="F427" s="148"/>
      <c r="G427" s="36"/>
      <c r="H427" s="36"/>
      <c r="I427" s="36"/>
      <c r="J427" s="148"/>
      <c r="K427" s="36"/>
      <c r="L427" s="36"/>
      <c r="M427" s="36"/>
      <c r="N427" s="42"/>
      <c r="O427" s="142"/>
      <c r="P427" s="36"/>
      <c r="Q427" s="36"/>
      <c r="R427" s="36"/>
      <c r="S427" s="36"/>
    </row>
    <row r="428" spans="2:19">
      <c r="B428" s="149"/>
      <c r="C428" s="149"/>
      <c r="D428" s="38"/>
      <c r="E428" s="38"/>
      <c r="F428" s="148"/>
      <c r="G428" s="36"/>
      <c r="H428" s="36"/>
      <c r="I428" s="36"/>
      <c r="J428" s="148"/>
      <c r="K428" s="36"/>
      <c r="L428" s="36"/>
      <c r="M428" s="36"/>
      <c r="N428" s="42"/>
      <c r="O428" s="142"/>
      <c r="P428" s="36"/>
      <c r="Q428" s="36"/>
      <c r="R428" s="36"/>
      <c r="S428" s="36"/>
    </row>
    <row r="429" spans="2:19">
      <c r="B429" s="149"/>
      <c r="C429" s="149"/>
      <c r="D429" s="38"/>
      <c r="E429" s="38"/>
      <c r="F429" s="148"/>
      <c r="G429" s="36"/>
      <c r="H429" s="36"/>
      <c r="I429" s="36"/>
      <c r="J429" s="148"/>
      <c r="K429" s="36"/>
      <c r="L429" s="36"/>
      <c r="M429" s="36"/>
      <c r="N429" s="42"/>
      <c r="O429" s="142"/>
      <c r="P429" s="36"/>
      <c r="Q429" s="36"/>
      <c r="R429" s="36"/>
      <c r="S429" s="36"/>
    </row>
    <row r="430" spans="2:19">
      <c r="B430" s="149"/>
      <c r="C430" s="149"/>
      <c r="D430" s="38"/>
      <c r="E430" s="38"/>
      <c r="F430" s="148"/>
      <c r="G430" s="36"/>
      <c r="H430" s="36"/>
      <c r="I430" s="36"/>
      <c r="J430" s="148"/>
      <c r="K430" s="36"/>
      <c r="L430" s="36"/>
      <c r="M430" s="36"/>
      <c r="N430" s="42"/>
      <c r="O430" s="142"/>
      <c r="P430" s="36"/>
      <c r="Q430" s="36"/>
      <c r="R430" s="36"/>
      <c r="S430" s="36"/>
    </row>
    <row r="431" spans="2:19">
      <c r="B431" s="149"/>
      <c r="C431" s="149"/>
      <c r="D431" s="38"/>
      <c r="E431" s="38"/>
      <c r="F431" s="148"/>
      <c r="G431" s="36"/>
      <c r="H431" s="36"/>
      <c r="I431" s="36"/>
      <c r="J431" s="148"/>
      <c r="K431" s="36"/>
      <c r="L431" s="36"/>
      <c r="M431" s="36"/>
      <c r="N431" s="42"/>
      <c r="O431" s="142"/>
      <c r="P431" s="36"/>
      <c r="Q431" s="36"/>
      <c r="R431" s="36"/>
      <c r="S431" s="36"/>
    </row>
    <row r="432" spans="2:19">
      <c r="B432" s="149"/>
      <c r="C432" s="149"/>
      <c r="D432" s="38"/>
      <c r="E432" s="38"/>
      <c r="F432" s="148"/>
      <c r="G432" s="36"/>
      <c r="H432" s="36"/>
      <c r="I432" s="36"/>
      <c r="J432" s="148"/>
      <c r="K432" s="36"/>
      <c r="L432" s="36"/>
      <c r="M432" s="36"/>
      <c r="N432" s="42"/>
      <c r="O432" s="142"/>
      <c r="P432" s="36"/>
      <c r="Q432" s="36"/>
      <c r="R432" s="36"/>
      <c r="S432" s="36"/>
    </row>
    <row r="433" spans="2:19">
      <c r="B433" s="149"/>
      <c r="C433" s="149"/>
      <c r="D433" s="38"/>
      <c r="E433" s="38"/>
      <c r="F433" s="148"/>
      <c r="G433" s="36"/>
      <c r="H433" s="36"/>
      <c r="I433" s="36"/>
      <c r="J433" s="148"/>
      <c r="K433" s="36"/>
      <c r="L433" s="36"/>
      <c r="M433" s="36"/>
      <c r="N433" s="42"/>
      <c r="O433" s="142"/>
      <c r="P433" s="36"/>
      <c r="Q433" s="36"/>
      <c r="R433" s="36"/>
      <c r="S433" s="36"/>
    </row>
    <row r="434" spans="2:19">
      <c r="B434" s="149"/>
      <c r="C434" s="149"/>
      <c r="D434" s="38"/>
      <c r="E434" s="38"/>
      <c r="F434" s="148"/>
      <c r="G434" s="36"/>
      <c r="H434" s="36"/>
      <c r="I434" s="36"/>
      <c r="J434" s="148"/>
      <c r="K434" s="36"/>
      <c r="L434" s="36"/>
      <c r="M434" s="36"/>
      <c r="N434" s="42"/>
      <c r="O434" s="142"/>
      <c r="P434" s="36"/>
      <c r="Q434" s="36"/>
      <c r="R434" s="36"/>
      <c r="S434" s="36"/>
    </row>
    <row r="435" spans="2:19">
      <c r="B435" s="149"/>
      <c r="C435" s="149"/>
      <c r="D435" s="38"/>
      <c r="E435" s="38"/>
      <c r="F435" s="148"/>
      <c r="G435" s="36"/>
      <c r="H435" s="36"/>
      <c r="I435" s="36"/>
      <c r="J435" s="148"/>
      <c r="K435" s="36"/>
      <c r="L435" s="36"/>
      <c r="M435" s="36"/>
      <c r="N435" s="42"/>
      <c r="O435" s="142"/>
      <c r="P435" s="36"/>
      <c r="Q435" s="36"/>
      <c r="R435" s="36"/>
      <c r="S435" s="36"/>
    </row>
    <row r="436" spans="2:19">
      <c r="B436" s="149"/>
      <c r="C436" s="149"/>
      <c r="D436" s="38"/>
      <c r="E436" s="38"/>
      <c r="F436" s="148"/>
      <c r="G436" s="36"/>
      <c r="H436" s="36"/>
      <c r="I436" s="36"/>
      <c r="J436" s="148"/>
      <c r="K436" s="36"/>
      <c r="L436" s="36"/>
      <c r="M436" s="36"/>
      <c r="N436" s="42"/>
      <c r="O436" s="142"/>
      <c r="P436" s="36"/>
      <c r="Q436" s="36"/>
      <c r="R436" s="36"/>
      <c r="S436" s="36"/>
    </row>
    <row r="437" spans="2:19">
      <c r="B437" s="149"/>
      <c r="C437" s="149"/>
      <c r="D437" s="38"/>
      <c r="E437" s="38"/>
      <c r="F437" s="148"/>
      <c r="G437" s="36"/>
      <c r="H437" s="36"/>
      <c r="I437" s="36"/>
      <c r="J437" s="148"/>
      <c r="K437" s="36"/>
      <c r="L437" s="36"/>
      <c r="M437" s="36"/>
      <c r="N437" s="42"/>
      <c r="O437" s="142"/>
      <c r="P437" s="36"/>
      <c r="Q437" s="36"/>
      <c r="R437" s="36"/>
      <c r="S437" s="36"/>
    </row>
    <row r="438" spans="2:19">
      <c r="B438" s="149"/>
      <c r="C438" s="149"/>
      <c r="D438" s="38"/>
      <c r="E438" s="38"/>
      <c r="F438" s="148"/>
      <c r="G438" s="36"/>
      <c r="H438" s="36"/>
      <c r="I438" s="36"/>
      <c r="J438" s="148"/>
      <c r="K438" s="36"/>
      <c r="L438" s="36"/>
      <c r="M438" s="36"/>
      <c r="N438" s="42"/>
      <c r="O438" s="142"/>
      <c r="P438" s="36"/>
      <c r="Q438" s="36"/>
      <c r="R438" s="36"/>
      <c r="S438" s="36"/>
    </row>
    <row r="439" spans="2:19">
      <c r="B439" s="149"/>
      <c r="C439" s="149"/>
      <c r="D439" s="38"/>
      <c r="E439" s="38"/>
      <c r="F439" s="148"/>
      <c r="G439" s="36"/>
      <c r="H439" s="36"/>
      <c r="I439" s="36"/>
      <c r="J439" s="148"/>
      <c r="K439" s="36"/>
      <c r="L439" s="36"/>
      <c r="M439" s="36"/>
      <c r="N439" s="42"/>
      <c r="O439" s="142"/>
      <c r="P439" s="36"/>
      <c r="Q439" s="36"/>
      <c r="R439" s="36"/>
      <c r="S439" s="36"/>
    </row>
    <row r="440" spans="2:19">
      <c r="B440" s="149"/>
      <c r="C440" s="149"/>
      <c r="D440" s="38"/>
      <c r="E440" s="38"/>
      <c r="F440" s="148"/>
      <c r="G440" s="36"/>
      <c r="H440" s="36"/>
      <c r="I440" s="36"/>
      <c r="J440" s="148"/>
      <c r="K440" s="36"/>
      <c r="L440" s="36"/>
      <c r="M440" s="36"/>
      <c r="N440" s="42"/>
      <c r="O440" s="142"/>
      <c r="P440" s="36"/>
      <c r="Q440" s="36"/>
      <c r="R440" s="36"/>
      <c r="S440" s="36"/>
    </row>
    <row r="441" spans="2:19">
      <c r="B441" s="149"/>
      <c r="C441" s="149"/>
      <c r="D441" s="38"/>
      <c r="E441" s="38"/>
      <c r="F441" s="148"/>
      <c r="G441" s="36"/>
      <c r="H441" s="36"/>
      <c r="I441" s="36"/>
      <c r="J441" s="148"/>
      <c r="K441" s="36"/>
      <c r="L441" s="36"/>
      <c r="M441" s="36"/>
      <c r="N441" s="42"/>
      <c r="O441" s="142"/>
      <c r="P441" s="36"/>
      <c r="Q441" s="36"/>
      <c r="R441" s="36"/>
      <c r="S441" s="36"/>
    </row>
    <row r="442" spans="2:19">
      <c r="B442" s="149"/>
      <c r="C442" s="149"/>
      <c r="D442" s="38"/>
      <c r="E442" s="38"/>
      <c r="F442" s="148"/>
      <c r="G442" s="36"/>
      <c r="H442" s="36"/>
      <c r="I442" s="36"/>
      <c r="J442" s="148"/>
      <c r="K442" s="36"/>
      <c r="L442" s="36"/>
      <c r="M442" s="36"/>
      <c r="N442" s="42"/>
      <c r="O442" s="142"/>
      <c r="P442" s="36"/>
      <c r="Q442" s="36"/>
      <c r="R442" s="36"/>
      <c r="S442" s="36"/>
    </row>
    <row r="443" spans="2:19">
      <c r="B443" s="149"/>
      <c r="C443" s="149"/>
      <c r="D443" s="38"/>
      <c r="E443" s="38"/>
      <c r="F443" s="148"/>
      <c r="G443" s="36"/>
      <c r="H443" s="36"/>
      <c r="I443" s="36"/>
      <c r="J443" s="148"/>
      <c r="K443" s="36"/>
      <c r="L443" s="36"/>
      <c r="M443" s="36"/>
      <c r="N443" s="42"/>
      <c r="O443" s="142"/>
      <c r="P443" s="36"/>
      <c r="Q443" s="36"/>
      <c r="R443" s="36"/>
      <c r="S443" s="36"/>
    </row>
    <row r="444" spans="2:19">
      <c r="B444" s="149"/>
      <c r="C444" s="149"/>
      <c r="D444" s="38"/>
      <c r="E444" s="38"/>
      <c r="F444" s="148"/>
      <c r="G444" s="36"/>
      <c r="H444" s="36"/>
      <c r="I444" s="36"/>
      <c r="J444" s="148"/>
      <c r="K444" s="36"/>
      <c r="L444" s="36"/>
      <c r="M444" s="36"/>
      <c r="N444" s="42"/>
      <c r="O444" s="142"/>
      <c r="P444" s="36"/>
      <c r="Q444" s="36"/>
      <c r="R444" s="36"/>
      <c r="S444" s="36"/>
    </row>
    <row r="445" spans="2:19">
      <c r="B445" s="149"/>
      <c r="C445" s="149"/>
      <c r="D445" s="38"/>
      <c r="E445" s="38"/>
      <c r="F445" s="148"/>
      <c r="G445" s="36"/>
      <c r="H445" s="36"/>
      <c r="I445" s="36"/>
      <c r="J445" s="148"/>
      <c r="K445" s="36"/>
      <c r="L445" s="36"/>
      <c r="M445" s="36"/>
      <c r="N445" s="42"/>
      <c r="O445" s="142"/>
      <c r="P445" s="36"/>
      <c r="Q445" s="36"/>
      <c r="R445" s="36"/>
      <c r="S445" s="36"/>
    </row>
    <row r="446" spans="2:19">
      <c r="B446" s="149"/>
      <c r="C446" s="149"/>
      <c r="D446" s="38"/>
      <c r="E446" s="38"/>
      <c r="F446" s="148"/>
      <c r="G446" s="36"/>
      <c r="H446" s="36"/>
      <c r="I446" s="36"/>
      <c r="J446" s="148"/>
      <c r="K446" s="36"/>
      <c r="L446" s="36"/>
      <c r="M446" s="36"/>
      <c r="N446" s="42"/>
      <c r="O446" s="142"/>
      <c r="P446" s="36"/>
      <c r="Q446" s="36"/>
      <c r="R446" s="36"/>
      <c r="S446" s="36"/>
    </row>
    <row r="447" spans="2:19">
      <c r="B447" s="149"/>
      <c r="C447" s="149"/>
      <c r="D447" s="38"/>
      <c r="E447" s="38"/>
      <c r="F447" s="148"/>
      <c r="G447" s="36"/>
      <c r="H447" s="36"/>
      <c r="I447" s="36"/>
      <c r="J447" s="148"/>
      <c r="K447" s="36"/>
      <c r="L447" s="36"/>
      <c r="M447" s="36"/>
      <c r="N447" s="42"/>
      <c r="O447" s="142"/>
      <c r="P447" s="36"/>
      <c r="Q447" s="36"/>
      <c r="R447" s="36"/>
      <c r="S447" s="36"/>
    </row>
    <row r="448" spans="2:19">
      <c r="B448" s="149"/>
      <c r="C448" s="149"/>
      <c r="D448" s="38"/>
      <c r="E448" s="38"/>
      <c r="F448" s="148"/>
      <c r="G448" s="36"/>
      <c r="H448" s="36"/>
      <c r="I448" s="36"/>
      <c r="J448" s="148"/>
      <c r="K448" s="36"/>
      <c r="L448" s="36"/>
      <c r="M448" s="36"/>
      <c r="N448" s="42"/>
      <c r="O448" s="142"/>
      <c r="P448" s="36"/>
      <c r="Q448" s="36"/>
      <c r="R448" s="36"/>
      <c r="S448" s="36"/>
    </row>
    <row r="449" spans="2:19">
      <c r="B449" s="149"/>
      <c r="C449" s="149"/>
      <c r="D449" s="38"/>
      <c r="E449" s="38"/>
      <c r="F449" s="148"/>
      <c r="G449" s="36"/>
      <c r="H449" s="36"/>
      <c r="I449" s="36"/>
      <c r="J449" s="148"/>
      <c r="K449" s="36"/>
      <c r="L449" s="36"/>
      <c r="M449" s="36"/>
      <c r="N449" s="42"/>
      <c r="O449" s="142"/>
      <c r="P449" s="36"/>
      <c r="Q449" s="36"/>
      <c r="R449" s="36"/>
      <c r="S449" s="36"/>
    </row>
    <row r="450" spans="2:19">
      <c r="B450" s="149"/>
      <c r="C450" s="149"/>
      <c r="D450" s="38"/>
      <c r="E450" s="38"/>
      <c r="F450" s="148"/>
      <c r="G450" s="36"/>
      <c r="H450" s="36"/>
      <c r="I450" s="36"/>
      <c r="J450" s="148"/>
      <c r="K450" s="36"/>
      <c r="L450" s="36"/>
      <c r="M450" s="36"/>
      <c r="N450" s="42"/>
      <c r="O450" s="142"/>
      <c r="P450" s="36"/>
      <c r="Q450" s="36"/>
      <c r="R450" s="36"/>
      <c r="S450" s="36"/>
    </row>
    <row r="451" spans="2:19">
      <c r="B451" s="149"/>
      <c r="C451" s="149"/>
      <c r="D451" s="38"/>
      <c r="E451" s="38"/>
      <c r="F451" s="148"/>
      <c r="G451" s="36"/>
      <c r="H451" s="36"/>
      <c r="I451" s="36"/>
      <c r="J451" s="148"/>
      <c r="K451" s="36"/>
      <c r="L451" s="36"/>
      <c r="M451" s="36"/>
      <c r="N451" s="42"/>
      <c r="O451" s="142"/>
      <c r="P451" s="36"/>
      <c r="Q451" s="36"/>
      <c r="R451" s="36"/>
      <c r="S451" s="36"/>
    </row>
    <row r="452" spans="2:19">
      <c r="B452" s="149"/>
      <c r="C452" s="149"/>
      <c r="D452" s="38"/>
      <c r="E452" s="38"/>
      <c r="F452" s="148"/>
      <c r="G452" s="36"/>
      <c r="H452" s="36"/>
      <c r="I452" s="36"/>
      <c r="J452" s="148"/>
      <c r="K452" s="36"/>
      <c r="L452" s="36"/>
      <c r="M452" s="36"/>
      <c r="N452" s="42"/>
      <c r="O452" s="142"/>
      <c r="P452" s="36"/>
      <c r="Q452" s="36"/>
      <c r="R452" s="36"/>
      <c r="S452" s="36"/>
    </row>
    <row r="453" spans="2:19">
      <c r="B453" s="149"/>
      <c r="C453" s="149"/>
      <c r="D453" s="38"/>
      <c r="E453" s="38"/>
      <c r="F453" s="148"/>
      <c r="G453" s="36"/>
      <c r="H453" s="36"/>
      <c r="I453" s="36"/>
      <c r="J453" s="148"/>
      <c r="K453" s="36"/>
      <c r="L453" s="36"/>
      <c r="M453" s="36"/>
      <c r="N453" s="42"/>
      <c r="O453" s="142"/>
      <c r="P453" s="36"/>
      <c r="Q453" s="36"/>
      <c r="R453" s="36"/>
      <c r="S453" s="36"/>
    </row>
    <row r="454" spans="2:19">
      <c r="B454" s="149"/>
      <c r="C454" s="149"/>
      <c r="D454" s="38"/>
      <c r="E454" s="38"/>
      <c r="F454" s="148"/>
      <c r="G454" s="36"/>
      <c r="H454" s="36"/>
      <c r="I454" s="36"/>
      <c r="J454" s="148"/>
      <c r="K454" s="36"/>
      <c r="L454" s="36"/>
      <c r="M454" s="36"/>
      <c r="N454" s="42"/>
      <c r="O454" s="142"/>
      <c r="P454" s="36"/>
      <c r="Q454" s="36"/>
      <c r="R454" s="36"/>
      <c r="S454" s="36"/>
    </row>
    <row r="455" spans="2:19">
      <c r="B455" s="149"/>
      <c r="C455" s="149"/>
      <c r="D455" s="38"/>
      <c r="E455" s="38"/>
      <c r="F455" s="148"/>
      <c r="G455" s="36"/>
      <c r="H455" s="36"/>
      <c r="I455" s="36"/>
      <c r="J455" s="148"/>
      <c r="K455" s="36"/>
      <c r="L455" s="36"/>
      <c r="M455" s="36"/>
      <c r="N455" s="42"/>
      <c r="O455" s="142"/>
      <c r="P455" s="36"/>
      <c r="Q455" s="36"/>
      <c r="R455" s="36"/>
      <c r="S455" s="36"/>
    </row>
    <row r="456" spans="2:19">
      <c r="B456" s="149"/>
      <c r="C456" s="149"/>
      <c r="D456" s="38"/>
      <c r="E456" s="38"/>
      <c r="F456" s="148"/>
      <c r="G456" s="36"/>
      <c r="H456" s="36"/>
      <c r="I456" s="36"/>
      <c r="J456" s="148"/>
      <c r="K456" s="36"/>
      <c r="L456" s="36"/>
      <c r="M456" s="36"/>
      <c r="N456" s="42"/>
      <c r="O456" s="142"/>
      <c r="P456" s="36"/>
      <c r="Q456" s="36"/>
      <c r="R456" s="36"/>
      <c r="S456" s="36"/>
    </row>
    <row r="457" spans="2:19">
      <c r="B457" s="149"/>
      <c r="C457" s="149"/>
      <c r="D457" s="38"/>
      <c r="E457" s="38"/>
      <c r="F457" s="148"/>
      <c r="G457" s="36"/>
      <c r="H457" s="36"/>
      <c r="I457" s="36"/>
      <c r="J457" s="148"/>
      <c r="K457" s="36"/>
      <c r="L457" s="36"/>
      <c r="M457" s="36"/>
      <c r="N457" s="42"/>
      <c r="O457" s="142"/>
      <c r="P457" s="36"/>
      <c r="Q457" s="36"/>
      <c r="R457" s="36"/>
      <c r="S457" s="36"/>
    </row>
    <row r="458" spans="2:19">
      <c r="B458" s="149"/>
      <c r="C458" s="149"/>
      <c r="D458" s="38"/>
      <c r="E458" s="38"/>
      <c r="F458" s="148"/>
      <c r="G458" s="36"/>
      <c r="H458" s="36"/>
      <c r="I458" s="36"/>
      <c r="J458" s="148"/>
      <c r="K458" s="36"/>
      <c r="L458" s="36"/>
      <c r="M458" s="36"/>
      <c r="N458" s="42"/>
      <c r="O458" s="142"/>
      <c r="P458" s="36"/>
      <c r="Q458" s="36"/>
      <c r="R458" s="36"/>
      <c r="S458" s="36"/>
    </row>
    <row r="459" spans="2:19">
      <c r="B459" s="149"/>
      <c r="C459" s="149"/>
      <c r="D459" s="38"/>
      <c r="E459" s="38"/>
      <c r="F459" s="148"/>
      <c r="G459" s="36"/>
      <c r="H459" s="36"/>
      <c r="I459" s="36"/>
      <c r="J459" s="148"/>
      <c r="K459" s="36"/>
      <c r="L459" s="36"/>
      <c r="M459" s="36"/>
      <c r="N459" s="42"/>
      <c r="O459" s="142"/>
      <c r="P459" s="36"/>
      <c r="Q459" s="36"/>
      <c r="R459" s="36"/>
      <c r="S459" s="36"/>
    </row>
    <row r="460" spans="2:19">
      <c r="B460" s="149"/>
      <c r="C460" s="149"/>
      <c r="D460" s="38"/>
      <c r="E460" s="38"/>
      <c r="F460" s="148"/>
      <c r="G460" s="36"/>
      <c r="H460" s="36"/>
      <c r="I460" s="36"/>
      <c r="J460" s="148"/>
      <c r="K460" s="36"/>
      <c r="L460" s="36"/>
      <c r="M460" s="36"/>
      <c r="N460" s="42"/>
      <c r="O460" s="142"/>
      <c r="P460" s="36"/>
      <c r="Q460" s="36"/>
      <c r="R460" s="36"/>
      <c r="S460" s="36"/>
    </row>
    <row r="461" spans="2:19">
      <c r="B461" s="149"/>
      <c r="C461" s="149"/>
      <c r="D461" s="38"/>
      <c r="E461" s="38"/>
      <c r="F461" s="148"/>
      <c r="G461" s="36"/>
      <c r="H461" s="36"/>
      <c r="I461" s="36"/>
      <c r="J461" s="148"/>
      <c r="K461" s="36"/>
      <c r="L461" s="36"/>
      <c r="M461" s="36"/>
      <c r="N461" s="42"/>
      <c r="O461" s="142"/>
      <c r="P461" s="36"/>
      <c r="Q461" s="36"/>
      <c r="R461" s="36"/>
      <c r="S461" s="36"/>
    </row>
    <row r="462" spans="2:19">
      <c r="B462" s="149"/>
      <c r="C462" s="149"/>
      <c r="D462" s="38"/>
      <c r="E462" s="38"/>
      <c r="F462" s="148"/>
      <c r="G462" s="36"/>
      <c r="H462" s="36"/>
      <c r="I462" s="36"/>
      <c r="J462" s="148"/>
      <c r="K462" s="36"/>
      <c r="L462" s="36"/>
      <c r="M462" s="36"/>
      <c r="N462" s="42"/>
      <c r="O462" s="142"/>
      <c r="P462" s="36"/>
      <c r="Q462" s="36"/>
      <c r="R462" s="36"/>
      <c r="S462" s="36"/>
    </row>
    <row r="463" spans="2:19">
      <c r="B463" s="149"/>
      <c r="C463" s="149"/>
      <c r="D463" s="38"/>
      <c r="E463" s="38"/>
      <c r="F463" s="148"/>
      <c r="G463" s="36"/>
      <c r="H463" s="36"/>
      <c r="I463" s="36"/>
      <c r="J463" s="148"/>
      <c r="K463" s="36"/>
      <c r="L463" s="36"/>
      <c r="M463" s="36"/>
      <c r="N463" s="42"/>
      <c r="O463" s="142"/>
      <c r="P463" s="36"/>
      <c r="Q463" s="36"/>
      <c r="R463" s="36"/>
      <c r="S463" s="36"/>
    </row>
    <row r="464" spans="2:19">
      <c r="B464" s="149"/>
      <c r="C464" s="149"/>
      <c r="D464" s="38"/>
      <c r="E464" s="38"/>
      <c r="F464" s="148"/>
      <c r="G464" s="36"/>
      <c r="H464" s="36"/>
      <c r="I464" s="36"/>
      <c r="J464" s="148"/>
      <c r="K464" s="36"/>
      <c r="L464" s="36"/>
      <c r="M464" s="36"/>
      <c r="N464" s="42"/>
      <c r="O464" s="142"/>
      <c r="P464" s="36"/>
      <c r="Q464" s="36"/>
      <c r="R464" s="36"/>
      <c r="S464" s="36"/>
    </row>
    <row r="465" spans="2:19">
      <c r="B465" s="149"/>
      <c r="C465" s="149"/>
      <c r="D465" s="38"/>
      <c r="E465" s="38"/>
      <c r="F465" s="148"/>
      <c r="G465" s="36"/>
      <c r="H465" s="36"/>
      <c r="I465" s="36"/>
      <c r="J465" s="148"/>
      <c r="K465" s="36"/>
      <c r="L465" s="36"/>
      <c r="M465" s="36"/>
      <c r="N465" s="42"/>
      <c r="O465" s="142"/>
      <c r="P465" s="36"/>
      <c r="Q465" s="36"/>
      <c r="R465" s="36"/>
      <c r="S465" s="36"/>
    </row>
    <row r="466" spans="2:19">
      <c r="B466" s="149"/>
      <c r="C466" s="149"/>
      <c r="D466" s="38"/>
      <c r="E466" s="38"/>
      <c r="F466" s="148"/>
      <c r="G466" s="36"/>
      <c r="H466" s="36"/>
      <c r="I466" s="36"/>
      <c r="J466" s="148"/>
      <c r="K466" s="36"/>
      <c r="L466" s="36"/>
      <c r="M466" s="36"/>
      <c r="N466" s="42"/>
      <c r="O466" s="142"/>
      <c r="P466" s="36"/>
      <c r="Q466" s="36"/>
      <c r="R466" s="36"/>
      <c r="S466" s="36"/>
    </row>
    <row r="467" spans="2:19">
      <c r="B467" s="149"/>
      <c r="C467" s="149"/>
      <c r="D467" s="38"/>
      <c r="E467" s="38"/>
      <c r="F467" s="148"/>
      <c r="G467" s="36"/>
      <c r="H467" s="36"/>
      <c r="I467" s="36"/>
      <c r="J467" s="148"/>
      <c r="K467" s="36"/>
      <c r="L467" s="36"/>
      <c r="M467" s="36"/>
      <c r="N467" s="42"/>
      <c r="O467" s="142"/>
      <c r="P467" s="36"/>
      <c r="Q467" s="36"/>
      <c r="R467" s="36"/>
      <c r="S467" s="36"/>
    </row>
    <row r="468" spans="2:19">
      <c r="B468" s="149"/>
      <c r="C468" s="149"/>
      <c r="D468" s="38"/>
      <c r="E468" s="38"/>
      <c r="F468" s="148"/>
      <c r="G468" s="36"/>
      <c r="H468" s="36"/>
      <c r="I468" s="36"/>
      <c r="J468" s="148"/>
      <c r="K468" s="36"/>
      <c r="L468" s="36"/>
      <c r="M468" s="36"/>
      <c r="N468" s="42"/>
      <c r="O468" s="142"/>
      <c r="P468" s="36"/>
      <c r="Q468" s="36"/>
      <c r="R468" s="36"/>
      <c r="S468" s="36"/>
    </row>
    <row r="469" spans="2:19">
      <c r="B469" s="149"/>
      <c r="C469" s="149"/>
      <c r="D469" s="38"/>
      <c r="E469" s="38"/>
      <c r="F469" s="148"/>
      <c r="G469" s="36"/>
      <c r="H469" s="36"/>
      <c r="I469" s="36"/>
      <c r="J469" s="148"/>
      <c r="K469" s="36"/>
      <c r="L469" s="36"/>
      <c r="M469" s="36"/>
      <c r="N469" s="42"/>
      <c r="O469" s="142"/>
      <c r="P469" s="36"/>
      <c r="Q469" s="36"/>
      <c r="R469" s="36"/>
      <c r="S469" s="36"/>
    </row>
    <row r="470" spans="2:19">
      <c r="B470" s="149"/>
      <c r="C470" s="149"/>
      <c r="D470" s="38"/>
      <c r="E470" s="38"/>
      <c r="F470" s="148"/>
      <c r="G470" s="36"/>
      <c r="H470" s="36"/>
      <c r="I470" s="36"/>
      <c r="J470" s="148"/>
      <c r="K470" s="36"/>
      <c r="L470" s="36"/>
      <c r="M470" s="36"/>
      <c r="N470" s="42"/>
      <c r="O470" s="142"/>
      <c r="P470" s="36"/>
      <c r="Q470" s="36"/>
      <c r="R470" s="36"/>
      <c r="S470" s="36"/>
    </row>
    <row r="471" spans="2:19">
      <c r="B471" s="149"/>
      <c r="C471" s="149"/>
      <c r="D471" s="38"/>
      <c r="E471" s="38"/>
      <c r="F471" s="148"/>
      <c r="G471" s="36"/>
      <c r="H471" s="36"/>
      <c r="I471" s="36"/>
      <c r="J471" s="148"/>
      <c r="K471" s="36"/>
      <c r="L471" s="36"/>
      <c r="M471" s="36"/>
      <c r="N471" s="42"/>
      <c r="O471" s="142"/>
      <c r="P471" s="36"/>
      <c r="Q471" s="36"/>
      <c r="R471" s="36"/>
      <c r="S471" s="36"/>
    </row>
    <row r="472" spans="2:19">
      <c r="B472" s="149"/>
      <c r="C472" s="149"/>
      <c r="D472" s="38"/>
      <c r="E472" s="38"/>
      <c r="F472" s="148"/>
      <c r="G472" s="36"/>
      <c r="H472" s="36"/>
      <c r="I472" s="36"/>
      <c r="J472" s="148"/>
      <c r="K472" s="36"/>
      <c r="L472" s="36"/>
      <c r="M472" s="36"/>
      <c r="N472" s="42"/>
      <c r="O472" s="142"/>
      <c r="P472" s="36"/>
      <c r="Q472" s="36"/>
      <c r="R472" s="36"/>
      <c r="S472" s="36"/>
    </row>
    <row r="473" spans="2:19">
      <c r="B473" s="149"/>
      <c r="C473" s="149"/>
      <c r="D473" s="38"/>
      <c r="E473" s="38"/>
      <c r="F473" s="148"/>
      <c r="G473" s="36"/>
      <c r="H473" s="36"/>
      <c r="I473" s="36"/>
      <c r="J473" s="36"/>
      <c r="K473" s="36"/>
      <c r="L473" s="36"/>
      <c r="M473" s="36"/>
      <c r="N473" s="42"/>
      <c r="O473" s="142"/>
      <c r="P473" s="36"/>
      <c r="Q473" s="36"/>
      <c r="R473" s="36"/>
      <c r="S473" s="36"/>
    </row>
    <row r="474" spans="2:19">
      <c r="B474" s="149"/>
      <c r="C474" s="149"/>
      <c r="D474" s="38"/>
      <c r="E474" s="38"/>
      <c r="F474" s="148"/>
      <c r="G474" s="36"/>
      <c r="H474" s="36"/>
      <c r="I474" s="36"/>
      <c r="J474" s="36"/>
      <c r="K474" s="36"/>
      <c r="L474" s="36"/>
      <c r="M474" s="36"/>
      <c r="N474" s="42"/>
      <c r="O474" s="142"/>
      <c r="P474" s="36"/>
      <c r="Q474" s="36"/>
      <c r="R474" s="36"/>
      <c r="S474" s="36"/>
    </row>
    <row r="475" spans="2:19">
      <c r="B475" s="149"/>
      <c r="C475" s="149"/>
      <c r="D475" s="38"/>
      <c r="E475" s="38"/>
      <c r="F475" s="148"/>
      <c r="G475" s="36"/>
      <c r="H475" s="36"/>
      <c r="I475" s="36"/>
      <c r="J475" s="36"/>
      <c r="K475" s="36"/>
      <c r="L475" s="36"/>
      <c r="M475" s="36"/>
      <c r="N475" s="42"/>
      <c r="O475" s="142"/>
      <c r="P475" s="36"/>
      <c r="Q475" s="36"/>
      <c r="R475" s="36"/>
      <c r="S475" s="36"/>
    </row>
    <row r="476" spans="2:19">
      <c r="B476" s="149"/>
      <c r="C476" s="149"/>
      <c r="D476" s="38"/>
      <c r="E476" s="38"/>
      <c r="F476" s="148"/>
      <c r="G476" s="36"/>
      <c r="H476" s="36"/>
      <c r="I476" s="36"/>
      <c r="J476" s="36"/>
      <c r="K476" s="36"/>
      <c r="L476" s="36"/>
      <c r="M476" s="36"/>
      <c r="N476" s="42"/>
      <c r="O476" s="142"/>
      <c r="P476" s="36"/>
      <c r="Q476" s="36"/>
      <c r="R476" s="36"/>
      <c r="S476" s="36"/>
    </row>
    <row r="477" spans="2:19">
      <c r="B477" s="149"/>
      <c r="C477" s="149"/>
      <c r="D477" s="38"/>
      <c r="E477" s="38"/>
      <c r="F477" s="148"/>
      <c r="G477" s="36"/>
      <c r="H477" s="36"/>
      <c r="I477" s="36"/>
      <c r="J477" s="36"/>
      <c r="K477" s="36"/>
      <c r="L477" s="36"/>
      <c r="M477" s="36"/>
      <c r="N477" s="42"/>
      <c r="O477" s="142"/>
      <c r="P477" s="36"/>
      <c r="Q477" s="36"/>
      <c r="R477" s="36"/>
      <c r="S477" s="36"/>
    </row>
    <row r="478" spans="2:19">
      <c r="B478" s="149"/>
      <c r="C478" s="149"/>
      <c r="D478" s="38"/>
      <c r="E478" s="38"/>
      <c r="F478" s="148"/>
      <c r="G478" s="36"/>
      <c r="H478" s="36"/>
      <c r="I478" s="36"/>
      <c r="J478" s="36"/>
      <c r="K478" s="36"/>
      <c r="L478" s="36"/>
      <c r="M478" s="36"/>
      <c r="N478" s="42"/>
      <c r="O478" s="142"/>
      <c r="P478" s="36"/>
      <c r="Q478" s="36"/>
      <c r="R478" s="36"/>
      <c r="S478" s="36"/>
    </row>
    <row r="479" spans="2:19">
      <c r="B479" s="149"/>
      <c r="C479" s="149"/>
      <c r="D479" s="38"/>
      <c r="E479" s="38"/>
      <c r="F479" s="36"/>
      <c r="G479" s="36"/>
      <c r="H479" s="36"/>
      <c r="I479" s="36"/>
      <c r="J479" s="36"/>
      <c r="K479" s="36"/>
      <c r="L479" s="36"/>
      <c r="M479" s="36"/>
      <c r="N479" s="42"/>
      <c r="O479" s="142"/>
      <c r="P479" s="36"/>
      <c r="Q479" s="36"/>
      <c r="R479" s="36"/>
      <c r="S479" s="36"/>
    </row>
    <row r="480" spans="2:19">
      <c r="B480" s="149"/>
      <c r="C480" s="149"/>
      <c r="D480" s="38"/>
      <c r="E480" s="38"/>
      <c r="F480" s="36"/>
      <c r="G480" s="36"/>
      <c r="H480" s="36"/>
      <c r="I480" s="36"/>
      <c r="J480" s="36"/>
      <c r="K480" s="36"/>
      <c r="L480" s="36"/>
      <c r="M480" s="36"/>
      <c r="N480" s="42"/>
      <c r="O480" s="142"/>
      <c r="P480" s="36"/>
      <c r="Q480" s="36"/>
      <c r="R480" s="36"/>
      <c r="S480" s="36"/>
    </row>
    <row r="481" spans="2:19">
      <c r="B481" s="149"/>
      <c r="C481" s="149"/>
      <c r="D481" s="38"/>
      <c r="E481" s="38"/>
      <c r="F481" s="36"/>
      <c r="G481" s="36"/>
      <c r="H481" s="36"/>
      <c r="I481" s="36"/>
      <c r="J481" s="36"/>
      <c r="K481" s="36"/>
      <c r="L481" s="36"/>
      <c r="M481" s="36"/>
      <c r="N481" s="42"/>
      <c r="O481" s="142"/>
      <c r="P481" s="36"/>
      <c r="Q481" s="36"/>
      <c r="R481" s="36"/>
      <c r="S481" s="36"/>
    </row>
    <row r="482" spans="2:19">
      <c r="B482" s="149"/>
      <c r="C482" s="149"/>
      <c r="D482" s="38"/>
      <c r="E482" s="38"/>
      <c r="F482" s="36"/>
      <c r="G482" s="36"/>
      <c r="H482" s="36"/>
      <c r="I482" s="36"/>
      <c r="J482" s="36"/>
      <c r="K482" s="36"/>
      <c r="L482" s="36"/>
      <c r="M482" s="36"/>
      <c r="N482" s="42"/>
      <c r="O482" s="142"/>
      <c r="P482" s="36"/>
      <c r="Q482" s="36"/>
      <c r="R482" s="36"/>
      <c r="S482" s="36"/>
    </row>
    <row r="483" spans="2:19">
      <c r="B483" s="149"/>
      <c r="C483" s="149"/>
      <c r="D483" s="38"/>
      <c r="E483" s="38"/>
      <c r="F483" s="36"/>
      <c r="G483" s="36"/>
      <c r="H483" s="36"/>
      <c r="I483" s="36"/>
      <c r="J483" s="36"/>
      <c r="K483" s="36"/>
      <c r="L483" s="36"/>
      <c r="M483" s="36"/>
      <c r="N483" s="42"/>
      <c r="O483" s="142"/>
      <c r="P483" s="36"/>
      <c r="Q483" s="36"/>
      <c r="R483" s="36"/>
      <c r="S483" s="36"/>
    </row>
    <row r="484" spans="2:19">
      <c r="B484" t="s">
        <v>91</v>
      </c>
      <c r="D484" t="s">
        <v>91</v>
      </c>
      <c r="E484" t="s">
        <v>91</v>
      </c>
      <c r="F484" t="s">
        <v>91</v>
      </c>
      <c r="G484" t="s">
        <v>91</v>
      </c>
      <c r="H484" t="s">
        <v>91</v>
      </c>
      <c r="I484" t="s">
        <v>91</v>
      </c>
      <c r="J484" t="s">
        <v>91</v>
      </c>
      <c r="K484" t="s">
        <v>91</v>
      </c>
      <c r="L484" t="s">
        <v>91</v>
      </c>
      <c r="M484" t="s">
        <v>91</v>
      </c>
      <c r="P484" t="s">
        <v>91</v>
      </c>
      <c r="Q484" t="s">
        <v>91</v>
      </c>
      <c r="R484" t="s">
        <v>91</v>
      </c>
      <c r="S484" t="s">
        <v>91</v>
      </c>
    </row>
    <row r="1048575" spans="14:14">
      <c r="N1048575" s="200"/>
    </row>
  </sheetData>
  <sheetProtection formatCells="0" formatColumns="0" formatRows="0"/>
  <dataConsolidate/>
  <mergeCells count="7">
    <mergeCell ref="Q2:S2"/>
    <mergeCell ref="E2:P2"/>
    <mergeCell ref="B6:E6"/>
    <mergeCell ref="F6:G6"/>
    <mergeCell ref="B7:E7"/>
    <mergeCell ref="F7:G7"/>
    <mergeCell ref="B2:D2"/>
  </mergeCells>
  <phoneticPr fontId="3" type="noConversion"/>
  <dataValidations count="7">
    <dataValidation type="list" allowBlank="1" showInputMessage="1" showErrorMessage="1" sqref="K10:K483">
      <formula1>EsInterfaz</formula1>
    </dataValidation>
    <dataValidation type="list" allowBlank="1" showInputMessage="1" showErrorMessage="1" sqref="L10:L483">
      <formula1>TipoDeDesarrollo</formula1>
    </dataValidation>
    <dataValidation type="list" allowBlank="1" showInputMessage="1" showErrorMessage="1" sqref="H10:H483">
      <formula1>TipoDeFlujo</formula1>
    </dataValidation>
    <dataValidation type="list" allowBlank="1" showInputMessage="1" showErrorMessage="1" sqref="R10:R483">
      <formula1>AfectaArquitectura</formula1>
    </dataValidation>
    <dataValidation type="list" showInputMessage="1" showErrorMessage="1" sqref="D10:D483">
      <formula1>IdReqUsuario</formula1>
    </dataValidation>
    <dataValidation type="list" allowBlank="1" showInputMessage="1" showErrorMessage="1" sqref="G10:G483">
      <formula1>TipoRequerimientoDeSistema</formula1>
    </dataValidation>
    <dataValidation type="list" allowBlank="1" showInputMessage="1" showErrorMessage="1" sqref="M10:M483">
      <formula1>Situacion</formula1>
    </dataValidation>
  </dataValidations>
  <pageMargins left="0.42" right="0.4" top="0.87" bottom="1" header="0" footer="0"/>
  <pageSetup paperSize="9" scale="10" orientation="landscape"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2:P138"/>
  <sheetViews>
    <sheetView showGridLines="0" zoomScale="75" workbookViewId="0">
      <pane ySplit="9" topLeftCell="A10" activePane="bottomLeft" state="frozen"/>
      <selection activeCell="N32" sqref="N32"/>
      <selection pane="bottomLeft" activeCell="I22" sqref="B12:I22"/>
    </sheetView>
  </sheetViews>
  <sheetFormatPr baseColWidth="10" defaultColWidth="9.140625" defaultRowHeight="12.75"/>
  <cols>
    <col min="1" max="1" width="1.85546875" customWidth="1"/>
    <col min="2" max="4" width="11.85546875" customWidth="1"/>
    <col min="5" max="5" width="58.42578125" customWidth="1"/>
    <col min="6" max="6" width="15.28515625" customWidth="1"/>
    <col min="7" max="9" width="18.7109375" customWidth="1"/>
    <col min="10" max="10" width="16" customWidth="1"/>
  </cols>
  <sheetData>
    <row r="2" spans="1:16" s="50" customFormat="1" ht="48.75" customHeight="1">
      <c r="A2" s="108"/>
      <c r="B2" s="314"/>
      <c r="C2" s="315"/>
      <c r="D2" s="316"/>
      <c r="E2" s="311" t="s">
        <v>217</v>
      </c>
      <c r="F2" s="311"/>
      <c r="G2" s="311"/>
      <c r="H2" s="311"/>
      <c r="I2" s="310"/>
      <c r="J2" s="310"/>
      <c r="L2" s="317"/>
      <c r="M2" s="317"/>
    </row>
    <row r="4" spans="1:16" ht="18">
      <c r="B4" s="1" t="s">
        <v>156</v>
      </c>
      <c r="C4" s="1"/>
    </row>
    <row r="5" spans="1:16" ht="18">
      <c r="B5" s="1"/>
      <c r="C5" s="1"/>
    </row>
    <row r="6" spans="1:16">
      <c r="B6" s="309" t="s">
        <v>113</v>
      </c>
      <c r="C6" s="309"/>
      <c r="D6" s="309"/>
      <c r="E6" s="312" t="str">
        <f>IF(NOT(ISBLANK('Requerimientos de usuario'!E8)),'Requerimientos de usuario'!E8,"  ")</f>
        <v>LP02</v>
      </c>
      <c r="F6" s="313"/>
    </row>
    <row r="7" spans="1:16" s="16" customFormat="1" ht="17.25" customHeight="1">
      <c r="A7" s="14"/>
      <c r="B7" s="309" t="s">
        <v>114</v>
      </c>
      <c r="C7" s="309"/>
      <c r="D7" s="309"/>
      <c r="E7" s="312" t="str">
        <f>IF(NOT(ISBLANK('Requerimientos de usuario'!E9)),'Requerimientos de usuario'!E9,"  ")</f>
        <v>Luis Marcilla</v>
      </c>
      <c r="F7" s="313"/>
      <c r="G7" s="15"/>
    </row>
    <row r="8" spans="1:16" ht="18">
      <c r="B8" s="1"/>
      <c r="C8" s="1"/>
      <c r="D8" s="1"/>
    </row>
    <row r="9" spans="1:16" s="2" customFormat="1" ht="41.25" customHeight="1">
      <c r="B9" s="30" t="s">
        <v>101</v>
      </c>
      <c r="C9" s="107" t="s">
        <v>215</v>
      </c>
      <c r="D9" s="30" t="s">
        <v>14</v>
      </c>
      <c r="E9" s="30" t="s">
        <v>15</v>
      </c>
      <c r="F9" s="30" t="s">
        <v>17</v>
      </c>
      <c r="G9" s="30" t="s">
        <v>125</v>
      </c>
      <c r="H9" s="30" t="s">
        <v>5</v>
      </c>
      <c r="I9" s="110" t="s">
        <v>262</v>
      </c>
      <c r="J9" s="30" t="s">
        <v>126</v>
      </c>
      <c r="P9" s="26" t="s">
        <v>200</v>
      </c>
    </row>
    <row r="10" spans="1:16">
      <c r="B10" s="33" t="str">
        <f>IF(NOT(ISBLANK('Requerimientos de usuario'!$B$13)),'Requerimientos de usuario'!$B$13,"  ")</f>
        <v xml:space="preserve">  </v>
      </c>
      <c r="C10" s="33" t="str">
        <f>IF(NOT(ISBLANK('Requerimientos de usuario'!$C$13)),'Requerimientos de usuario'!$C$13,"  ")</f>
        <v xml:space="preserve">  </v>
      </c>
      <c r="D10" s="38"/>
      <c r="E10" s="38"/>
      <c r="F10" s="38"/>
      <c r="G10" s="38"/>
      <c r="H10" s="38"/>
      <c r="I10" s="42"/>
      <c r="J10" s="152"/>
    </row>
    <row r="11" spans="1:16">
      <c r="B11" s="33" t="str">
        <f>IF(NOT(ISBLANK('Requerimientos de usuario'!$B$13)),'Requerimientos de usuario'!$B$13,"  ")</f>
        <v xml:space="preserve">  </v>
      </c>
      <c r="C11" s="33" t="str">
        <f>IF(NOT(ISBLANK('Requerimientos de usuario'!$C$13)),'Requerimientos de usuario'!$C$13,"  ")</f>
        <v xml:space="preserve">  </v>
      </c>
      <c r="D11" s="38"/>
      <c r="E11" s="38"/>
      <c r="F11" s="38"/>
      <c r="G11" s="38"/>
      <c r="H11" s="38"/>
      <c r="I11" s="42"/>
      <c r="J11" s="152"/>
    </row>
    <row r="12" spans="1:16">
      <c r="B12" s="33" t="str">
        <f>IF(NOT(ISBLANK('Requerimientos de usuario'!$B$13)),'Requerimientos de usuario'!$B$13,"  ")</f>
        <v xml:space="preserve">  </v>
      </c>
      <c r="C12" s="33" t="str">
        <f>IF(NOT(ISBLANK('Requerimientos de usuario'!$C$13)),'Requerimientos de usuario'!$C$13,"  ")</f>
        <v xml:space="preserve">  </v>
      </c>
      <c r="D12" s="38"/>
      <c r="E12" s="38"/>
      <c r="F12" s="38"/>
      <c r="G12" s="38"/>
      <c r="H12" s="38"/>
      <c r="I12" s="42"/>
      <c r="J12" s="152"/>
    </row>
    <row r="13" spans="1:16">
      <c r="B13" s="33" t="str">
        <f>IF(NOT(ISBLANK('Requerimientos de usuario'!$B$13)),'Requerimientos de usuario'!$B$13,"  ")</f>
        <v xml:space="preserve">  </v>
      </c>
      <c r="C13" s="33" t="str">
        <f>IF(NOT(ISBLANK('Requerimientos de usuario'!$C$13)),'Requerimientos de usuario'!$C$13,"  ")</f>
        <v xml:space="preserve">  </v>
      </c>
      <c r="D13" s="38"/>
      <c r="E13" s="38"/>
      <c r="F13" s="38"/>
      <c r="G13" s="38"/>
      <c r="H13" s="38"/>
      <c r="I13" s="42"/>
      <c r="J13" s="152"/>
    </row>
    <row r="14" spans="1:16">
      <c r="B14" s="33" t="str">
        <f>IF(NOT(ISBLANK('Requerimientos de usuario'!$B$13)),'Requerimientos de usuario'!$B$13,"  ")</f>
        <v xml:space="preserve">  </v>
      </c>
      <c r="C14" s="33" t="str">
        <f>IF(NOT(ISBLANK('Requerimientos de usuario'!$C$13)),'Requerimientos de usuario'!$C$13,"  ")</f>
        <v xml:space="preserve">  </v>
      </c>
      <c r="D14" s="38"/>
      <c r="E14" s="38"/>
      <c r="F14" s="38"/>
      <c r="G14" s="38"/>
      <c r="H14" s="38"/>
      <c r="I14" s="42"/>
      <c r="J14" s="152"/>
    </row>
    <row r="15" spans="1:16">
      <c r="B15" s="33" t="str">
        <f>IF(NOT(ISBLANK('Requerimientos de usuario'!$B$13)),'Requerimientos de usuario'!$B$13,"  ")</f>
        <v xml:space="preserve">  </v>
      </c>
      <c r="C15" s="33" t="str">
        <f>IF(NOT(ISBLANK('Requerimientos de usuario'!$C$13)),'Requerimientos de usuario'!$C$13,"  ")</f>
        <v xml:space="preserve">  </v>
      </c>
      <c r="D15" s="38"/>
      <c r="E15" s="38"/>
      <c r="F15" s="38"/>
      <c r="G15" s="38"/>
      <c r="H15" s="38"/>
      <c r="I15" s="42"/>
      <c r="J15" s="152"/>
    </row>
    <row r="16" spans="1:16">
      <c r="B16" s="33" t="str">
        <f>IF(NOT(ISBLANK('Requerimientos de usuario'!$B$13)),'Requerimientos de usuario'!$B$13,"  ")</f>
        <v xml:space="preserve">  </v>
      </c>
      <c r="C16" s="33" t="str">
        <f>IF(NOT(ISBLANK('Requerimientos de usuario'!$C$13)),'Requerimientos de usuario'!$C$13,"  ")</f>
        <v xml:space="preserve">  </v>
      </c>
      <c r="D16" s="38"/>
      <c r="E16" s="36"/>
      <c r="F16" s="38"/>
      <c r="G16" s="38"/>
      <c r="H16" s="38"/>
      <c r="I16" s="42"/>
      <c r="J16" s="152"/>
    </row>
    <row r="17" spans="2:10">
      <c r="B17" s="33" t="str">
        <f>IF(NOT(ISBLANK('Requerimientos de usuario'!$B$13)),'Requerimientos de usuario'!$B$13,"  ")</f>
        <v xml:space="preserve">  </v>
      </c>
      <c r="C17" s="33" t="str">
        <f>IF(NOT(ISBLANK('Requerimientos de usuario'!$C$13)),'Requerimientos de usuario'!$C$13,"  ")</f>
        <v xml:space="preserve">  </v>
      </c>
      <c r="D17" s="38"/>
      <c r="E17" s="36"/>
      <c r="F17" s="38"/>
      <c r="G17" s="38"/>
      <c r="H17" s="38"/>
      <c r="I17" s="42"/>
      <c r="J17" s="42"/>
    </row>
    <row r="18" spans="2:10">
      <c r="B18" s="33" t="str">
        <f>IF(NOT(ISBLANK('Requerimientos de usuario'!$B$13)),'Requerimientos de usuario'!$B$13,"  ")</f>
        <v xml:space="preserve">  </v>
      </c>
      <c r="C18" s="33" t="str">
        <f>IF(NOT(ISBLANK('Requerimientos de usuario'!$C$13)),'Requerimientos de usuario'!$C$13,"  ")</f>
        <v xml:space="preserve">  </v>
      </c>
      <c r="D18" s="38"/>
      <c r="E18" s="36"/>
      <c r="F18" s="38"/>
      <c r="G18" s="38"/>
      <c r="H18" s="38"/>
      <c r="I18" s="42"/>
      <c r="J18" s="42"/>
    </row>
    <row r="19" spans="2:10">
      <c r="B19" s="33" t="str">
        <f>IF(NOT(ISBLANK('Requerimientos de usuario'!$B$13)),'Requerimientos de usuario'!$B$13,"  ")</f>
        <v xml:space="preserve">  </v>
      </c>
      <c r="C19" s="33" t="str">
        <f>IF(NOT(ISBLANK('Requerimientos de usuario'!$C$13)),'Requerimientos de usuario'!$C$13,"  ")</f>
        <v xml:space="preserve">  </v>
      </c>
      <c r="D19" s="38"/>
      <c r="E19" s="36"/>
      <c r="F19" s="38"/>
      <c r="G19" s="38"/>
      <c r="H19" s="38"/>
      <c r="I19" s="42"/>
      <c r="J19" s="42"/>
    </row>
    <row r="20" spans="2:10">
      <c r="B20" s="33" t="str">
        <f>IF(NOT(ISBLANK('Requerimientos de usuario'!$B$13)),'Requerimientos de usuario'!$B$13,"  ")</f>
        <v xml:space="preserve">  </v>
      </c>
      <c r="C20" s="33" t="str">
        <f>IF(NOT(ISBLANK('Requerimientos de usuario'!$C$13)),'Requerimientos de usuario'!$C$13,"  ")</f>
        <v xml:space="preserve">  </v>
      </c>
      <c r="D20" s="38"/>
      <c r="E20" s="36"/>
      <c r="F20" s="38"/>
      <c r="G20" s="38"/>
      <c r="H20" s="38"/>
      <c r="I20" s="42"/>
      <c r="J20" s="42"/>
    </row>
    <row r="21" spans="2:10">
      <c r="B21" s="33" t="str">
        <f>IF(NOT(ISBLANK('Requerimientos de usuario'!$B$13)),'Requerimientos de usuario'!$B$13,"  ")</f>
        <v xml:space="preserve">  </v>
      </c>
      <c r="C21" s="33" t="str">
        <f>IF(NOT(ISBLANK('Requerimientos de usuario'!$C$13)),'Requerimientos de usuario'!$C$13,"  ")</f>
        <v xml:space="preserve">  </v>
      </c>
      <c r="D21" s="38"/>
      <c r="E21" s="36"/>
      <c r="F21" s="38"/>
      <c r="G21" s="38"/>
      <c r="H21" s="38"/>
      <c r="I21" s="42"/>
      <c r="J21" s="42"/>
    </row>
    <row r="22" spans="2:10">
      <c r="B22" s="33" t="str">
        <f>IF(NOT(ISBLANK('Requerimientos de usuario'!$B$13)),'Requerimientos de usuario'!$B$13,"  ")</f>
        <v xml:space="preserve">  </v>
      </c>
      <c r="C22" s="33" t="str">
        <f>IF(NOT(ISBLANK('Requerimientos de usuario'!$C$13)),'Requerimientos de usuario'!$C$13,"  ")</f>
        <v xml:space="preserve">  </v>
      </c>
      <c r="D22" s="38"/>
      <c r="E22" s="36"/>
      <c r="F22" s="38"/>
      <c r="G22" s="38"/>
      <c r="H22" s="38"/>
      <c r="I22" s="42"/>
      <c r="J22" s="42"/>
    </row>
    <row r="23" spans="2:10">
      <c r="B23" s="33" t="str">
        <f>IF(NOT(ISBLANK('Requerimientos de usuario'!$B$13)),'Requerimientos de usuario'!$B$13,"  ")</f>
        <v xml:space="preserve">  </v>
      </c>
      <c r="C23" s="33" t="str">
        <f>IF(NOT(ISBLANK('Requerimientos de usuario'!$C$13)),'Requerimientos de usuario'!$C$13,"  ")</f>
        <v xml:space="preserve">  </v>
      </c>
      <c r="D23" s="38"/>
      <c r="E23" s="36"/>
      <c r="F23" s="38"/>
      <c r="G23" s="38"/>
      <c r="H23" s="38"/>
      <c r="I23" s="42"/>
      <c r="J23" s="42"/>
    </row>
    <row r="24" spans="2:10">
      <c r="B24" s="33" t="str">
        <f>IF(NOT(ISBLANK('Requerimientos de usuario'!$B$13)),'Requerimientos de usuario'!$B$13,"  ")</f>
        <v xml:space="preserve">  </v>
      </c>
      <c r="C24" s="33" t="str">
        <f>IF(NOT(ISBLANK('Requerimientos de usuario'!$C$13)),'Requerimientos de usuario'!$C$13,"  ")</f>
        <v xml:space="preserve">  </v>
      </c>
      <c r="D24" s="38"/>
      <c r="E24" s="36"/>
      <c r="F24" s="38"/>
      <c r="G24" s="38"/>
      <c r="H24" s="38"/>
      <c r="I24" s="42"/>
      <c r="J24" s="42"/>
    </row>
    <row r="25" spans="2:10">
      <c r="B25" s="33" t="str">
        <f>IF(NOT(ISBLANK('Requerimientos de usuario'!$B$13)),'Requerimientos de usuario'!$B$13,"  ")</f>
        <v xml:space="preserve">  </v>
      </c>
      <c r="C25" s="33" t="str">
        <f>IF(NOT(ISBLANK('Requerimientos de usuario'!$C$13)),'Requerimientos de usuario'!$C$13,"  ")</f>
        <v xml:space="preserve">  </v>
      </c>
      <c r="D25" s="38"/>
      <c r="E25" s="36"/>
      <c r="F25" s="38"/>
      <c r="G25" s="38"/>
      <c r="H25" s="38"/>
      <c r="I25" s="42"/>
      <c r="J25" s="42"/>
    </row>
    <row r="26" spans="2:10">
      <c r="B26" s="33" t="str">
        <f>IF(NOT(ISBLANK('Requerimientos de usuario'!$B$13)),'Requerimientos de usuario'!$B$13,"  ")</f>
        <v xml:space="preserve">  </v>
      </c>
      <c r="C26" s="33" t="str">
        <f>IF(NOT(ISBLANK('Requerimientos de usuario'!$C$13)),'Requerimientos de usuario'!$C$13,"  ")</f>
        <v xml:space="preserve">  </v>
      </c>
      <c r="D26" s="38"/>
      <c r="E26" s="36"/>
      <c r="F26" s="38"/>
      <c r="G26" s="38"/>
      <c r="H26" s="38"/>
      <c r="I26" s="42"/>
      <c r="J26" s="42"/>
    </row>
    <row r="27" spans="2:10">
      <c r="B27" s="33" t="str">
        <f>IF(NOT(ISBLANK('Requerimientos de usuario'!$B$13)),'Requerimientos de usuario'!$B$13,"  ")</f>
        <v xml:space="preserve">  </v>
      </c>
      <c r="C27" s="33" t="str">
        <f>IF(NOT(ISBLANK('Requerimientos de usuario'!$C$13)),'Requerimientos de usuario'!$C$13,"  ")</f>
        <v xml:space="preserve">  </v>
      </c>
      <c r="D27" s="38"/>
      <c r="E27" s="36"/>
      <c r="F27" s="38"/>
      <c r="G27" s="38"/>
      <c r="H27" s="38"/>
      <c r="I27" s="42"/>
      <c r="J27" s="42"/>
    </row>
    <row r="28" spans="2:10">
      <c r="B28" s="33" t="str">
        <f>IF(NOT(ISBLANK('Requerimientos de usuario'!$B$13)),'Requerimientos de usuario'!$B$13,"  ")</f>
        <v xml:space="preserve">  </v>
      </c>
      <c r="C28" s="33" t="str">
        <f>IF(NOT(ISBLANK('Requerimientos de usuario'!$C$13)),'Requerimientos de usuario'!$C$13,"  ")</f>
        <v xml:space="preserve">  </v>
      </c>
      <c r="D28" s="38"/>
      <c r="E28" s="36"/>
      <c r="F28" s="38"/>
      <c r="G28" s="38"/>
      <c r="H28" s="38"/>
      <c r="I28" s="42"/>
      <c r="J28" s="42"/>
    </row>
    <row r="29" spans="2:10">
      <c r="B29" s="33" t="str">
        <f>IF(NOT(ISBLANK('Requerimientos de usuario'!$B$13)),'Requerimientos de usuario'!$B$13,"  ")</f>
        <v xml:space="preserve">  </v>
      </c>
      <c r="C29" s="33" t="str">
        <f>IF(NOT(ISBLANK('Requerimientos de usuario'!$C$13)),'Requerimientos de usuario'!$C$13,"  ")</f>
        <v xml:space="preserve">  </v>
      </c>
      <c r="D29" s="38"/>
      <c r="E29" s="36"/>
      <c r="F29" s="38"/>
      <c r="G29" s="38"/>
      <c r="H29" s="38"/>
      <c r="I29" s="42"/>
      <c r="J29" s="42"/>
    </row>
    <row r="30" spans="2:10">
      <c r="B30" s="33" t="str">
        <f>IF(NOT(ISBLANK('Requerimientos de usuario'!$B$13)),'Requerimientos de usuario'!$B$13,"  ")</f>
        <v xml:space="preserve">  </v>
      </c>
      <c r="C30" s="33" t="str">
        <f>IF(NOT(ISBLANK('Requerimientos de usuario'!$C$13)),'Requerimientos de usuario'!$C$13,"  ")</f>
        <v xml:space="preserve">  </v>
      </c>
      <c r="D30" s="38"/>
      <c r="E30" s="36"/>
      <c r="F30" s="38"/>
      <c r="G30" s="38"/>
      <c r="H30" s="38"/>
      <c r="I30" s="42"/>
      <c r="J30" s="42"/>
    </row>
    <row r="31" spans="2:10">
      <c r="B31" s="33" t="str">
        <f>IF(NOT(ISBLANK('Requerimientos de usuario'!$B$13)),'Requerimientos de usuario'!$B$13,"  ")</f>
        <v xml:space="preserve">  </v>
      </c>
      <c r="C31" s="33" t="str">
        <f>IF(NOT(ISBLANK('Requerimientos de usuario'!$C$13)),'Requerimientos de usuario'!$C$13,"  ")</f>
        <v xml:space="preserve">  </v>
      </c>
      <c r="D31" s="38"/>
      <c r="E31" s="36"/>
      <c r="F31" s="38"/>
      <c r="G31" s="38"/>
      <c r="H31" s="38"/>
      <c r="I31" s="42"/>
      <c r="J31" s="42"/>
    </row>
    <row r="32" spans="2:10">
      <c r="B32" s="33" t="str">
        <f>IF(NOT(ISBLANK('Requerimientos de usuario'!$B$13)),'Requerimientos de usuario'!$B$13,"  ")</f>
        <v xml:space="preserve">  </v>
      </c>
      <c r="C32" s="33" t="str">
        <f>IF(NOT(ISBLANK('Requerimientos de usuario'!$C$13)),'Requerimientos de usuario'!$C$13,"  ")</f>
        <v xml:space="preserve">  </v>
      </c>
      <c r="D32" s="38"/>
      <c r="E32" s="36"/>
      <c r="F32" s="38"/>
      <c r="G32" s="38"/>
      <c r="H32" s="38"/>
      <c r="I32" s="42"/>
      <c r="J32" s="42"/>
    </row>
    <row r="33" spans="2:10">
      <c r="B33" s="33" t="str">
        <f>IF(NOT(ISBLANK('Requerimientos de usuario'!$B$13)),'Requerimientos de usuario'!$B$13,"  ")</f>
        <v xml:space="preserve">  </v>
      </c>
      <c r="C33" s="33" t="str">
        <f>IF(NOT(ISBLANK('Requerimientos de usuario'!$C$13)),'Requerimientos de usuario'!$C$13,"  ")</f>
        <v xml:space="preserve">  </v>
      </c>
      <c r="D33" s="38"/>
      <c r="E33" s="36"/>
      <c r="F33" s="38"/>
      <c r="G33" s="38"/>
      <c r="H33" s="38"/>
      <c r="I33" s="42"/>
      <c r="J33" s="42"/>
    </row>
    <row r="34" spans="2:10">
      <c r="B34" s="33" t="str">
        <f>IF(NOT(ISBLANK('Requerimientos de usuario'!$B$13)),'Requerimientos de usuario'!$B$13,"  ")</f>
        <v xml:space="preserve">  </v>
      </c>
      <c r="C34" s="33" t="str">
        <f>IF(NOT(ISBLANK('Requerimientos de usuario'!$C$13)),'Requerimientos de usuario'!$C$13,"  ")</f>
        <v xml:space="preserve">  </v>
      </c>
      <c r="D34" s="38"/>
      <c r="E34" s="36"/>
      <c r="F34" s="38"/>
      <c r="G34" s="38"/>
      <c r="H34" s="38"/>
      <c r="I34" s="42"/>
      <c r="J34" s="42"/>
    </row>
    <row r="35" spans="2:10">
      <c r="B35" s="33" t="str">
        <f>IF(NOT(ISBLANK('Requerimientos de usuario'!$B$13)),'Requerimientos de usuario'!$B$13,"  ")</f>
        <v xml:space="preserve">  </v>
      </c>
      <c r="C35" s="33" t="str">
        <f>IF(NOT(ISBLANK('Requerimientos de usuario'!$C$13)),'Requerimientos de usuario'!$C$13,"  ")</f>
        <v xml:space="preserve">  </v>
      </c>
      <c r="D35" s="38"/>
      <c r="E35" s="36"/>
      <c r="F35" s="38"/>
      <c r="G35" s="38"/>
      <c r="H35" s="38"/>
      <c r="I35" s="42"/>
      <c r="J35" s="42"/>
    </row>
    <row r="36" spans="2:10">
      <c r="B36" s="33" t="str">
        <f>IF(NOT(ISBLANK('Requerimientos de usuario'!$B$13)),'Requerimientos de usuario'!$B$13,"  ")</f>
        <v xml:space="preserve">  </v>
      </c>
      <c r="C36" s="33" t="str">
        <f>IF(NOT(ISBLANK('Requerimientos de usuario'!$C$13)),'Requerimientos de usuario'!$C$13,"  ")</f>
        <v xml:space="preserve">  </v>
      </c>
      <c r="D36" s="38"/>
      <c r="E36" s="36"/>
      <c r="F36" s="38"/>
      <c r="G36" s="38"/>
      <c r="H36" s="38"/>
      <c r="I36" s="42"/>
      <c r="J36" s="42"/>
    </row>
    <row r="37" spans="2:10">
      <c r="B37" s="33" t="str">
        <f>IF(NOT(ISBLANK('Requerimientos de usuario'!$B$13)),'Requerimientos de usuario'!$B$13,"  ")</f>
        <v xml:space="preserve">  </v>
      </c>
      <c r="C37" s="33" t="str">
        <f>IF(NOT(ISBLANK('Requerimientos de usuario'!$C$13)),'Requerimientos de usuario'!$C$13,"  ")</f>
        <v xml:space="preserve">  </v>
      </c>
      <c r="D37" s="38"/>
      <c r="E37" s="36"/>
      <c r="F37" s="38"/>
      <c r="G37" s="38"/>
      <c r="H37" s="38"/>
      <c r="I37" s="42"/>
      <c r="J37" s="42"/>
    </row>
    <row r="38" spans="2:10">
      <c r="B38" s="33" t="str">
        <f>IF(NOT(ISBLANK('Requerimientos de usuario'!$B$13)),'Requerimientos de usuario'!$B$13,"  ")</f>
        <v xml:space="preserve">  </v>
      </c>
      <c r="C38" s="33" t="str">
        <f>IF(NOT(ISBLANK('Requerimientos de usuario'!$C$13)),'Requerimientos de usuario'!$C$13,"  ")</f>
        <v xml:space="preserve">  </v>
      </c>
      <c r="D38" s="38"/>
      <c r="E38" s="36"/>
      <c r="F38" s="38"/>
      <c r="G38" s="38"/>
      <c r="H38" s="38"/>
      <c r="I38" s="42"/>
      <c r="J38" s="42"/>
    </row>
    <row r="39" spans="2:10">
      <c r="B39" s="33" t="str">
        <f>IF(NOT(ISBLANK('Requerimientos de usuario'!$B$13)),'Requerimientos de usuario'!$B$13,"  ")</f>
        <v xml:space="preserve">  </v>
      </c>
      <c r="C39" s="33" t="str">
        <f>IF(NOT(ISBLANK('Requerimientos de usuario'!$C$13)),'Requerimientos de usuario'!$C$13,"  ")</f>
        <v xml:space="preserve">  </v>
      </c>
      <c r="D39" s="38"/>
      <c r="E39" s="36"/>
      <c r="F39" s="38"/>
      <c r="G39" s="38"/>
      <c r="H39" s="38"/>
      <c r="I39" s="42"/>
      <c r="J39" s="42"/>
    </row>
    <row r="40" spans="2:10">
      <c r="B40" s="33" t="str">
        <f>IF(NOT(ISBLANK('Requerimientos de usuario'!$B$13)),'Requerimientos de usuario'!$B$13,"  ")</f>
        <v xml:space="preserve">  </v>
      </c>
      <c r="C40" s="33" t="str">
        <f>IF(NOT(ISBLANK('Requerimientos de usuario'!$C$13)),'Requerimientos de usuario'!$C$13,"  ")</f>
        <v xml:space="preserve">  </v>
      </c>
      <c r="D40" s="38"/>
      <c r="E40" s="36"/>
      <c r="F40" s="38"/>
      <c r="G40" s="38"/>
      <c r="H40" s="38"/>
      <c r="I40" s="42"/>
      <c r="J40" s="42"/>
    </row>
    <row r="41" spans="2:10">
      <c r="B41" s="33" t="str">
        <f>IF(NOT(ISBLANK('Requerimientos de usuario'!$B$13)),'Requerimientos de usuario'!$B$13,"  ")</f>
        <v xml:space="preserve">  </v>
      </c>
      <c r="C41" s="33" t="str">
        <f>IF(NOT(ISBLANK('Requerimientos de usuario'!$C$13)),'Requerimientos de usuario'!$C$13,"  ")</f>
        <v xml:space="preserve">  </v>
      </c>
      <c r="D41" s="38"/>
      <c r="E41" s="36"/>
      <c r="F41" s="38"/>
      <c r="G41" s="38"/>
      <c r="H41" s="38"/>
      <c r="I41" s="42"/>
      <c r="J41" s="42"/>
    </row>
    <row r="42" spans="2:10">
      <c r="B42" s="33" t="str">
        <f>IF(NOT(ISBLANK('Requerimientos de usuario'!$B$13)),'Requerimientos de usuario'!$B$13,"  ")</f>
        <v xml:space="preserve">  </v>
      </c>
      <c r="C42" s="33" t="str">
        <f>IF(NOT(ISBLANK('Requerimientos de usuario'!$C$13)),'Requerimientos de usuario'!$C$13,"  ")</f>
        <v xml:space="preserve">  </v>
      </c>
      <c r="D42" s="38"/>
      <c r="E42" s="36"/>
      <c r="F42" s="38"/>
      <c r="G42" s="38"/>
      <c r="H42" s="38"/>
      <c r="I42" s="42"/>
      <c r="J42" s="42"/>
    </row>
    <row r="43" spans="2:10">
      <c r="B43" s="33" t="str">
        <f>IF(NOT(ISBLANK('Requerimientos de usuario'!$B$13)),'Requerimientos de usuario'!$B$13,"  ")</f>
        <v xml:space="preserve">  </v>
      </c>
      <c r="C43" s="33" t="str">
        <f>IF(NOT(ISBLANK('Requerimientos de usuario'!$C$13)),'Requerimientos de usuario'!$C$13,"  ")</f>
        <v xml:space="preserve">  </v>
      </c>
      <c r="D43" s="38"/>
      <c r="E43" s="36"/>
      <c r="F43" s="38"/>
      <c r="G43" s="38"/>
      <c r="H43" s="38"/>
      <c r="I43" s="42"/>
      <c r="J43" s="42"/>
    </row>
    <row r="44" spans="2:10">
      <c r="B44" s="33" t="str">
        <f>IF(NOT(ISBLANK('Requerimientos de usuario'!$B$13)),'Requerimientos de usuario'!$B$13,"  ")</f>
        <v xml:space="preserve">  </v>
      </c>
      <c r="C44" s="33" t="str">
        <f>IF(NOT(ISBLANK('Requerimientos de usuario'!$C$13)),'Requerimientos de usuario'!$C$13,"  ")</f>
        <v xml:space="preserve">  </v>
      </c>
      <c r="D44" s="38"/>
      <c r="E44" s="36"/>
      <c r="F44" s="38"/>
      <c r="G44" s="38"/>
      <c r="H44" s="38"/>
      <c r="I44" s="42"/>
      <c r="J44" s="42"/>
    </row>
    <row r="45" spans="2:10">
      <c r="B45" s="33" t="str">
        <f>IF(NOT(ISBLANK('Requerimientos de usuario'!$B$13)),'Requerimientos de usuario'!$B$13,"  ")</f>
        <v xml:space="preserve">  </v>
      </c>
      <c r="C45" s="33" t="str">
        <f>IF(NOT(ISBLANK('Requerimientos de usuario'!$C$13)),'Requerimientos de usuario'!$C$13,"  ")</f>
        <v xml:space="preserve">  </v>
      </c>
      <c r="D45" s="38"/>
      <c r="E45" s="36"/>
      <c r="F45" s="38"/>
      <c r="G45" s="38"/>
      <c r="H45" s="38"/>
      <c r="I45" s="42"/>
      <c r="J45" s="42"/>
    </row>
    <row r="46" spans="2:10">
      <c r="B46" s="33" t="str">
        <f>IF(NOT(ISBLANK('Requerimientos de usuario'!$B$13)),'Requerimientos de usuario'!$B$13,"  ")</f>
        <v xml:space="preserve">  </v>
      </c>
      <c r="C46" s="33" t="str">
        <f>IF(NOT(ISBLANK('Requerimientos de usuario'!$C$13)),'Requerimientos de usuario'!$C$13,"  ")</f>
        <v xml:space="preserve">  </v>
      </c>
      <c r="D46" s="38"/>
      <c r="E46" s="36"/>
      <c r="F46" s="38"/>
      <c r="G46" s="38"/>
      <c r="H46" s="38"/>
      <c r="I46" s="42"/>
      <c r="J46" s="42"/>
    </row>
    <row r="47" spans="2:10">
      <c r="B47" s="33" t="str">
        <f>IF(NOT(ISBLANK('Requerimientos de usuario'!$B$13)),'Requerimientos de usuario'!$B$13,"  ")</f>
        <v xml:space="preserve">  </v>
      </c>
      <c r="C47" s="33" t="str">
        <f>IF(NOT(ISBLANK('Requerimientos de usuario'!$C$13)),'Requerimientos de usuario'!$C$13,"  ")</f>
        <v xml:space="preserve">  </v>
      </c>
      <c r="D47" s="38"/>
      <c r="E47" s="36"/>
      <c r="F47" s="38"/>
      <c r="G47" s="38"/>
      <c r="H47" s="38"/>
      <c r="I47" s="42"/>
      <c r="J47" s="42"/>
    </row>
    <row r="48" spans="2:10">
      <c r="B48" s="33" t="str">
        <f>IF(NOT(ISBLANK('Requerimientos de usuario'!$B$13)),'Requerimientos de usuario'!$B$13,"  ")</f>
        <v xml:space="preserve">  </v>
      </c>
      <c r="C48" s="33" t="str">
        <f>IF(NOT(ISBLANK('Requerimientos de usuario'!$C$13)),'Requerimientos de usuario'!$C$13,"  ")</f>
        <v xml:space="preserve">  </v>
      </c>
      <c r="D48" s="38"/>
      <c r="E48" s="36"/>
      <c r="F48" s="38"/>
      <c r="G48" s="38"/>
      <c r="H48" s="38"/>
      <c r="I48" s="42"/>
      <c r="J48" s="42"/>
    </row>
    <row r="49" spans="2:10">
      <c r="B49" s="33" t="str">
        <f>IF(NOT(ISBLANK('Requerimientos de usuario'!$B$13)),'Requerimientos de usuario'!$B$13,"  ")</f>
        <v xml:space="preserve">  </v>
      </c>
      <c r="C49" s="33" t="str">
        <f>IF(NOT(ISBLANK('Requerimientos de usuario'!$C$13)),'Requerimientos de usuario'!$C$13,"  ")</f>
        <v xml:space="preserve">  </v>
      </c>
      <c r="D49" s="38"/>
      <c r="E49" s="36"/>
      <c r="F49" s="38"/>
      <c r="G49" s="38"/>
      <c r="H49" s="38"/>
      <c r="I49" s="42"/>
      <c r="J49" s="42"/>
    </row>
    <row r="50" spans="2:10">
      <c r="B50" s="33" t="str">
        <f>IF(NOT(ISBLANK('Requerimientos de usuario'!$B$13)),'Requerimientos de usuario'!$B$13,"  ")</f>
        <v xml:space="preserve">  </v>
      </c>
      <c r="C50" s="33" t="str">
        <f>IF(NOT(ISBLANK('Requerimientos de usuario'!$C$13)),'Requerimientos de usuario'!$C$13,"  ")</f>
        <v xml:space="preserve">  </v>
      </c>
      <c r="D50" s="38"/>
      <c r="E50" s="36"/>
      <c r="F50" s="38"/>
      <c r="G50" s="38"/>
      <c r="H50" s="38"/>
      <c r="I50" s="42"/>
      <c r="J50" s="42"/>
    </row>
    <row r="51" spans="2:10">
      <c r="B51" s="33" t="str">
        <f>IF(NOT(ISBLANK('Requerimientos de usuario'!$B$13)),'Requerimientos de usuario'!$B$13,"  ")</f>
        <v xml:space="preserve">  </v>
      </c>
      <c r="C51" s="33" t="str">
        <f>IF(NOT(ISBLANK('Requerimientos de usuario'!$C$13)),'Requerimientos de usuario'!$C$13,"  ")</f>
        <v xml:space="preserve">  </v>
      </c>
      <c r="D51" s="38"/>
      <c r="E51" s="36"/>
      <c r="F51" s="38"/>
      <c r="G51" s="38"/>
      <c r="H51" s="38"/>
      <c r="I51" s="42"/>
      <c r="J51" s="42"/>
    </row>
    <row r="52" spans="2:10">
      <c r="B52" s="33" t="str">
        <f>IF(NOT(ISBLANK('Requerimientos de usuario'!$B$13)),'Requerimientos de usuario'!$B$13,"  ")</f>
        <v xml:space="preserve">  </v>
      </c>
      <c r="C52" s="33" t="str">
        <f>IF(NOT(ISBLANK('Requerimientos de usuario'!$C$13)),'Requerimientos de usuario'!$C$13,"  ")</f>
        <v xml:space="preserve">  </v>
      </c>
      <c r="D52" s="38"/>
      <c r="E52" s="36"/>
      <c r="F52" s="38"/>
      <c r="G52" s="38"/>
      <c r="H52" s="38"/>
      <c r="I52" s="42"/>
      <c r="J52" s="42"/>
    </row>
    <row r="53" spans="2:10">
      <c r="B53" s="33" t="str">
        <f>IF(NOT(ISBLANK('Requerimientos de usuario'!$B$13)),'Requerimientos de usuario'!$B$13,"  ")</f>
        <v xml:space="preserve">  </v>
      </c>
      <c r="C53" s="33" t="str">
        <f>IF(NOT(ISBLANK('Requerimientos de usuario'!$C$13)),'Requerimientos de usuario'!$C$13,"  ")</f>
        <v xml:space="preserve">  </v>
      </c>
      <c r="D53" s="38"/>
      <c r="E53" s="36"/>
      <c r="F53" s="38"/>
      <c r="G53" s="38"/>
      <c r="H53" s="38"/>
      <c r="I53" s="42"/>
      <c r="J53" s="42"/>
    </row>
    <row r="54" spans="2:10">
      <c r="B54" s="33" t="str">
        <f>IF(NOT(ISBLANK('Requerimientos de usuario'!$B$13)),'Requerimientos de usuario'!$B$13,"  ")</f>
        <v xml:space="preserve">  </v>
      </c>
      <c r="C54" s="33" t="str">
        <f>IF(NOT(ISBLANK('Requerimientos de usuario'!$C$13)),'Requerimientos de usuario'!$C$13,"  ")</f>
        <v xml:space="preserve">  </v>
      </c>
      <c r="D54" s="38"/>
      <c r="E54" s="36"/>
      <c r="F54" s="38"/>
      <c r="G54" s="38"/>
      <c r="H54" s="38"/>
      <c r="I54" s="42"/>
      <c r="J54" s="42"/>
    </row>
    <row r="55" spans="2:10">
      <c r="B55" s="33" t="str">
        <f>IF(NOT(ISBLANK('Requerimientos de usuario'!$B$13)),'Requerimientos de usuario'!$B$13,"  ")</f>
        <v xml:space="preserve">  </v>
      </c>
      <c r="C55" s="33" t="str">
        <f>IF(NOT(ISBLANK('Requerimientos de usuario'!$C$13)),'Requerimientos de usuario'!$C$13,"  ")</f>
        <v xml:space="preserve">  </v>
      </c>
      <c r="D55" s="38"/>
      <c r="E55" s="36"/>
      <c r="F55" s="38"/>
      <c r="G55" s="38"/>
      <c r="H55" s="38"/>
      <c r="I55" s="42"/>
      <c r="J55" s="42"/>
    </row>
    <row r="56" spans="2:10">
      <c r="B56" s="33" t="str">
        <f>IF(NOT(ISBLANK('Requerimientos de usuario'!$B$13)),'Requerimientos de usuario'!$B$13,"  ")</f>
        <v xml:space="preserve">  </v>
      </c>
      <c r="C56" s="33" t="str">
        <f>IF(NOT(ISBLANK('Requerimientos de usuario'!$C$13)),'Requerimientos de usuario'!$C$13,"  ")</f>
        <v xml:space="preserve">  </v>
      </c>
      <c r="D56" s="38"/>
      <c r="E56" s="36"/>
      <c r="F56" s="38"/>
      <c r="G56" s="38"/>
      <c r="H56" s="38"/>
      <c r="I56" s="42"/>
      <c r="J56" s="42"/>
    </row>
    <row r="57" spans="2:10">
      <c r="B57" s="33" t="str">
        <f>IF(NOT(ISBLANK('Requerimientos de usuario'!$B$13)),'Requerimientos de usuario'!$B$13,"  ")</f>
        <v xml:space="preserve">  </v>
      </c>
      <c r="C57" s="33" t="str">
        <f>IF(NOT(ISBLANK('Requerimientos de usuario'!$C$13)),'Requerimientos de usuario'!$C$13,"  ")</f>
        <v xml:space="preserve">  </v>
      </c>
      <c r="D57" s="38"/>
      <c r="E57" s="36"/>
      <c r="F57" s="38"/>
      <c r="G57" s="38"/>
      <c r="H57" s="38"/>
      <c r="I57" s="42"/>
      <c r="J57" s="42"/>
    </row>
    <row r="58" spans="2:10">
      <c r="B58" s="33" t="str">
        <f>IF(NOT(ISBLANK('Requerimientos de usuario'!$B$13)),'Requerimientos de usuario'!$B$13,"  ")</f>
        <v xml:space="preserve">  </v>
      </c>
      <c r="C58" s="33" t="str">
        <f>IF(NOT(ISBLANK('Requerimientos de usuario'!$C$13)),'Requerimientos de usuario'!$C$13,"  ")</f>
        <v xml:space="preserve">  </v>
      </c>
      <c r="D58" s="38"/>
      <c r="E58" s="36"/>
      <c r="F58" s="38"/>
      <c r="G58" s="38"/>
      <c r="H58" s="38"/>
      <c r="I58" s="42"/>
      <c r="J58" s="42"/>
    </row>
    <row r="59" spans="2:10">
      <c r="B59" s="33" t="str">
        <f>IF(NOT(ISBLANK('Requerimientos de usuario'!$B$13)),'Requerimientos de usuario'!$B$13,"  ")</f>
        <v xml:space="preserve">  </v>
      </c>
      <c r="C59" s="33" t="str">
        <f>IF(NOT(ISBLANK('Requerimientos de usuario'!$C$13)),'Requerimientos de usuario'!$C$13,"  ")</f>
        <v xml:space="preserve">  </v>
      </c>
      <c r="D59" s="38"/>
      <c r="E59" s="36"/>
      <c r="F59" s="38"/>
      <c r="G59" s="38"/>
      <c r="H59" s="38"/>
      <c r="I59" s="42"/>
      <c r="J59" s="42"/>
    </row>
    <row r="60" spans="2:10">
      <c r="B60" s="33" t="str">
        <f>IF(NOT(ISBLANK('Requerimientos de usuario'!$B$13)),'Requerimientos de usuario'!$B$13,"  ")</f>
        <v xml:space="preserve">  </v>
      </c>
      <c r="C60" s="33" t="str">
        <f>IF(NOT(ISBLANK('Requerimientos de usuario'!$C$13)),'Requerimientos de usuario'!$C$13,"  ")</f>
        <v xml:space="preserve">  </v>
      </c>
      <c r="D60" s="38"/>
      <c r="E60" s="36"/>
      <c r="F60" s="38"/>
      <c r="G60" s="38"/>
      <c r="H60" s="38"/>
      <c r="I60" s="42"/>
      <c r="J60" s="42"/>
    </row>
    <row r="61" spans="2:10">
      <c r="B61" s="33" t="str">
        <f>IF(NOT(ISBLANK('Requerimientos de usuario'!$B$13)),'Requerimientos de usuario'!$B$13,"  ")</f>
        <v xml:space="preserve">  </v>
      </c>
      <c r="C61" s="33" t="str">
        <f>IF(NOT(ISBLANK('Requerimientos de usuario'!$C$13)),'Requerimientos de usuario'!$C$13,"  ")</f>
        <v xml:space="preserve">  </v>
      </c>
      <c r="D61" s="38"/>
      <c r="E61" s="36"/>
      <c r="F61" s="38"/>
      <c r="G61" s="38"/>
      <c r="H61" s="38"/>
      <c r="I61" s="42"/>
      <c r="J61" s="42"/>
    </row>
    <row r="62" spans="2:10">
      <c r="B62" s="33" t="str">
        <f>IF(NOT(ISBLANK('Requerimientos de usuario'!$B$13)),'Requerimientos de usuario'!$B$13,"  ")</f>
        <v xml:space="preserve">  </v>
      </c>
      <c r="C62" s="33" t="str">
        <f>IF(NOT(ISBLANK('Requerimientos de usuario'!$C$13)),'Requerimientos de usuario'!$C$13,"  ")</f>
        <v xml:space="preserve">  </v>
      </c>
      <c r="D62" s="38"/>
      <c r="E62" s="36"/>
      <c r="F62" s="38"/>
      <c r="G62" s="38"/>
      <c r="H62" s="38"/>
      <c r="I62" s="42"/>
      <c r="J62" s="42"/>
    </row>
    <row r="63" spans="2:10">
      <c r="B63" s="33" t="str">
        <f>IF(NOT(ISBLANK('Requerimientos de usuario'!$B$13)),'Requerimientos de usuario'!$B$13,"  ")</f>
        <v xml:space="preserve">  </v>
      </c>
      <c r="C63" s="33" t="str">
        <f>IF(NOT(ISBLANK('Requerimientos de usuario'!$C$13)),'Requerimientos de usuario'!$C$13,"  ")</f>
        <v xml:space="preserve">  </v>
      </c>
      <c r="D63" s="38"/>
      <c r="E63" s="36"/>
      <c r="F63" s="38"/>
      <c r="G63" s="38"/>
      <c r="H63" s="38"/>
      <c r="I63" s="42"/>
      <c r="J63" s="42"/>
    </row>
    <row r="64" spans="2:10">
      <c r="B64" s="33" t="str">
        <f>IF(NOT(ISBLANK('Requerimientos de usuario'!$B$13)),'Requerimientos de usuario'!$B$13,"  ")</f>
        <v xml:space="preserve">  </v>
      </c>
      <c r="C64" s="33" t="str">
        <f>IF(NOT(ISBLANK('Requerimientos de usuario'!$C$13)),'Requerimientos de usuario'!$C$13,"  ")</f>
        <v xml:space="preserve">  </v>
      </c>
      <c r="D64" s="38"/>
      <c r="E64" s="36"/>
      <c r="F64" s="38"/>
      <c r="G64" s="38"/>
      <c r="H64" s="38"/>
      <c r="I64" s="42"/>
      <c r="J64" s="42"/>
    </row>
    <row r="65" spans="2:10">
      <c r="B65" s="33" t="str">
        <f>IF(NOT(ISBLANK('Requerimientos de usuario'!$B$13)),'Requerimientos de usuario'!$B$13,"  ")</f>
        <v xml:space="preserve">  </v>
      </c>
      <c r="C65" s="33" t="str">
        <f>IF(NOT(ISBLANK('Requerimientos de usuario'!$C$13)),'Requerimientos de usuario'!$C$13,"  ")</f>
        <v xml:space="preserve">  </v>
      </c>
      <c r="D65" s="38"/>
      <c r="E65" s="36"/>
      <c r="F65" s="38"/>
      <c r="G65" s="38"/>
      <c r="H65" s="38"/>
      <c r="I65" s="42"/>
      <c r="J65" s="42"/>
    </row>
    <row r="66" spans="2:10">
      <c r="B66" s="33" t="str">
        <f>IF(NOT(ISBLANK('Requerimientos de usuario'!$B$13)),'Requerimientos de usuario'!$B$13,"  ")</f>
        <v xml:space="preserve">  </v>
      </c>
      <c r="C66" s="33" t="str">
        <f>IF(NOT(ISBLANK('Requerimientos de usuario'!$C$13)),'Requerimientos de usuario'!$C$13,"  ")</f>
        <v xml:space="preserve">  </v>
      </c>
      <c r="D66" s="38"/>
      <c r="E66" s="36"/>
      <c r="F66" s="38"/>
      <c r="G66" s="38"/>
      <c r="H66" s="38"/>
      <c r="I66" s="42"/>
      <c r="J66" s="42"/>
    </row>
    <row r="67" spans="2:10">
      <c r="B67" s="33" t="str">
        <f>IF(NOT(ISBLANK('Requerimientos de usuario'!$B$13)),'Requerimientos de usuario'!$B$13,"  ")</f>
        <v xml:space="preserve">  </v>
      </c>
      <c r="C67" s="33" t="str">
        <f>IF(NOT(ISBLANK('Requerimientos de usuario'!$C$13)),'Requerimientos de usuario'!$C$13,"  ")</f>
        <v xml:space="preserve">  </v>
      </c>
      <c r="D67" s="38"/>
      <c r="E67" s="36"/>
      <c r="F67" s="38"/>
      <c r="G67" s="38"/>
      <c r="H67" s="38"/>
      <c r="I67" s="42"/>
      <c r="J67" s="42"/>
    </row>
    <row r="68" spans="2:10">
      <c r="B68" s="33" t="str">
        <f>IF(NOT(ISBLANK('Requerimientos de usuario'!$B$13)),'Requerimientos de usuario'!$B$13,"  ")</f>
        <v xml:space="preserve">  </v>
      </c>
      <c r="C68" s="33" t="str">
        <f>IF(NOT(ISBLANK('Requerimientos de usuario'!$C$13)),'Requerimientos de usuario'!$C$13,"  ")</f>
        <v xml:space="preserve">  </v>
      </c>
      <c r="D68" s="38"/>
      <c r="E68" s="36"/>
      <c r="F68" s="38"/>
      <c r="G68" s="38"/>
      <c r="H68" s="38"/>
      <c r="I68" s="42"/>
      <c r="J68" s="42"/>
    </row>
    <row r="69" spans="2:10">
      <c r="B69" s="33" t="str">
        <f>IF(NOT(ISBLANK('Requerimientos de usuario'!$B$13)),'Requerimientos de usuario'!$B$13,"  ")</f>
        <v xml:space="preserve">  </v>
      </c>
      <c r="C69" s="33" t="str">
        <f>IF(NOT(ISBLANK('Requerimientos de usuario'!$C$13)),'Requerimientos de usuario'!$C$13,"  ")</f>
        <v xml:space="preserve">  </v>
      </c>
      <c r="D69" s="38"/>
      <c r="E69" s="36"/>
      <c r="F69" s="38"/>
      <c r="G69" s="38"/>
      <c r="H69" s="38"/>
      <c r="I69" s="42"/>
      <c r="J69" s="42"/>
    </row>
    <row r="70" spans="2:10">
      <c r="B70" s="33" t="str">
        <f>IF(NOT(ISBLANK('Requerimientos de usuario'!$B$13)),'Requerimientos de usuario'!$B$13,"  ")</f>
        <v xml:space="preserve">  </v>
      </c>
      <c r="C70" s="33" t="str">
        <f>IF(NOT(ISBLANK('Requerimientos de usuario'!$C$13)),'Requerimientos de usuario'!$C$13,"  ")</f>
        <v xml:space="preserve">  </v>
      </c>
      <c r="D70" s="38"/>
      <c r="E70" s="36"/>
      <c r="F70" s="38"/>
      <c r="G70" s="38"/>
      <c r="H70" s="38"/>
      <c r="I70" s="42"/>
      <c r="J70" s="42"/>
    </row>
    <row r="71" spans="2:10">
      <c r="B71" s="33" t="str">
        <f>IF(NOT(ISBLANK('Requerimientos de usuario'!$B$13)),'Requerimientos de usuario'!$B$13,"  ")</f>
        <v xml:space="preserve">  </v>
      </c>
      <c r="C71" s="33" t="str">
        <f>IF(NOT(ISBLANK('Requerimientos de usuario'!$C$13)),'Requerimientos de usuario'!$C$13,"  ")</f>
        <v xml:space="preserve">  </v>
      </c>
      <c r="D71" s="38"/>
      <c r="E71" s="36"/>
      <c r="F71" s="38"/>
      <c r="G71" s="38"/>
      <c r="H71" s="38"/>
      <c r="I71" s="42"/>
      <c r="J71" s="42"/>
    </row>
    <row r="72" spans="2:10">
      <c r="B72" s="33" t="str">
        <f>IF(NOT(ISBLANK('Requerimientos de usuario'!$B$13)),'Requerimientos de usuario'!$B$13,"  ")</f>
        <v xml:space="preserve">  </v>
      </c>
      <c r="C72" s="33" t="str">
        <f>IF(NOT(ISBLANK('Requerimientos de usuario'!$C$13)),'Requerimientos de usuario'!$C$13,"  ")</f>
        <v xml:space="preserve">  </v>
      </c>
      <c r="D72" s="38"/>
      <c r="E72" s="36"/>
      <c r="F72" s="38"/>
      <c r="G72" s="38"/>
      <c r="H72" s="38"/>
      <c r="I72" s="42"/>
      <c r="J72" s="42"/>
    </row>
    <row r="73" spans="2:10">
      <c r="B73" s="33" t="str">
        <f>IF(NOT(ISBLANK('Requerimientos de usuario'!$B$13)),'Requerimientos de usuario'!$B$13,"  ")</f>
        <v xml:space="preserve">  </v>
      </c>
      <c r="C73" s="33" t="str">
        <f>IF(NOT(ISBLANK('Requerimientos de usuario'!$C$13)),'Requerimientos de usuario'!$C$13,"  ")</f>
        <v xml:space="preserve">  </v>
      </c>
      <c r="D73" s="38"/>
      <c r="E73" s="36"/>
      <c r="F73" s="38"/>
      <c r="G73" s="38"/>
      <c r="H73" s="38"/>
      <c r="I73" s="42"/>
      <c r="J73" s="42"/>
    </row>
    <row r="74" spans="2:10">
      <c r="B74" s="33" t="str">
        <f>IF(NOT(ISBLANK('Requerimientos de usuario'!$B$13)),'Requerimientos de usuario'!$B$13,"  ")</f>
        <v xml:space="preserve">  </v>
      </c>
      <c r="C74" s="33" t="str">
        <f>IF(NOT(ISBLANK('Requerimientos de usuario'!$C$13)),'Requerimientos de usuario'!$C$13,"  ")</f>
        <v xml:space="preserve">  </v>
      </c>
      <c r="D74" s="38"/>
      <c r="E74" s="36"/>
      <c r="F74" s="38"/>
      <c r="G74" s="38"/>
      <c r="H74" s="38"/>
      <c r="I74" s="42"/>
      <c r="J74" s="42"/>
    </row>
    <row r="75" spans="2:10">
      <c r="B75" s="33" t="str">
        <f>IF(NOT(ISBLANK('Requerimientos de usuario'!$B$13)),'Requerimientos de usuario'!$B$13,"  ")</f>
        <v xml:space="preserve">  </v>
      </c>
      <c r="C75" s="33" t="str">
        <f>IF(NOT(ISBLANK('Requerimientos de usuario'!$C$13)),'Requerimientos de usuario'!$C$13,"  ")</f>
        <v xml:space="preserve">  </v>
      </c>
      <c r="D75" s="38"/>
      <c r="E75" s="36"/>
      <c r="F75" s="38"/>
      <c r="G75" s="38"/>
      <c r="H75" s="38"/>
      <c r="I75" s="42"/>
      <c r="J75" s="42"/>
    </row>
    <row r="76" spans="2:10">
      <c r="B76" s="33" t="str">
        <f>IF(NOT(ISBLANK('Requerimientos de usuario'!$B$13)),'Requerimientos de usuario'!$B$13,"  ")</f>
        <v xml:space="preserve">  </v>
      </c>
      <c r="C76" s="33" t="str">
        <f>IF(NOT(ISBLANK('Requerimientos de usuario'!$C$13)),'Requerimientos de usuario'!$C$13,"  ")</f>
        <v xml:space="preserve">  </v>
      </c>
      <c r="D76" s="38"/>
      <c r="E76" s="36"/>
      <c r="F76" s="38"/>
      <c r="G76" s="38"/>
      <c r="H76" s="38"/>
      <c r="I76" s="42"/>
      <c r="J76" s="42"/>
    </row>
    <row r="77" spans="2:10">
      <c r="B77" s="33" t="str">
        <f>IF(NOT(ISBLANK('Requerimientos de usuario'!$B$13)),'Requerimientos de usuario'!$B$13,"  ")</f>
        <v xml:space="preserve">  </v>
      </c>
      <c r="C77" s="33" t="str">
        <f>IF(NOT(ISBLANK('Requerimientos de usuario'!$C$13)),'Requerimientos de usuario'!$C$13,"  ")</f>
        <v xml:space="preserve">  </v>
      </c>
      <c r="D77" s="38"/>
      <c r="E77" s="36"/>
      <c r="F77" s="38"/>
      <c r="G77" s="38"/>
      <c r="H77" s="38"/>
      <c r="I77" s="42"/>
      <c r="J77" s="42"/>
    </row>
    <row r="78" spans="2:10">
      <c r="B78" s="33" t="str">
        <f>IF(NOT(ISBLANK('Requerimientos de usuario'!$B$13)),'Requerimientos de usuario'!$B$13,"  ")</f>
        <v xml:space="preserve">  </v>
      </c>
      <c r="C78" s="33" t="str">
        <f>IF(NOT(ISBLANK('Requerimientos de usuario'!$C$13)),'Requerimientos de usuario'!$C$13,"  ")</f>
        <v xml:space="preserve">  </v>
      </c>
      <c r="D78" s="38"/>
      <c r="E78" s="36"/>
      <c r="F78" s="38"/>
      <c r="G78" s="38"/>
      <c r="H78" s="38"/>
      <c r="I78" s="42"/>
      <c r="J78" s="42"/>
    </row>
    <row r="79" spans="2:10">
      <c r="B79" s="33" t="str">
        <f>IF(NOT(ISBLANK('Requerimientos de usuario'!$B$13)),'Requerimientos de usuario'!$B$13,"  ")</f>
        <v xml:space="preserve">  </v>
      </c>
      <c r="C79" s="33" t="str">
        <f>IF(NOT(ISBLANK('Requerimientos de usuario'!$C$13)),'Requerimientos de usuario'!$C$13,"  ")</f>
        <v xml:space="preserve">  </v>
      </c>
      <c r="D79" s="38"/>
      <c r="E79" s="36"/>
      <c r="F79" s="38"/>
      <c r="G79" s="38"/>
      <c r="H79" s="38"/>
      <c r="I79" s="42"/>
      <c r="J79" s="42"/>
    </row>
    <row r="80" spans="2:10">
      <c r="B80" s="33" t="str">
        <f>IF(NOT(ISBLANK('Requerimientos de usuario'!$B$13)),'Requerimientos de usuario'!$B$13,"  ")</f>
        <v xml:space="preserve">  </v>
      </c>
      <c r="C80" s="33" t="str">
        <f>IF(NOT(ISBLANK('Requerimientos de usuario'!$C$13)),'Requerimientos de usuario'!$C$13,"  ")</f>
        <v xml:space="preserve">  </v>
      </c>
      <c r="D80" s="38"/>
      <c r="E80" s="36"/>
      <c r="F80" s="38"/>
      <c r="G80" s="38"/>
      <c r="H80" s="38"/>
      <c r="I80" s="42"/>
      <c r="J80" s="42"/>
    </row>
    <row r="81" spans="2:10">
      <c r="B81" s="33" t="str">
        <f>IF(NOT(ISBLANK('Requerimientos de usuario'!$B$13)),'Requerimientos de usuario'!$B$13,"  ")</f>
        <v xml:space="preserve">  </v>
      </c>
      <c r="C81" s="33" t="str">
        <f>IF(NOT(ISBLANK('Requerimientos de usuario'!$C$13)),'Requerimientos de usuario'!$C$13,"  ")</f>
        <v xml:space="preserve">  </v>
      </c>
      <c r="D81" s="38"/>
      <c r="E81" s="36"/>
      <c r="F81" s="38"/>
      <c r="G81" s="38"/>
      <c r="H81" s="38"/>
      <c r="I81" s="42"/>
      <c r="J81" s="42"/>
    </row>
    <row r="82" spans="2:10">
      <c r="B82" s="33" t="str">
        <f>IF(NOT(ISBLANK('Requerimientos de usuario'!$B$13)),'Requerimientos de usuario'!$B$13,"  ")</f>
        <v xml:space="preserve">  </v>
      </c>
      <c r="C82" s="33" t="str">
        <f>IF(NOT(ISBLANK('Requerimientos de usuario'!$C$13)),'Requerimientos de usuario'!$C$13,"  ")</f>
        <v xml:space="preserve">  </v>
      </c>
      <c r="D82" s="38"/>
      <c r="E82" s="36"/>
      <c r="F82" s="38"/>
      <c r="G82" s="38"/>
      <c r="H82" s="38"/>
      <c r="I82" s="42"/>
      <c r="J82" s="42"/>
    </row>
    <row r="83" spans="2:10">
      <c r="B83" s="33" t="str">
        <f>IF(NOT(ISBLANK('Requerimientos de usuario'!$B$13)),'Requerimientos de usuario'!$B$13,"  ")</f>
        <v xml:space="preserve">  </v>
      </c>
      <c r="C83" s="33" t="str">
        <f>IF(NOT(ISBLANK('Requerimientos de usuario'!$C$13)),'Requerimientos de usuario'!$C$13,"  ")</f>
        <v xml:space="preserve">  </v>
      </c>
      <c r="D83" s="38"/>
      <c r="E83" s="36"/>
      <c r="F83" s="38"/>
      <c r="G83" s="38"/>
      <c r="H83" s="38"/>
      <c r="I83" s="42"/>
      <c r="J83" s="42"/>
    </row>
    <row r="84" spans="2:10">
      <c r="B84" s="33" t="str">
        <f>IF(NOT(ISBLANK('Requerimientos de usuario'!$B$13)),'Requerimientos de usuario'!$B$13,"  ")</f>
        <v xml:space="preserve">  </v>
      </c>
      <c r="C84" s="33" t="str">
        <f>IF(NOT(ISBLANK('Requerimientos de usuario'!$C$13)),'Requerimientos de usuario'!$C$13,"  ")</f>
        <v xml:space="preserve">  </v>
      </c>
      <c r="D84" s="38"/>
      <c r="E84" s="36"/>
      <c r="F84" s="38"/>
      <c r="G84" s="38"/>
      <c r="H84" s="38"/>
      <c r="I84" s="42"/>
      <c r="J84" s="42"/>
    </row>
    <row r="85" spans="2:10">
      <c r="B85" s="33" t="str">
        <f>IF(NOT(ISBLANK('Requerimientos de usuario'!$B$13)),'Requerimientos de usuario'!$B$13,"  ")</f>
        <v xml:space="preserve">  </v>
      </c>
      <c r="C85" s="33" t="str">
        <f>IF(NOT(ISBLANK('Requerimientos de usuario'!$C$13)),'Requerimientos de usuario'!$C$13,"  ")</f>
        <v xml:space="preserve">  </v>
      </c>
      <c r="D85" s="38"/>
      <c r="E85" s="36"/>
      <c r="F85" s="38"/>
      <c r="G85" s="38"/>
      <c r="H85" s="38"/>
      <c r="I85" s="42"/>
      <c r="J85" s="42"/>
    </row>
    <row r="86" spans="2:10">
      <c r="B86" s="33" t="str">
        <f>IF(NOT(ISBLANK('Requerimientos de usuario'!$B$13)),'Requerimientos de usuario'!$B$13,"  ")</f>
        <v xml:space="preserve">  </v>
      </c>
      <c r="C86" s="33" t="str">
        <f>IF(NOT(ISBLANK('Requerimientos de usuario'!$C$13)),'Requerimientos de usuario'!$C$13,"  ")</f>
        <v xml:space="preserve">  </v>
      </c>
      <c r="D86" s="38"/>
      <c r="E86" s="36"/>
      <c r="F86" s="38"/>
      <c r="G86" s="38"/>
      <c r="H86" s="38"/>
      <c r="I86" s="42"/>
      <c r="J86" s="42"/>
    </row>
    <row r="87" spans="2:10">
      <c r="B87" s="33" t="str">
        <f>IF(NOT(ISBLANK('Requerimientos de usuario'!$B$13)),'Requerimientos de usuario'!$B$13,"  ")</f>
        <v xml:space="preserve">  </v>
      </c>
      <c r="C87" s="33" t="str">
        <f>IF(NOT(ISBLANK('Requerimientos de usuario'!$C$13)),'Requerimientos de usuario'!$C$13,"  ")</f>
        <v xml:space="preserve">  </v>
      </c>
      <c r="D87" s="38"/>
      <c r="E87" s="36"/>
      <c r="F87" s="38"/>
      <c r="G87" s="38"/>
      <c r="H87" s="38"/>
      <c r="I87" s="42"/>
      <c r="J87" s="42"/>
    </row>
    <row r="88" spans="2:10">
      <c r="B88" s="33" t="str">
        <f>IF(NOT(ISBLANK('Requerimientos de usuario'!$B$13)),'Requerimientos de usuario'!$B$13,"  ")</f>
        <v xml:space="preserve">  </v>
      </c>
      <c r="C88" s="33" t="str">
        <f>IF(NOT(ISBLANK('Requerimientos de usuario'!$C$13)),'Requerimientos de usuario'!$C$13,"  ")</f>
        <v xml:space="preserve">  </v>
      </c>
      <c r="D88" s="38"/>
      <c r="E88" s="36"/>
      <c r="F88" s="38"/>
      <c r="G88" s="38"/>
      <c r="H88" s="38"/>
      <c r="I88" s="42"/>
      <c r="J88" s="42"/>
    </row>
    <row r="89" spans="2:10">
      <c r="B89" s="33" t="str">
        <f>IF(NOT(ISBLANK('Requerimientos de usuario'!$B$13)),'Requerimientos de usuario'!$B$13,"  ")</f>
        <v xml:space="preserve">  </v>
      </c>
      <c r="C89" s="33" t="str">
        <f>IF(NOT(ISBLANK('Requerimientos de usuario'!$C$13)),'Requerimientos de usuario'!$C$13,"  ")</f>
        <v xml:space="preserve">  </v>
      </c>
      <c r="D89" s="38"/>
      <c r="E89" s="36"/>
      <c r="F89" s="38"/>
      <c r="G89" s="38"/>
      <c r="H89" s="38"/>
      <c r="I89" s="42"/>
      <c r="J89" s="42"/>
    </row>
    <row r="90" spans="2:10">
      <c r="B90" s="33" t="str">
        <f>IF(NOT(ISBLANK('Requerimientos de usuario'!$B$13)),'Requerimientos de usuario'!$B$13,"  ")</f>
        <v xml:space="preserve">  </v>
      </c>
      <c r="C90" s="33" t="str">
        <f>IF(NOT(ISBLANK('Requerimientos de usuario'!$C$13)),'Requerimientos de usuario'!$C$13,"  ")</f>
        <v xml:space="preserve">  </v>
      </c>
      <c r="D90" s="38"/>
      <c r="E90" s="36"/>
      <c r="F90" s="38"/>
      <c r="G90" s="38"/>
      <c r="H90" s="38"/>
      <c r="I90" s="42"/>
      <c r="J90" s="42"/>
    </row>
    <row r="91" spans="2:10">
      <c r="B91" s="33" t="str">
        <f>IF(NOT(ISBLANK('Requerimientos de usuario'!$B$13)),'Requerimientos de usuario'!$B$13,"  ")</f>
        <v xml:space="preserve">  </v>
      </c>
      <c r="C91" s="33" t="str">
        <f>IF(NOT(ISBLANK('Requerimientos de usuario'!$C$13)),'Requerimientos de usuario'!$C$13,"  ")</f>
        <v xml:space="preserve">  </v>
      </c>
      <c r="D91" s="38"/>
      <c r="E91" s="36"/>
      <c r="F91" s="38"/>
      <c r="G91" s="38"/>
      <c r="H91" s="38"/>
      <c r="I91" s="42"/>
      <c r="J91" s="42"/>
    </row>
    <row r="92" spans="2:10">
      <c r="B92" s="33" t="str">
        <f>IF(NOT(ISBLANK('Requerimientos de usuario'!$B$13)),'Requerimientos de usuario'!$B$13,"  ")</f>
        <v xml:space="preserve">  </v>
      </c>
      <c r="C92" s="33" t="str">
        <f>IF(NOT(ISBLANK('Requerimientos de usuario'!$C$13)),'Requerimientos de usuario'!$C$13,"  ")</f>
        <v xml:space="preserve">  </v>
      </c>
      <c r="D92" s="38"/>
      <c r="E92" s="36"/>
      <c r="F92" s="38"/>
      <c r="G92" s="38"/>
      <c r="H92" s="38"/>
      <c r="I92" s="42"/>
      <c r="J92" s="42"/>
    </row>
    <row r="93" spans="2:10">
      <c r="B93" s="33" t="str">
        <f>IF(NOT(ISBLANK('Requerimientos de usuario'!$B$13)),'Requerimientos de usuario'!$B$13,"  ")</f>
        <v xml:space="preserve">  </v>
      </c>
      <c r="C93" s="33" t="str">
        <f>IF(NOT(ISBLANK('Requerimientos de usuario'!$C$13)),'Requerimientos de usuario'!$C$13,"  ")</f>
        <v xml:space="preserve">  </v>
      </c>
      <c r="D93" s="38"/>
      <c r="E93" s="36"/>
      <c r="F93" s="38"/>
      <c r="G93" s="38"/>
      <c r="H93" s="38"/>
      <c r="I93" s="42"/>
      <c r="J93" s="42"/>
    </row>
    <row r="94" spans="2:10">
      <c r="B94" s="33" t="str">
        <f>IF(NOT(ISBLANK('Requerimientos de usuario'!$B$13)),'Requerimientos de usuario'!$B$13,"  ")</f>
        <v xml:space="preserve">  </v>
      </c>
      <c r="C94" s="33" t="str">
        <f>IF(NOT(ISBLANK('Requerimientos de usuario'!$C$13)),'Requerimientos de usuario'!$C$13,"  ")</f>
        <v xml:space="preserve">  </v>
      </c>
      <c r="D94" s="38"/>
      <c r="E94" s="36"/>
      <c r="F94" s="38"/>
      <c r="G94" s="38"/>
      <c r="H94" s="38"/>
      <c r="I94" s="42"/>
      <c r="J94" s="42"/>
    </row>
    <row r="95" spans="2:10">
      <c r="B95" s="33" t="str">
        <f>IF(NOT(ISBLANK('Requerimientos de usuario'!$B$13)),'Requerimientos de usuario'!$B$13,"  ")</f>
        <v xml:space="preserve">  </v>
      </c>
      <c r="C95" s="33" t="str">
        <f>IF(NOT(ISBLANK('Requerimientos de usuario'!$C$13)),'Requerimientos de usuario'!$C$13,"  ")</f>
        <v xml:space="preserve">  </v>
      </c>
      <c r="D95" s="38"/>
      <c r="E95" s="36"/>
      <c r="F95" s="38"/>
      <c r="G95" s="38"/>
      <c r="H95" s="38"/>
      <c r="I95" s="42"/>
      <c r="J95" s="42"/>
    </row>
    <row r="96" spans="2:10">
      <c r="B96" s="33" t="str">
        <f>IF(NOT(ISBLANK('Requerimientos de usuario'!$B$13)),'Requerimientos de usuario'!$B$13,"  ")</f>
        <v xml:space="preserve">  </v>
      </c>
      <c r="C96" s="33" t="str">
        <f>IF(NOT(ISBLANK('Requerimientos de usuario'!$C$13)),'Requerimientos de usuario'!$C$13,"  ")</f>
        <v xml:space="preserve">  </v>
      </c>
      <c r="D96" s="38"/>
      <c r="E96" s="36"/>
      <c r="F96" s="38"/>
      <c r="G96" s="38"/>
      <c r="H96" s="38"/>
      <c r="I96" s="42"/>
      <c r="J96" s="42"/>
    </row>
    <row r="97" spans="2:10">
      <c r="B97" s="33" t="str">
        <f>IF(NOT(ISBLANK('Requerimientos de usuario'!$B$13)),'Requerimientos de usuario'!$B$13,"  ")</f>
        <v xml:space="preserve">  </v>
      </c>
      <c r="C97" s="33" t="str">
        <f>IF(NOT(ISBLANK('Requerimientos de usuario'!$C$13)),'Requerimientos de usuario'!$C$13,"  ")</f>
        <v xml:space="preserve">  </v>
      </c>
      <c r="D97" s="38"/>
      <c r="E97" s="36"/>
      <c r="F97" s="38"/>
      <c r="G97" s="38"/>
      <c r="H97" s="38"/>
      <c r="I97" s="42"/>
      <c r="J97" s="42"/>
    </row>
    <row r="98" spans="2:10">
      <c r="B98" s="33" t="str">
        <f>IF(NOT(ISBLANK('Requerimientos de usuario'!$B$13)),'Requerimientos de usuario'!$B$13,"  ")</f>
        <v xml:space="preserve">  </v>
      </c>
      <c r="C98" s="33" t="str">
        <f>IF(NOT(ISBLANK('Requerimientos de usuario'!$C$13)),'Requerimientos de usuario'!$C$13,"  ")</f>
        <v xml:space="preserve">  </v>
      </c>
      <c r="D98" s="38"/>
      <c r="E98" s="36"/>
      <c r="F98" s="38"/>
      <c r="G98" s="38"/>
      <c r="H98" s="38"/>
      <c r="I98" s="42"/>
      <c r="J98" s="42"/>
    </row>
    <row r="99" spans="2:10">
      <c r="B99" s="33" t="str">
        <f>IF(NOT(ISBLANK('Requerimientos de usuario'!$B$13)),'Requerimientos de usuario'!$B$13,"  ")</f>
        <v xml:space="preserve">  </v>
      </c>
      <c r="C99" s="33" t="str">
        <f>IF(NOT(ISBLANK('Requerimientos de usuario'!$C$13)),'Requerimientos de usuario'!$C$13,"  ")</f>
        <v xml:space="preserve">  </v>
      </c>
      <c r="D99" s="38"/>
      <c r="E99" s="36"/>
      <c r="F99" s="38"/>
      <c r="G99" s="38"/>
      <c r="H99" s="38"/>
      <c r="I99" s="42"/>
      <c r="J99" s="42"/>
    </row>
    <row r="100" spans="2:10">
      <c r="B100" s="33" t="str">
        <f>IF(NOT(ISBLANK('Requerimientos de usuario'!$B$13)),'Requerimientos de usuario'!$B$13,"  ")</f>
        <v xml:space="preserve">  </v>
      </c>
      <c r="C100" s="33" t="str">
        <f>IF(NOT(ISBLANK('Requerimientos de usuario'!$C$13)),'Requerimientos de usuario'!$C$13,"  ")</f>
        <v xml:space="preserve">  </v>
      </c>
      <c r="D100" s="38"/>
      <c r="E100" s="36"/>
      <c r="F100" s="38"/>
      <c r="G100" s="38"/>
      <c r="H100" s="38"/>
      <c r="I100" s="42"/>
      <c r="J100" s="42"/>
    </row>
    <row r="101" spans="2:10">
      <c r="B101" s="33" t="str">
        <f>IF(NOT(ISBLANK('Requerimientos de usuario'!$B$13)),'Requerimientos de usuario'!$B$13,"  ")</f>
        <v xml:space="preserve">  </v>
      </c>
      <c r="C101" s="33" t="str">
        <f>IF(NOT(ISBLANK('Requerimientos de usuario'!$C$13)),'Requerimientos de usuario'!$C$13,"  ")</f>
        <v xml:space="preserve">  </v>
      </c>
      <c r="D101" s="38"/>
      <c r="E101" s="36"/>
      <c r="F101" s="38"/>
      <c r="G101" s="38"/>
      <c r="H101" s="38"/>
      <c r="I101" s="42"/>
      <c r="J101" s="42"/>
    </row>
    <row r="102" spans="2:10">
      <c r="B102" s="33" t="str">
        <f>IF(NOT(ISBLANK('Requerimientos de usuario'!$B$13)),'Requerimientos de usuario'!$B$13,"  ")</f>
        <v xml:space="preserve">  </v>
      </c>
      <c r="C102" s="33" t="str">
        <f>IF(NOT(ISBLANK('Requerimientos de usuario'!$C$13)),'Requerimientos de usuario'!$C$13,"  ")</f>
        <v xml:space="preserve">  </v>
      </c>
      <c r="D102" s="38"/>
      <c r="E102" s="36"/>
      <c r="F102" s="38"/>
      <c r="G102" s="38"/>
      <c r="H102" s="38"/>
      <c r="I102" s="42"/>
      <c r="J102" s="42"/>
    </row>
    <row r="103" spans="2:10">
      <c r="B103" s="33" t="str">
        <f>IF(NOT(ISBLANK('Requerimientos de usuario'!$B$13)),'Requerimientos de usuario'!$B$13,"  ")</f>
        <v xml:space="preserve">  </v>
      </c>
      <c r="C103" s="33" t="str">
        <f>IF(NOT(ISBLANK('Requerimientos de usuario'!$C$13)),'Requerimientos de usuario'!$C$13,"  ")</f>
        <v xml:space="preserve">  </v>
      </c>
      <c r="D103" s="38"/>
      <c r="E103" s="36"/>
      <c r="F103" s="38"/>
      <c r="G103" s="38"/>
      <c r="H103" s="38"/>
      <c r="I103" s="42"/>
      <c r="J103" s="42"/>
    </row>
    <row r="104" spans="2:10">
      <c r="B104" s="33" t="str">
        <f>IF(NOT(ISBLANK('Requerimientos de usuario'!$B$13)),'Requerimientos de usuario'!$B$13,"  ")</f>
        <v xml:space="preserve">  </v>
      </c>
      <c r="C104" s="33" t="str">
        <f>IF(NOT(ISBLANK('Requerimientos de usuario'!$C$13)),'Requerimientos de usuario'!$C$13,"  ")</f>
        <v xml:space="preserve">  </v>
      </c>
      <c r="D104" s="38"/>
      <c r="E104" s="36"/>
      <c r="F104" s="38"/>
      <c r="G104" s="38"/>
      <c r="H104" s="38"/>
      <c r="I104" s="42"/>
      <c r="J104" s="42"/>
    </row>
    <row r="105" spans="2:10">
      <c r="B105" s="33" t="str">
        <f>IF(NOT(ISBLANK('Requerimientos de usuario'!$B$13)),'Requerimientos de usuario'!$B$13,"  ")</f>
        <v xml:space="preserve">  </v>
      </c>
      <c r="C105" s="33" t="str">
        <f>IF(NOT(ISBLANK('Requerimientos de usuario'!$C$13)),'Requerimientos de usuario'!$C$13,"  ")</f>
        <v xml:space="preserve">  </v>
      </c>
      <c r="D105" s="38"/>
      <c r="E105" s="36"/>
      <c r="F105" s="38"/>
      <c r="G105" s="38"/>
      <c r="H105" s="38"/>
      <c r="I105" s="42"/>
      <c r="J105" s="42"/>
    </row>
    <row r="106" spans="2:10">
      <c r="B106" s="33" t="str">
        <f>IF(NOT(ISBLANK('Requerimientos de usuario'!$B$13)),'Requerimientos de usuario'!$B$13,"  ")</f>
        <v xml:space="preserve">  </v>
      </c>
      <c r="C106" s="33" t="str">
        <f>IF(NOT(ISBLANK('Requerimientos de usuario'!$C$13)),'Requerimientos de usuario'!$C$13,"  ")</f>
        <v xml:space="preserve">  </v>
      </c>
      <c r="D106" s="38"/>
      <c r="E106" s="36"/>
      <c r="F106" s="38"/>
      <c r="G106" s="38"/>
      <c r="H106" s="38"/>
      <c r="I106" s="42"/>
      <c r="J106" s="42"/>
    </row>
    <row r="107" spans="2:10">
      <c r="B107" s="33" t="str">
        <f>IF(NOT(ISBLANK('Requerimientos de usuario'!$B$13)),'Requerimientos de usuario'!$B$13,"  ")</f>
        <v xml:space="preserve">  </v>
      </c>
      <c r="C107" s="33" t="str">
        <f>IF(NOT(ISBLANK('Requerimientos de usuario'!$C$13)),'Requerimientos de usuario'!$C$13,"  ")</f>
        <v xml:space="preserve">  </v>
      </c>
      <c r="D107" s="38"/>
      <c r="E107" s="36"/>
      <c r="F107" s="38"/>
      <c r="G107" s="38"/>
      <c r="H107" s="38"/>
      <c r="I107" s="42"/>
      <c r="J107" s="42"/>
    </row>
    <row r="108" spans="2:10">
      <c r="B108" s="33" t="str">
        <f>IF(NOT(ISBLANK('Requerimientos de usuario'!$B$13)),'Requerimientos de usuario'!$B$13,"  ")</f>
        <v xml:space="preserve">  </v>
      </c>
      <c r="C108" s="33" t="str">
        <f>IF(NOT(ISBLANK('Requerimientos de usuario'!$C$13)),'Requerimientos de usuario'!$C$13,"  ")</f>
        <v xml:space="preserve">  </v>
      </c>
      <c r="D108" s="38"/>
      <c r="E108" s="36"/>
      <c r="F108" s="38"/>
      <c r="G108" s="38"/>
      <c r="H108" s="38"/>
      <c r="I108" s="42"/>
      <c r="J108" s="42"/>
    </row>
    <row r="109" spans="2:10">
      <c r="B109" s="33" t="str">
        <f>IF(NOT(ISBLANK('Requerimientos de usuario'!$B$13)),'Requerimientos de usuario'!$B$13,"  ")</f>
        <v xml:space="preserve">  </v>
      </c>
      <c r="C109" s="33" t="str">
        <f>IF(NOT(ISBLANK('Requerimientos de usuario'!$C$13)),'Requerimientos de usuario'!$C$13,"  ")</f>
        <v xml:space="preserve">  </v>
      </c>
      <c r="D109" s="38"/>
      <c r="E109" s="36"/>
      <c r="F109" s="38"/>
      <c r="G109" s="38"/>
      <c r="H109" s="38"/>
      <c r="I109" s="42"/>
      <c r="J109" s="42"/>
    </row>
    <row r="110" spans="2:10">
      <c r="B110" s="33" t="str">
        <f>IF(NOT(ISBLANK('Requerimientos de usuario'!$B$13)),'Requerimientos de usuario'!$B$13,"  ")</f>
        <v xml:space="preserve">  </v>
      </c>
      <c r="C110" s="33" t="str">
        <f>IF(NOT(ISBLANK('Requerimientos de usuario'!$C$13)),'Requerimientos de usuario'!$C$13,"  ")</f>
        <v xml:space="preserve">  </v>
      </c>
      <c r="D110" s="38"/>
      <c r="E110" s="36"/>
      <c r="F110" s="38"/>
      <c r="G110" s="38"/>
      <c r="H110" s="38"/>
      <c r="I110" s="42"/>
      <c r="J110" s="42"/>
    </row>
    <row r="111" spans="2:10">
      <c r="B111" s="33" t="str">
        <f>IF(NOT(ISBLANK('Requerimientos de usuario'!$B$13)),'Requerimientos de usuario'!$B$13,"  ")</f>
        <v xml:space="preserve">  </v>
      </c>
      <c r="C111" s="33" t="str">
        <f>IF(NOT(ISBLANK('Requerimientos de usuario'!$C$13)),'Requerimientos de usuario'!$C$13,"  ")</f>
        <v xml:space="preserve">  </v>
      </c>
      <c r="D111" s="38"/>
      <c r="E111" s="36"/>
      <c r="F111" s="38"/>
      <c r="G111" s="38"/>
      <c r="H111" s="38"/>
      <c r="I111" s="42"/>
      <c r="J111" s="42"/>
    </row>
    <row r="112" spans="2:10">
      <c r="B112" s="33" t="str">
        <f>IF(NOT(ISBLANK('Requerimientos de usuario'!$B$13)),'Requerimientos de usuario'!$B$13,"  ")</f>
        <v xml:space="preserve">  </v>
      </c>
      <c r="C112" s="33" t="str">
        <f>IF(NOT(ISBLANK('Requerimientos de usuario'!$C$13)),'Requerimientos de usuario'!$C$13,"  ")</f>
        <v xml:space="preserve">  </v>
      </c>
      <c r="D112" s="38"/>
      <c r="E112" s="36"/>
      <c r="F112" s="38"/>
      <c r="G112" s="38"/>
      <c r="H112" s="38"/>
      <c r="I112" s="42"/>
      <c r="J112" s="42"/>
    </row>
    <row r="113" spans="2:10">
      <c r="B113" s="33" t="str">
        <f>IF(NOT(ISBLANK('Requerimientos de usuario'!$B$13)),'Requerimientos de usuario'!$B$13,"  ")</f>
        <v xml:space="preserve">  </v>
      </c>
      <c r="C113" s="33" t="str">
        <f>IF(NOT(ISBLANK('Requerimientos de usuario'!$C$13)),'Requerimientos de usuario'!$C$13,"  ")</f>
        <v xml:space="preserve">  </v>
      </c>
      <c r="D113" s="38"/>
      <c r="E113" s="36"/>
      <c r="F113" s="38"/>
      <c r="G113" s="38"/>
      <c r="H113" s="38"/>
      <c r="I113" s="42"/>
      <c r="J113" s="42"/>
    </row>
    <row r="114" spans="2:10">
      <c r="B114" s="33" t="str">
        <f>IF(NOT(ISBLANK('Requerimientos de usuario'!$B$13)),'Requerimientos de usuario'!$B$13,"  ")</f>
        <v xml:space="preserve">  </v>
      </c>
      <c r="C114" s="33" t="str">
        <f>IF(NOT(ISBLANK('Requerimientos de usuario'!$C$13)),'Requerimientos de usuario'!$C$13,"  ")</f>
        <v xml:space="preserve">  </v>
      </c>
      <c r="D114" s="38"/>
      <c r="E114" s="36"/>
      <c r="F114" s="38"/>
      <c r="G114" s="38"/>
      <c r="H114" s="38"/>
      <c r="I114" s="42"/>
      <c r="J114" s="42"/>
    </row>
    <row r="115" spans="2:10">
      <c r="B115" s="33" t="str">
        <f>IF(NOT(ISBLANK('Requerimientos de usuario'!$B$13)),'Requerimientos de usuario'!$B$13,"  ")</f>
        <v xml:space="preserve">  </v>
      </c>
      <c r="C115" s="33" t="str">
        <f>IF(NOT(ISBLANK('Requerimientos de usuario'!$C$13)),'Requerimientos de usuario'!$C$13,"  ")</f>
        <v xml:space="preserve">  </v>
      </c>
      <c r="D115" s="38"/>
      <c r="E115" s="36"/>
      <c r="F115" s="38"/>
      <c r="G115" s="38"/>
      <c r="H115" s="38"/>
      <c r="I115" s="42"/>
      <c r="J115" s="42"/>
    </row>
    <row r="116" spans="2:10">
      <c r="B116" s="33" t="str">
        <f>IF(NOT(ISBLANK('Requerimientos de usuario'!$B$13)),'Requerimientos de usuario'!$B$13,"  ")</f>
        <v xml:space="preserve">  </v>
      </c>
      <c r="C116" s="33" t="str">
        <f>IF(NOT(ISBLANK('Requerimientos de usuario'!$C$13)),'Requerimientos de usuario'!$C$13,"  ")</f>
        <v xml:space="preserve">  </v>
      </c>
      <c r="D116" s="38"/>
      <c r="E116" s="36"/>
      <c r="F116" s="38"/>
      <c r="G116" s="38"/>
      <c r="H116" s="38"/>
      <c r="I116" s="42"/>
      <c r="J116" s="42"/>
    </row>
    <row r="117" spans="2:10">
      <c r="B117" s="33" t="str">
        <f>IF(NOT(ISBLANK('Requerimientos de usuario'!$B$13)),'Requerimientos de usuario'!$B$13,"  ")</f>
        <v xml:space="preserve">  </v>
      </c>
      <c r="C117" s="33" t="str">
        <f>IF(NOT(ISBLANK('Requerimientos de usuario'!$C$13)),'Requerimientos de usuario'!$C$13,"  ")</f>
        <v xml:space="preserve">  </v>
      </c>
      <c r="D117" s="38"/>
      <c r="E117" s="36"/>
      <c r="F117" s="38"/>
      <c r="G117" s="38"/>
      <c r="H117" s="38"/>
      <c r="I117" s="42"/>
      <c r="J117" s="42"/>
    </row>
    <row r="118" spans="2:10">
      <c r="B118" s="33" t="str">
        <f>IF(NOT(ISBLANK('Requerimientos de usuario'!$B$13)),'Requerimientos de usuario'!$B$13,"  ")</f>
        <v xml:space="preserve">  </v>
      </c>
      <c r="C118" s="33" t="str">
        <f>IF(NOT(ISBLANK('Requerimientos de usuario'!$C$13)),'Requerimientos de usuario'!$C$13,"  ")</f>
        <v xml:space="preserve">  </v>
      </c>
      <c r="D118" s="38"/>
      <c r="E118" s="36"/>
      <c r="F118" s="38"/>
      <c r="G118" s="38"/>
      <c r="H118" s="38"/>
      <c r="I118" s="42"/>
      <c r="J118" s="42"/>
    </row>
    <row r="119" spans="2:10">
      <c r="B119" s="33" t="str">
        <f>IF(NOT(ISBLANK('Requerimientos de usuario'!$B$13)),'Requerimientos de usuario'!$B$13,"  ")</f>
        <v xml:space="preserve">  </v>
      </c>
      <c r="C119" s="33" t="str">
        <f>IF(NOT(ISBLANK('Requerimientos de usuario'!$C$13)),'Requerimientos de usuario'!$C$13,"  ")</f>
        <v xml:space="preserve">  </v>
      </c>
      <c r="D119" s="38"/>
      <c r="E119" s="36"/>
      <c r="F119" s="38"/>
      <c r="G119" s="38"/>
      <c r="H119" s="38"/>
      <c r="I119" s="42"/>
      <c r="J119" s="42"/>
    </row>
    <row r="120" spans="2:10">
      <c r="B120" s="33" t="str">
        <f>IF(NOT(ISBLANK('Requerimientos de usuario'!$B$13)),'Requerimientos de usuario'!$B$13,"  ")</f>
        <v xml:space="preserve">  </v>
      </c>
      <c r="C120" s="33" t="str">
        <f>IF(NOT(ISBLANK('Requerimientos de usuario'!$C$13)),'Requerimientos de usuario'!$C$13,"  ")</f>
        <v xml:space="preserve">  </v>
      </c>
      <c r="D120" s="38"/>
      <c r="E120" s="36"/>
      <c r="F120" s="38"/>
      <c r="G120" s="38"/>
      <c r="H120" s="38"/>
      <c r="I120" s="42"/>
      <c r="J120" s="42"/>
    </row>
    <row r="121" spans="2:10">
      <c r="B121" s="33" t="str">
        <f>IF(NOT(ISBLANK('Requerimientos de usuario'!$B$13)),'Requerimientos de usuario'!$B$13,"  ")</f>
        <v xml:space="preserve">  </v>
      </c>
      <c r="C121" s="33" t="str">
        <f>IF(NOT(ISBLANK('Requerimientos de usuario'!$C$13)),'Requerimientos de usuario'!$C$13,"  ")</f>
        <v xml:space="preserve">  </v>
      </c>
      <c r="D121" s="38"/>
      <c r="E121" s="36"/>
      <c r="F121" s="38"/>
      <c r="G121" s="38"/>
      <c r="H121" s="38"/>
      <c r="I121" s="42"/>
      <c r="J121" s="42"/>
    </row>
    <row r="122" spans="2:10">
      <c r="B122" s="33" t="str">
        <f>IF(NOT(ISBLANK('Requerimientos de usuario'!$B$13)),'Requerimientos de usuario'!$B$13,"  ")</f>
        <v xml:space="preserve">  </v>
      </c>
      <c r="C122" s="33" t="str">
        <f>IF(NOT(ISBLANK('Requerimientos de usuario'!$C$13)),'Requerimientos de usuario'!$C$13,"  ")</f>
        <v xml:space="preserve">  </v>
      </c>
      <c r="D122" s="38"/>
      <c r="E122" s="36"/>
      <c r="F122" s="38"/>
      <c r="G122" s="38"/>
      <c r="H122" s="38"/>
      <c r="I122" s="42"/>
      <c r="J122" s="42"/>
    </row>
    <row r="123" spans="2:10">
      <c r="B123" s="33" t="str">
        <f>IF(NOT(ISBLANK('Requerimientos de usuario'!$B$13)),'Requerimientos de usuario'!$B$13,"  ")</f>
        <v xml:space="preserve">  </v>
      </c>
      <c r="C123" s="33" t="str">
        <f>IF(NOT(ISBLANK('Requerimientos de usuario'!$C$13)),'Requerimientos de usuario'!$C$13,"  ")</f>
        <v xml:space="preserve">  </v>
      </c>
      <c r="D123" s="38"/>
      <c r="E123" s="36"/>
      <c r="F123" s="38"/>
      <c r="G123" s="38"/>
      <c r="H123" s="38"/>
      <c r="I123" s="42"/>
      <c r="J123" s="42"/>
    </row>
    <row r="124" spans="2:10">
      <c r="B124" s="33" t="str">
        <f>IF(NOT(ISBLANK('Requerimientos de usuario'!$B$13)),'Requerimientos de usuario'!$B$13,"  ")</f>
        <v xml:space="preserve">  </v>
      </c>
      <c r="C124" s="33" t="str">
        <f>IF(NOT(ISBLANK('Requerimientos de usuario'!$C$13)),'Requerimientos de usuario'!$C$13,"  ")</f>
        <v xml:space="preserve">  </v>
      </c>
      <c r="D124" s="38"/>
      <c r="E124" s="36"/>
      <c r="F124" s="38"/>
      <c r="G124" s="38"/>
      <c r="H124" s="38"/>
      <c r="I124" s="42"/>
      <c r="J124" s="42"/>
    </row>
    <row r="125" spans="2:10">
      <c r="B125" s="33" t="str">
        <f>IF(NOT(ISBLANK('Requerimientos de usuario'!$B$13)),'Requerimientos de usuario'!$B$13,"  ")</f>
        <v xml:space="preserve">  </v>
      </c>
      <c r="C125" s="33" t="str">
        <f>IF(NOT(ISBLANK('Requerimientos de usuario'!$C$13)),'Requerimientos de usuario'!$C$13,"  ")</f>
        <v xml:space="preserve">  </v>
      </c>
      <c r="D125" s="38"/>
      <c r="E125" s="36"/>
      <c r="F125" s="38"/>
      <c r="G125" s="38"/>
      <c r="H125" s="38"/>
      <c r="I125" s="42"/>
      <c r="J125" s="42"/>
    </row>
    <row r="126" spans="2:10">
      <c r="B126" s="33" t="str">
        <f>IF(NOT(ISBLANK('Requerimientos de usuario'!$B$13)),'Requerimientos de usuario'!$B$13,"  ")</f>
        <v xml:space="preserve">  </v>
      </c>
      <c r="C126" s="33" t="str">
        <f>IF(NOT(ISBLANK('Requerimientos de usuario'!$C$13)),'Requerimientos de usuario'!$C$13,"  ")</f>
        <v xml:space="preserve">  </v>
      </c>
      <c r="D126" s="38"/>
      <c r="E126" s="36"/>
      <c r="F126" s="38"/>
      <c r="G126" s="38"/>
      <c r="H126" s="38"/>
      <c r="I126" s="42"/>
      <c r="J126" s="42"/>
    </row>
    <row r="127" spans="2:10">
      <c r="B127" s="33" t="str">
        <f>IF(NOT(ISBLANK('Requerimientos de usuario'!$B$13)),'Requerimientos de usuario'!$B$13,"  ")</f>
        <v xml:space="preserve">  </v>
      </c>
      <c r="C127" s="33" t="str">
        <f>IF(NOT(ISBLANK('Requerimientos de usuario'!$C$13)),'Requerimientos de usuario'!$C$13,"  ")</f>
        <v xml:space="preserve">  </v>
      </c>
      <c r="D127" s="38"/>
      <c r="E127" s="36"/>
      <c r="F127" s="38"/>
      <c r="G127" s="38"/>
      <c r="H127" s="38"/>
      <c r="I127" s="42"/>
      <c r="J127" s="42"/>
    </row>
    <row r="128" spans="2:10">
      <c r="B128" s="33" t="str">
        <f>IF(NOT(ISBLANK('Requerimientos de usuario'!$B$13)),'Requerimientos de usuario'!$B$13,"  ")</f>
        <v xml:space="preserve">  </v>
      </c>
      <c r="C128" s="33" t="str">
        <f>IF(NOT(ISBLANK('Requerimientos de usuario'!$C$13)),'Requerimientos de usuario'!$C$13,"  ")</f>
        <v xml:space="preserve">  </v>
      </c>
      <c r="D128" s="38"/>
      <c r="E128" s="36"/>
      <c r="F128" s="38"/>
      <c r="G128" s="38"/>
      <c r="H128" s="38"/>
      <c r="I128" s="42"/>
      <c r="J128" s="42"/>
    </row>
    <row r="129" spans="2:10">
      <c r="B129" s="33" t="str">
        <f>IF(NOT(ISBLANK('Requerimientos de usuario'!$B$13)),'Requerimientos de usuario'!$B$13,"  ")</f>
        <v xml:space="preserve">  </v>
      </c>
      <c r="C129" s="33" t="str">
        <f>IF(NOT(ISBLANK('Requerimientos de usuario'!$C$13)),'Requerimientos de usuario'!$C$13,"  ")</f>
        <v xml:space="preserve">  </v>
      </c>
      <c r="D129" s="38"/>
      <c r="E129" s="36"/>
      <c r="F129" s="38"/>
      <c r="G129" s="38"/>
      <c r="H129" s="38"/>
      <c r="I129" s="42"/>
      <c r="J129" s="42"/>
    </row>
    <row r="130" spans="2:10">
      <c r="B130" s="33" t="str">
        <f>IF(NOT(ISBLANK('Requerimientos de usuario'!$B$13)),'Requerimientos de usuario'!$B$13,"  ")</f>
        <v xml:space="preserve">  </v>
      </c>
      <c r="C130" s="33" t="str">
        <f>IF(NOT(ISBLANK('Requerimientos de usuario'!$C$13)),'Requerimientos de usuario'!$C$13,"  ")</f>
        <v xml:space="preserve">  </v>
      </c>
      <c r="D130" s="38"/>
      <c r="E130" s="36"/>
      <c r="F130" s="38"/>
      <c r="G130" s="38"/>
      <c r="H130" s="38"/>
      <c r="I130" s="42"/>
      <c r="J130" s="42"/>
    </row>
    <row r="131" spans="2:10">
      <c r="B131" s="33" t="str">
        <f>IF(NOT(ISBLANK('Requerimientos de usuario'!$B$13)),'Requerimientos de usuario'!$B$13,"  ")</f>
        <v xml:space="preserve">  </v>
      </c>
      <c r="C131" s="33" t="str">
        <f>IF(NOT(ISBLANK('Requerimientos de usuario'!$C$13)),'Requerimientos de usuario'!$C$13,"  ")</f>
        <v xml:space="preserve">  </v>
      </c>
      <c r="D131" s="38"/>
      <c r="E131" s="36"/>
      <c r="F131" s="38"/>
      <c r="G131" s="38"/>
      <c r="H131" s="38"/>
      <c r="I131" s="42"/>
      <c r="J131" s="42"/>
    </row>
    <row r="132" spans="2:10">
      <c r="B132" s="33" t="str">
        <f>IF(NOT(ISBLANK('Requerimientos de usuario'!$B$13)),'Requerimientos de usuario'!$B$13,"  ")</f>
        <v xml:space="preserve">  </v>
      </c>
      <c r="C132" s="33" t="str">
        <f>IF(NOT(ISBLANK('Requerimientos de usuario'!$C$13)),'Requerimientos de usuario'!$C$13,"  ")</f>
        <v xml:space="preserve">  </v>
      </c>
      <c r="D132" s="38"/>
      <c r="E132" s="36"/>
      <c r="F132" s="38"/>
      <c r="G132" s="38"/>
      <c r="H132" s="38"/>
      <c r="I132" s="42"/>
      <c r="J132" s="42"/>
    </row>
    <row r="133" spans="2:10">
      <c r="B133" s="33" t="str">
        <f>IF(NOT(ISBLANK('Requerimientos de usuario'!$B$13)),'Requerimientos de usuario'!$B$13,"  ")</f>
        <v xml:space="preserve">  </v>
      </c>
      <c r="C133" s="33" t="str">
        <f>IF(NOT(ISBLANK('Requerimientos de usuario'!$C$13)),'Requerimientos de usuario'!$C$13,"  ")</f>
        <v xml:space="preserve">  </v>
      </c>
      <c r="D133" s="38"/>
      <c r="E133" s="36"/>
      <c r="F133" s="38"/>
      <c r="G133" s="38"/>
      <c r="H133" s="38"/>
      <c r="I133" s="42"/>
      <c r="J133" s="42"/>
    </row>
    <row r="134" spans="2:10">
      <c r="B134" s="33" t="str">
        <f>IF(NOT(ISBLANK('Requerimientos de usuario'!$B$13)),'Requerimientos de usuario'!$B$13,"  ")</f>
        <v xml:space="preserve">  </v>
      </c>
      <c r="C134" s="33" t="str">
        <f>IF(NOT(ISBLANK('Requerimientos de usuario'!$C$13)),'Requerimientos de usuario'!$C$13,"  ")</f>
        <v xml:space="preserve">  </v>
      </c>
      <c r="D134" s="38"/>
      <c r="E134" s="36"/>
      <c r="F134" s="38"/>
      <c r="G134" s="38"/>
      <c r="H134" s="38"/>
      <c r="I134" s="42"/>
      <c r="J134" s="42"/>
    </row>
    <row r="135" spans="2:10">
      <c r="B135" s="33" t="str">
        <f>IF(NOT(ISBLANK('Requerimientos de usuario'!$B$13)),'Requerimientos de usuario'!$B$13,"  ")</f>
        <v xml:space="preserve">  </v>
      </c>
      <c r="C135" s="33" t="str">
        <f>IF(NOT(ISBLANK('Requerimientos de usuario'!$C$13)),'Requerimientos de usuario'!$C$13,"  ")</f>
        <v xml:space="preserve">  </v>
      </c>
      <c r="D135" s="38"/>
      <c r="E135" s="36"/>
      <c r="F135" s="38"/>
      <c r="G135" s="38"/>
      <c r="H135" s="38"/>
      <c r="I135" s="42"/>
      <c r="J135" s="42"/>
    </row>
    <row r="136" spans="2:10">
      <c r="B136" s="33" t="str">
        <f>IF(NOT(ISBLANK('Requerimientos de usuario'!$B$13)),'Requerimientos de usuario'!$B$13,"  ")</f>
        <v xml:space="preserve">  </v>
      </c>
      <c r="C136" s="33" t="str">
        <f>IF(NOT(ISBLANK('Requerimientos de usuario'!$C$13)),'Requerimientos de usuario'!$C$13,"  ")</f>
        <v xml:space="preserve">  </v>
      </c>
      <c r="D136" s="38"/>
      <c r="E136" s="36"/>
      <c r="F136" s="38"/>
      <c r="G136" s="38"/>
      <c r="H136" s="38"/>
      <c r="I136" s="42"/>
      <c r="J136" s="42"/>
    </row>
    <row r="137" spans="2:10">
      <c r="B137" s="33" t="str">
        <f>IF(NOT(ISBLANK('Requerimientos de usuario'!$B$13)),'Requerimientos de usuario'!$B$13,"  ")</f>
        <v xml:space="preserve">  </v>
      </c>
      <c r="C137" s="33" t="str">
        <f>IF(NOT(ISBLANK('Requerimientos de usuario'!$C$13)),'Requerimientos de usuario'!$C$13,"  ")</f>
        <v xml:space="preserve">  </v>
      </c>
      <c r="D137" s="38"/>
      <c r="E137" s="36"/>
      <c r="F137" s="38"/>
      <c r="G137" s="38"/>
      <c r="H137" s="38"/>
      <c r="I137" s="42"/>
      <c r="J137" s="42"/>
    </row>
    <row r="138" spans="2:10">
      <c r="D138" t="s">
        <v>91</v>
      </c>
      <c r="E138" t="s">
        <v>91</v>
      </c>
      <c r="F138" t="s">
        <v>91</v>
      </c>
      <c r="G138" t="s">
        <v>91</v>
      </c>
      <c r="H138" t="s">
        <v>91</v>
      </c>
    </row>
  </sheetData>
  <sheetProtection sheet="1" formatCells="0" formatColumns="0" formatRows="0"/>
  <mergeCells count="8">
    <mergeCell ref="L2:M2"/>
    <mergeCell ref="B6:D6"/>
    <mergeCell ref="E6:F6"/>
    <mergeCell ref="B7:D7"/>
    <mergeCell ref="E7:F7"/>
    <mergeCell ref="B2:D2"/>
    <mergeCell ref="I2:J2"/>
    <mergeCell ref="E2:H2"/>
  </mergeCells>
  <phoneticPr fontId="3" type="noConversion"/>
  <dataValidations count="4">
    <dataValidation type="list" allowBlank="1" showInputMessage="1" showErrorMessage="1" sqref="J10:J137">
      <formula1>IdReqUsuario</formula1>
    </dataValidation>
    <dataValidation type="list" allowBlank="1" showInputMessage="1" showErrorMessage="1" sqref="F10:F137">
      <formula1>Dificultad</formula1>
    </dataValidation>
    <dataValidation type="list" allowBlank="1" showInputMessage="1" showErrorMessage="1" sqref="G10:G137">
      <formula1>Estabilidad</formula1>
    </dataValidation>
    <dataValidation type="list" allowBlank="1" showInputMessage="1" showErrorMessage="1" sqref="H10:H137">
      <formula1>Situacion</formula1>
    </dataValidation>
  </dataValidations>
  <pageMargins left="0.79" right="0.51" top="0.82" bottom="1" header="0" footer="0"/>
  <pageSetup paperSize="9" scale="26" orientation="landscape" verticalDpi="2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51"/>
  <sheetViews>
    <sheetView showGridLines="0" topLeftCell="A31" zoomScale="85" zoomScaleNormal="85" workbookViewId="0">
      <selection activeCell="F42" sqref="F42"/>
    </sheetView>
  </sheetViews>
  <sheetFormatPr baseColWidth="10" defaultColWidth="9.140625" defaultRowHeight="12.75"/>
  <cols>
    <col min="3" max="3" width="15.42578125" customWidth="1"/>
    <col min="4" max="4" width="14.140625" customWidth="1"/>
    <col min="5" max="5" width="16.85546875" customWidth="1"/>
    <col min="6" max="6" width="27" customWidth="1"/>
    <col min="7" max="7" width="12.42578125" customWidth="1"/>
    <col min="8" max="8" width="17.42578125" customWidth="1"/>
    <col min="10" max="10" width="15.7109375" customWidth="1"/>
  </cols>
  <sheetData>
    <row r="2" spans="1:13" s="181" customFormat="1" ht="15.75" customHeight="1">
      <c r="B2" s="304"/>
      <c r="C2" s="304"/>
      <c r="D2" s="305" t="s">
        <v>374</v>
      </c>
      <c r="E2" s="305"/>
      <c r="F2" s="305"/>
      <c r="G2" s="305"/>
      <c r="H2" s="192" t="s">
        <v>375</v>
      </c>
      <c r="I2" s="191"/>
      <c r="J2" s="191"/>
      <c r="K2" s="191"/>
    </row>
    <row r="3" spans="1:13" s="181" customFormat="1" ht="15.75" customHeight="1">
      <c r="B3" s="304"/>
      <c r="C3" s="304"/>
      <c r="D3" s="305" t="str">
        <f>Instrucciones!D3</f>
        <v>DS.F.178  ICO-Lista Maestra de Requerimientos_INTEGRA</v>
      </c>
      <c r="E3" s="305"/>
      <c r="F3" s="305"/>
      <c r="G3" s="305"/>
      <c r="H3" s="186" t="str">
        <f>Instrucciones!G3</f>
        <v>Versión: 2.0</v>
      </c>
      <c r="I3" s="191"/>
      <c r="J3" s="191"/>
      <c r="K3" s="191"/>
    </row>
    <row r="4" spans="1:13" s="181" customFormat="1">
      <c r="B4" s="304"/>
      <c r="C4" s="304"/>
      <c r="D4" s="305"/>
      <c r="E4" s="305"/>
      <c r="F4" s="305"/>
      <c r="G4" s="305"/>
      <c r="H4" s="186" t="str">
        <f>Instrucciones!G4</f>
        <v>Fecha:  07/05/2019</v>
      </c>
      <c r="I4" s="191"/>
      <c r="J4" s="191"/>
      <c r="K4" s="191"/>
    </row>
    <row r="5" spans="1:13" s="189" customFormat="1" ht="12">
      <c r="A5" s="188"/>
      <c r="B5" s="190"/>
      <c r="C5" s="190"/>
      <c r="D5" s="190"/>
      <c r="E5" s="116"/>
      <c r="F5" s="116"/>
      <c r="G5" s="116"/>
      <c r="H5" s="116"/>
      <c r="I5" s="180"/>
      <c r="J5" s="180"/>
      <c r="L5" s="180"/>
      <c r="M5" s="180"/>
    </row>
    <row r="6" spans="1:13">
      <c r="A6" s="161"/>
      <c r="B6" s="173"/>
      <c r="C6" s="173"/>
      <c r="D6" s="175"/>
      <c r="E6" s="175"/>
      <c r="F6" s="175"/>
      <c r="G6" s="175"/>
      <c r="H6" s="175"/>
      <c r="I6" s="174"/>
    </row>
    <row r="7" spans="1:13">
      <c r="A7" s="161"/>
      <c r="B7" s="162" t="s">
        <v>342</v>
      </c>
      <c r="C7" s="161"/>
      <c r="D7" s="161"/>
      <c r="E7" s="161"/>
      <c r="F7" s="161"/>
      <c r="G7" s="161"/>
      <c r="H7" s="161"/>
      <c r="I7" s="161"/>
    </row>
    <row r="8" spans="1:13">
      <c r="A8" s="161"/>
      <c r="B8" s="163"/>
      <c r="C8" s="161"/>
      <c r="D8" s="161"/>
      <c r="E8" s="161"/>
      <c r="F8" s="161"/>
      <c r="G8" s="161"/>
      <c r="H8" s="161"/>
      <c r="I8" s="161"/>
    </row>
    <row r="9" spans="1:13">
      <c r="A9" s="161"/>
      <c r="B9" s="170" t="s">
        <v>343</v>
      </c>
      <c r="C9" s="170" t="s">
        <v>344</v>
      </c>
      <c r="D9" s="318" t="s">
        <v>345</v>
      </c>
      <c r="E9" s="319"/>
      <c r="F9" s="161"/>
      <c r="G9" s="161"/>
      <c r="H9" s="161"/>
      <c r="I9" s="161"/>
    </row>
    <row r="10" spans="1:13">
      <c r="A10" s="161"/>
      <c r="B10" s="166">
        <v>1</v>
      </c>
      <c r="C10" s="164"/>
      <c r="D10" s="320"/>
      <c r="E10" s="321"/>
      <c r="F10" s="161"/>
      <c r="G10" s="161"/>
      <c r="H10" s="161"/>
      <c r="I10" s="161"/>
    </row>
    <row r="11" spans="1:13">
      <c r="A11" s="161"/>
      <c r="B11" s="166">
        <v>2</v>
      </c>
      <c r="C11" s="164"/>
      <c r="D11" s="320"/>
      <c r="E11" s="321"/>
      <c r="F11" s="161"/>
      <c r="G11" s="161"/>
      <c r="H11" s="161"/>
      <c r="I11" s="161"/>
    </row>
    <row r="12" spans="1:13">
      <c r="A12" s="161"/>
      <c r="B12" s="166">
        <v>3</v>
      </c>
      <c r="C12" s="164"/>
      <c r="D12" s="320"/>
      <c r="E12" s="321"/>
      <c r="F12" s="161"/>
      <c r="G12" s="161"/>
      <c r="H12" s="161"/>
      <c r="I12" s="161"/>
    </row>
    <row r="13" spans="1:13">
      <c r="A13" s="161"/>
      <c r="B13" s="166">
        <v>4</v>
      </c>
      <c r="C13" s="164"/>
      <c r="D13" s="320"/>
      <c r="E13" s="321"/>
      <c r="F13" s="161"/>
      <c r="G13" s="161"/>
      <c r="H13" s="161"/>
      <c r="I13" s="161"/>
    </row>
    <row r="14" spans="1:13">
      <c r="A14" s="161"/>
      <c r="B14" s="167">
        <v>5</v>
      </c>
      <c r="C14" s="164"/>
      <c r="D14" s="320"/>
      <c r="E14" s="321"/>
      <c r="F14" s="161"/>
      <c r="G14" s="161"/>
      <c r="H14" s="161"/>
      <c r="I14" s="161"/>
    </row>
    <row r="15" spans="1:13">
      <c r="A15" s="161"/>
      <c r="B15" s="167">
        <v>6</v>
      </c>
      <c r="C15" s="164"/>
      <c r="D15" s="320"/>
      <c r="E15" s="321"/>
      <c r="F15" s="161"/>
      <c r="G15" s="161"/>
      <c r="H15" s="161"/>
      <c r="I15" s="161"/>
    </row>
    <row r="16" spans="1:13">
      <c r="A16" s="161"/>
      <c r="B16" s="166">
        <v>7</v>
      </c>
      <c r="C16" s="164"/>
      <c r="D16" s="320"/>
      <c r="E16" s="321"/>
      <c r="F16" s="161"/>
      <c r="G16" s="161"/>
      <c r="H16" s="161"/>
      <c r="I16" s="161"/>
    </row>
    <row r="17" spans="1:9">
      <c r="A17" s="161"/>
      <c r="B17" s="166">
        <v>8</v>
      </c>
      <c r="C17" s="164"/>
      <c r="D17" s="320"/>
      <c r="E17" s="321"/>
      <c r="F17" s="161"/>
      <c r="G17" s="161"/>
      <c r="H17" s="161"/>
      <c r="I17" s="161"/>
    </row>
    <row r="18" spans="1:9">
      <c r="A18" s="161"/>
      <c r="B18" s="166">
        <v>9</v>
      </c>
      <c r="C18" s="164"/>
      <c r="D18" s="320"/>
      <c r="E18" s="321"/>
      <c r="F18" s="161"/>
      <c r="G18" s="161"/>
      <c r="H18" s="161"/>
      <c r="I18" s="161"/>
    </row>
    <row r="19" spans="1:9">
      <c r="A19" s="161"/>
      <c r="B19" s="167">
        <v>10</v>
      </c>
      <c r="C19" s="164"/>
      <c r="D19" s="320"/>
      <c r="E19" s="321"/>
      <c r="F19" s="161"/>
      <c r="G19" s="161"/>
      <c r="H19" s="161"/>
      <c r="I19" s="161"/>
    </row>
    <row r="21" spans="1:9">
      <c r="B21" s="163"/>
      <c r="C21" s="161"/>
      <c r="D21" s="161"/>
      <c r="E21" s="161"/>
      <c r="F21" s="161"/>
      <c r="G21" s="161"/>
      <c r="H21" s="161"/>
    </row>
    <row r="22" spans="1:9">
      <c r="B22" s="162" t="s">
        <v>346</v>
      </c>
      <c r="C22" s="161"/>
      <c r="D22" s="161"/>
      <c r="E22" s="161"/>
      <c r="F22" s="161"/>
      <c r="G22" s="161"/>
      <c r="H22" s="161"/>
    </row>
    <row r="23" spans="1:9">
      <c r="B23" s="163"/>
      <c r="C23" s="161"/>
      <c r="D23" s="161"/>
      <c r="E23" s="161"/>
      <c r="F23" s="161"/>
      <c r="G23" s="161"/>
      <c r="H23" s="161"/>
    </row>
    <row r="24" spans="1:9">
      <c r="B24" s="161"/>
      <c r="C24" s="161"/>
      <c r="D24" s="161"/>
      <c r="E24" s="161"/>
      <c r="F24" s="322" t="s">
        <v>347</v>
      </c>
      <c r="G24" s="323"/>
      <c r="H24" s="161"/>
    </row>
    <row r="25" spans="1:9" ht="24">
      <c r="B25" s="171" t="s">
        <v>343</v>
      </c>
      <c r="C25" s="171" t="s">
        <v>348</v>
      </c>
      <c r="D25" s="171" t="s">
        <v>349</v>
      </c>
      <c r="E25" s="171" t="s">
        <v>350</v>
      </c>
      <c r="F25" s="171" t="s">
        <v>351</v>
      </c>
      <c r="G25" s="171" t="s">
        <v>352</v>
      </c>
      <c r="H25" s="171" t="s">
        <v>353</v>
      </c>
    </row>
    <row r="26" spans="1:9">
      <c r="B26" s="169">
        <v>1</v>
      </c>
      <c r="C26" s="164"/>
      <c r="D26" s="164"/>
      <c r="E26" s="164"/>
      <c r="F26" s="165"/>
      <c r="G26" s="165"/>
      <c r="H26" s="164"/>
    </row>
    <row r="27" spans="1:9">
      <c r="B27" s="169">
        <v>2</v>
      </c>
      <c r="C27" s="164"/>
      <c r="D27" s="164"/>
      <c r="E27" s="164"/>
      <c r="F27" s="164"/>
      <c r="G27" s="164"/>
      <c r="H27" s="164"/>
    </row>
    <row r="28" spans="1:9">
      <c r="B28" s="169"/>
      <c r="C28" s="164"/>
      <c r="D28" s="164"/>
      <c r="E28" s="164"/>
      <c r="F28" s="164"/>
      <c r="G28" s="164"/>
      <c r="H28" s="164"/>
    </row>
    <row r="29" spans="1:9">
      <c r="B29" s="169"/>
      <c r="C29" s="164"/>
      <c r="D29" s="164"/>
      <c r="E29" s="164"/>
      <c r="F29" s="164"/>
      <c r="G29" s="164"/>
      <c r="H29" s="164"/>
    </row>
    <row r="30" spans="1:9">
      <c r="B30" s="169"/>
      <c r="C30" s="164"/>
      <c r="D30" s="164"/>
      <c r="E30" s="164"/>
      <c r="F30" s="164"/>
      <c r="G30" s="164"/>
      <c r="H30" s="164"/>
    </row>
    <row r="31" spans="1:9">
      <c r="B31" s="169"/>
      <c r="C31" s="164"/>
      <c r="D31" s="164"/>
      <c r="E31" s="164"/>
      <c r="F31" s="164"/>
      <c r="G31" s="164"/>
      <c r="H31" s="164"/>
    </row>
    <row r="32" spans="1:9">
      <c r="B32" s="169"/>
      <c r="C32" s="164"/>
      <c r="D32" s="164"/>
      <c r="E32" s="164"/>
      <c r="F32" s="164"/>
      <c r="G32" s="164"/>
      <c r="H32" s="164"/>
    </row>
    <row r="33" spans="2:8">
      <c r="B33" s="169"/>
      <c r="C33" s="164"/>
      <c r="D33" s="164"/>
      <c r="E33" s="164"/>
      <c r="F33" s="164"/>
      <c r="G33" s="164"/>
      <c r="H33" s="164"/>
    </row>
    <row r="35" spans="2:8">
      <c r="B35" s="163"/>
      <c r="C35" s="161"/>
      <c r="D35" s="161"/>
      <c r="E35" s="161"/>
    </row>
    <row r="36" spans="2:8">
      <c r="B36" s="162" t="s">
        <v>354</v>
      </c>
      <c r="C36" s="162"/>
      <c r="D36" s="162"/>
      <c r="E36" s="161"/>
    </row>
    <row r="38" spans="2:8">
      <c r="B38" s="171" t="s">
        <v>343</v>
      </c>
      <c r="C38" s="322" t="s">
        <v>355</v>
      </c>
      <c r="D38" s="327"/>
      <c r="E38" s="323"/>
    </row>
    <row r="39" spans="2:8">
      <c r="B39" s="169">
        <v>1</v>
      </c>
      <c r="C39" s="324"/>
      <c r="D39" s="325"/>
      <c r="E39" s="326"/>
    </row>
    <row r="40" spans="2:8">
      <c r="B40" s="169">
        <v>2</v>
      </c>
      <c r="C40" s="324"/>
      <c r="D40" s="325"/>
      <c r="E40" s="326"/>
    </row>
    <row r="41" spans="2:8">
      <c r="B41" s="169">
        <v>3</v>
      </c>
      <c r="C41" s="324"/>
      <c r="D41" s="325"/>
      <c r="E41" s="326"/>
    </row>
    <row r="42" spans="2:8">
      <c r="B42" s="169"/>
      <c r="C42" s="324"/>
      <c r="D42" s="325"/>
      <c r="E42" s="326"/>
    </row>
    <row r="44" spans="2:8">
      <c r="B44" s="163"/>
      <c r="C44" s="161"/>
      <c r="D44" s="161"/>
      <c r="E44" s="161"/>
    </row>
    <row r="50" spans="2:2">
      <c r="B50" s="163"/>
    </row>
    <row r="51" spans="2:2">
      <c r="B51" s="163"/>
    </row>
  </sheetData>
  <mergeCells count="20">
    <mergeCell ref="D18:E18"/>
    <mergeCell ref="D19:E19"/>
    <mergeCell ref="D12:E12"/>
    <mergeCell ref="D13:E13"/>
    <mergeCell ref="D14:E14"/>
    <mergeCell ref="D15:E15"/>
    <mergeCell ref="D16:E16"/>
    <mergeCell ref="D17:E17"/>
    <mergeCell ref="F24:G24"/>
    <mergeCell ref="C42:E42"/>
    <mergeCell ref="C38:E38"/>
    <mergeCell ref="C39:E39"/>
    <mergeCell ref="C40:E40"/>
    <mergeCell ref="C41:E41"/>
    <mergeCell ref="D9:E9"/>
    <mergeCell ref="D10:E10"/>
    <mergeCell ref="D11:E11"/>
    <mergeCell ref="B2:C4"/>
    <mergeCell ref="D2:G2"/>
    <mergeCell ref="D3:G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2:O68"/>
  <sheetViews>
    <sheetView showGridLines="0" zoomScale="75" workbookViewId="0">
      <selection activeCell="D10" sqref="D10:E10"/>
    </sheetView>
  </sheetViews>
  <sheetFormatPr baseColWidth="10" defaultColWidth="9.140625" defaultRowHeight="12.75"/>
  <cols>
    <col min="1" max="1" width="5.42578125" customWidth="1"/>
    <col min="2" max="2" width="23.5703125" customWidth="1"/>
    <col min="3" max="3" width="21.140625" customWidth="1"/>
    <col min="4" max="4" width="50.7109375" customWidth="1"/>
    <col min="5" max="5" width="29.28515625" customWidth="1"/>
    <col min="6" max="6" width="12.7109375" customWidth="1"/>
  </cols>
  <sheetData>
    <row r="2" spans="1:15" s="181" customFormat="1" ht="15.75" customHeight="1">
      <c r="B2" s="328"/>
      <c r="C2" s="305" t="s">
        <v>374</v>
      </c>
      <c r="D2" s="305"/>
      <c r="E2" s="192" t="s">
        <v>375</v>
      </c>
      <c r="F2" s="191"/>
      <c r="G2" s="191"/>
      <c r="I2" s="191"/>
      <c r="J2" s="191"/>
      <c r="K2" s="191"/>
    </row>
    <row r="3" spans="1:15" s="181" customFormat="1" ht="15.75" customHeight="1">
      <c r="B3" s="329"/>
      <c r="C3" s="305" t="str">
        <f>Instrucciones!D3</f>
        <v>DS.F.178  ICO-Lista Maestra de Requerimientos_INTEGRA</v>
      </c>
      <c r="D3" s="305"/>
      <c r="E3" s="186" t="str">
        <f>Instrucciones!G3</f>
        <v>Versión: 2.0</v>
      </c>
      <c r="F3" s="191"/>
      <c r="G3" s="191"/>
      <c r="I3" s="191"/>
      <c r="J3" s="191"/>
      <c r="K3" s="191"/>
    </row>
    <row r="4" spans="1:15" s="181" customFormat="1">
      <c r="B4" s="330"/>
      <c r="C4" s="305"/>
      <c r="D4" s="305"/>
      <c r="E4" s="186" t="str">
        <f>Instrucciones!G4</f>
        <v>Fecha:  07/05/2019</v>
      </c>
      <c r="F4" s="191"/>
      <c r="G4" s="191"/>
      <c r="I4" s="191"/>
      <c r="J4" s="191"/>
      <c r="K4" s="191"/>
    </row>
    <row r="5" spans="1:15" s="189" customFormat="1" ht="12">
      <c r="A5" s="188"/>
      <c r="B5" s="188"/>
      <c r="C5" s="116"/>
      <c r="D5" s="116"/>
      <c r="E5" s="116"/>
      <c r="F5" s="116"/>
      <c r="I5" s="180"/>
      <c r="J5" s="180"/>
      <c r="L5" s="180"/>
      <c r="M5" s="180"/>
    </row>
    <row r="7" spans="1:15">
      <c r="B7" s="18" t="s">
        <v>127</v>
      </c>
    </row>
    <row r="9" spans="1:15">
      <c r="B9" s="309" t="s">
        <v>113</v>
      </c>
      <c r="C9" s="309"/>
      <c r="D9" s="312" t="str">
        <f>IF(NOT(ISBLANK('Requerimientos de usuario'!E8)),'Requerimientos de usuario'!E8,"  ")</f>
        <v>LP02</v>
      </c>
      <c r="E9" s="313"/>
    </row>
    <row r="10" spans="1:15" s="16" customFormat="1" ht="17.25" customHeight="1">
      <c r="A10" s="14"/>
      <c r="B10" s="309" t="s">
        <v>114</v>
      </c>
      <c r="C10" s="309"/>
      <c r="D10" s="312" t="str">
        <f>IF(NOT(ISBLANK('Requerimientos de usuario'!E9)),'Requerimientos de usuario'!E9,"  ")</f>
        <v>Luis Marcilla</v>
      </c>
      <c r="E10" s="313"/>
      <c r="F10" s="15"/>
    </row>
    <row r="12" spans="1:15" ht="25.5">
      <c r="B12" s="30" t="s">
        <v>128</v>
      </c>
      <c r="C12" s="30" t="s">
        <v>129</v>
      </c>
      <c r="D12" s="30" t="s">
        <v>130</v>
      </c>
      <c r="E12" s="30" t="s">
        <v>103</v>
      </c>
      <c r="O12" s="25" t="s">
        <v>200</v>
      </c>
    </row>
    <row r="13" spans="1:15">
      <c r="B13" s="32"/>
      <c r="C13" s="32"/>
      <c r="D13" s="32"/>
      <c r="E13" s="32"/>
    </row>
    <row r="14" spans="1:15">
      <c r="B14" s="32"/>
      <c r="C14" s="32"/>
      <c r="D14" s="32"/>
      <c r="E14" s="32"/>
    </row>
    <row r="15" spans="1:15">
      <c r="B15" s="32"/>
      <c r="C15" s="32"/>
      <c r="D15" s="32"/>
      <c r="E15" s="32"/>
    </row>
    <row r="16" spans="1:15">
      <c r="B16" s="32"/>
      <c r="C16" s="32"/>
      <c r="D16" s="32"/>
      <c r="E16" s="32"/>
    </row>
    <row r="17" spans="2:5">
      <c r="B17" s="32"/>
      <c r="C17" s="32"/>
      <c r="D17" s="32"/>
      <c r="E17" s="32"/>
    </row>
    <row r="18" spans="2:5">
      <c r="B18" s="32"/>
      <c r="C18" s="32"/>
      <c r="D18" s="32"/>
      <c r="E18" s="32"/>
    </row>
    <row r="19" spans="2:5">
      <c r="B19" s="32"/>
      <c r="C19" s="31"/>
      <c r="D19" s="31"/>
      <c r="E19" s="31"/>
    </row>
    <row r="20" spans="2:5">
      <c r="B20" s="32"/>
      <c r="C20" s="32"/>
      <c r="D20" s="32"/>
      <c r="E20" s="32"/>
    </row>
    <row r="21" spans="2:5">
      <c r="B21" s="32"/>
      <c r="C21" s="32"/>
      <c r="D21" s="32"/>
      <c r="E21" s="32"/>
    </row>
    <row r="22" spans="2:5">
      <c r="B22" s="32"/>
      <c r="C22" s="32"/>
      <c r="D22" s="32"/>
      <c r="E22" s="32"/>
    </row>
    <row r="33" spans="2:5">
      <c r="B33" s="22"/>
    </row>
    <row r="36" spans="2:5">
      <c r="B36" s="22"/>
      <c r="C36" s="22"/>
      <c r="D36" s="22"/>
      <c r="E36" s="22"/>
    </row>
    <row r="68" spans="2:2">
      <c r="B68" s="29"/>
    </row>
  </sheetData>
  <mergeCells count="7">
    <mergeCell ref="C2:D2"/>
    <mergeCell ref="C3:D4"/>
    <mergeCell ref="B2:B4"/>
    <mergeCell ref="B10:C10"/>
    <mergeCell ref="D10:E10"/>
    <mergeCell ref="B9:C9"/>
    <mergeCell ref="D9:E9"/>
  </mergeCells>
  <phoneticPr fontId="3" type="noConversion"/>
  <dataValidations count="1">
    <dataValidation type="list" allowBlank="1" showInputMessage="1" showErrorMessage="1" sqref="B13:B22">
      <formula1>"RNOF, RSIS, RUSU"</formula1>
    </dataValidation>
  </dataValidations>
  <pageMargins left="0.75" right="0.75" top="1.51" bottom="1" header="0" footer="0"/>
  <pageSetup paperSize="9" scale="83" orientation="portrait" verticalDpi="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68"/>
  <sheetViews>
    <sheetView showGridLines="0" zoomScale="75" workbookViewId="0">
      <selection activeCell="E4" sqref="E4"/>
    </sheetView>
  </sheetViews>
  <sheetFormatPr baseColWidth="10" defaultColWidth="9.140625" defaultRowHeight="12.75"/>
  <cols>
    <col min="1" max="1" width="5.42578125" customWidth="1"/>
    <col min="2" max="2" width="23.85546875" customWidth="1"/>
    <col min="3" max="3" width="70.28515625" customWidth="1"/>
    <col min="4" max="4" width="21.140625" style="161" customWidth="1"/>
    <col min="5" max="5" width="26.85546875" customWidth="1"/>
  </cols>
  <sheetData>
    <row r="1" spans="1:17">
      <c r="C1" s="161"/>
      <c r="E1" s="161"/>
    </row>
    <row r="2" spans="1:17" s="181" customFormat="1" ht="15.75" customHeight="1">
      <c r="B2" s="328"/>
      <c r="C2" s="295" t="s">
        <v>374</v>
      </c>
      <c r="D2" s="297"/>
      <c r="E2" s="192" t="s">
        <v>375</v>
      </c>
      <c r="G2" s="191"/>
      <c r="H2" s="191"/>
      <c r="J2" s="191"/>
      <c r="K2" s="191"/>
      <c r="L2" s="191"/>
    </row>
    <row r="3" spans="1:17" s="181" customFormat="1" ht="15.75" customHeight="1">
      <c r="B3" s="329"/>
      <c r="C3" s="298" t="str">
        <f>Instrucciones!D3</f>
        <v>DS.F.178  ICO-Lista Maestra de Requerimientos_INTEGRA</v>
      </c>
      <c r="D3" s="300"/>
      <c r="E3" s="186" t="str">
        <f>Instrucciones!G3</f>
        <v>Versión: 2.0</v>
      </c>
      <c r="G3" s="191"/>
      <c r="H3" s="191"/>
      <c r="J3" s="191"/>
      <c r="K3" s="191"/>
      <c r="L3" s="191"/>
    </row>
    <row r="4" spans="1:17" s="181" customFormat="1">
      <c r="B4" s="330"/>
      <c r="C4" s="301"/>
      <c r="D4" s="303"/>
      <c r="E4" s="186" t="str">
        <f>Instrucciones!G4</f>
        <v>Fecha:  07/05/2019</v>
      </c>
      <c r="G4" s="191"/>
      <c r="H4" s="191"/>
      <c r="J4" s="191"/>
      <c r="K4" s="191"/>
      <c r="L4" s="191"/>
    </row>
    <row r="5" spans="1:17" s="168" customFormat="1" ht="12">
      <c r="A5" s="172"/>
      <c r="B5" s="188"/>
      <c r="C5" s="116"/>
      <c r="D5" s="116"/>
      <c r="E5" s="109"/>
      <c r="F5" s="109"/>
      <c r="G5" s="116"/>
      <c r="H5" s="116"/>
      <c r="K5" s="180"/>
      <c r="L5" s="180"/>
      <c r="N5" s="180"/>
      <c r="O5" s="180"/>
    </row>
    <row r="7" spans="1:17" ht="18">
      <c r="B7" s="1" t="s">
        <v>11</v>
      </c>
      <c r="C7" s="1"/>
      <c r="D7" s="1"/>
    </row>
    <row r="8" spans="1:17" ht="18">
      <c r="B8" s="1"/>
      <c r="C8" s="1"/>
      <c r="D8" s="1"/>
    </row>
    <row r="9" spans="1:17" s="2" customFormat="1">
      <c r="B9" s="30" t="s">
        <v>152</v>
      </c>
      <c r="C9" s="334" t="s">
        <v>153</v>
      </c>
      <c r="D9" s="335"/>
      <c r="E9" s="336"/>
    </row>
    <row r="10" spans="1:17">
      <c r="B10" s="32"/>
      <c r="C10" s="331"/>
      <c r="D10" s="332"/>
      <c r="E10" s="333"/>
    </row>
    <row r="11" spans="1:17">
      <c r="B11" s="32"/>
      <c r="C11" s="331"/>
      <c r="D11" s="332"/>
      <c r="E11" s="333"/>
    </row>
    <row r="12" spans="1:17">
      <c r="B12" s="32"/>
      <c r="C12" s="331"/>
      <c r="D12" s="332"/>
      <c r="E12" s="333"/>
      <c r="Q12" s="25" t="s">
        <v>200</v>
      </c>
    </row>
    <row r="13" spans="1:17">
      <c r="B13" s="32"/>
      <c r="C13" s="331"/>
      <c r="D13" s="332"/>
      <c r="E13" s="333"/>
    </row>
    <row r="14" spans="1:17">
      <c r="B14" s="32"/>
      <c r="C14" s="331"/>
      <c r="D14" s="332"/>
      <c r="E14" s="333"/>
    </row>
    <row r="15" spans="1:17">
      <c r="B15" s="32"/>
      <c r="C15" s="331"/>
      <c r="D15" s="332"/>
      <c r="E15" s="333"/>
    </row>
    <row r="33" spans="2:7">
      <c r="B33" s="22"/>
      <c r="C33" s="22"/>
      <c r="D33" s="22"/>
    </row>
    <row r="36" spans="2:7">
      <c r="B36" s="22"/>
      <c r="C36" s="22"/>
      <c r="D36" s="22"/>
      <c r="E36" s="22"/>
      <c r="F36" s="22"/>
      <c r="G36" s="22"/>
    </row>
    <row r="68" spans="2:4">
      <c r="B68" s="29"/>
      <c r="C68" s="29"/>
      <c r="D68" s="29"/>
    </row>
  </sheetData>
  <mergeCells count="10">
    <mergeCell ref="B2:B4"/>
    <mergeCell ref="C2:D2"/>
    <mergeCell ref="C3:D4"/>
    <mergeCell ref="C13:E13"/>
    <mergeCell ref="C14:E14"/>
    <mergeCell ref="C15:E15"/>
    <mergeCell ref="C9:E9"/>
    <mergeCell ref="C10:E10"/>
    <mergeCell ref="C11:E11"/>
    <mergeCell ref="C12:E12"/>
  </mergeCells>
  <phoneticPr fontId="3" type="noConversion"/>
  <pageMargins left="0.75" right="0.75" top="1" bottom="1" header="0" footer="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59"/>
  <sheetViews>
    <sheetView topLeftCell="A40" zoomScale="85" zoomScaleNormal="85" workbookViewId="0">
      <selection activeCell="C60" sqref="C60"/>
    </sheetView>
  </sheetViews>
  <sheetFormatPr baseColWidth="10" defaultColWidth="11.42578125" defaultRowHeight="11.25"/>
  <cols>
    <col min="1" max="1" width="11.42578125" style="124"/>
    <col min="2" max="2" width="43.140625" style="124" customWidth="1"/>
    <col min="3" max="3" width="42.7109375" style="124" bestFit="1" customWidth="1"/>
    <col min="4" max="4" width="11.42578125" style="124"/>
    <col min="5" max="5" width="13.5703125" style="124" bestFit="1" customWidth="1"/>
    <col min="6" max="6" width="11.42578125" style="124"/>
    <col min="7" max="7" width="17.42578125" style="124" bestFit="1" customWidth="1"/>
    <col min="8" max="8" width="14.85546875" style="124" customWidth="1"/>
    <col min="9" max="16384" width="11.42578125" style="124"/>
  </cols>
  <sheetData>
    <row r="2" spans="1:8">
      <c r="H2" s="147" t="s">
        <v>334</v>
      </c>
    </row>
    <row r="3" spans="1:8">
      <c r="A3" s="123" t="s">
        <v>218</v>
      </c>
      <c r="C3" s="123" t="s">
        <v>265</v>
      </c>
      <c r="E3" s="123" t="s">
        <v>316</v>
      </c>
      <c r="G3" s="145" t="s">
        <v>331</v>
      </c>
      <c r="H3" s="123" t="s">
        <v>333</v>
      </c>
    </row>
    <row r="4" spans="1:8">
      <c r="A4" s="125" t="s">
        <v>212</v>
      </c>
      <c r="C4" s="125" t="s">
        <v>226</v>
      </c>
      <c r="E4" s="126" t="s">
        <v>320</v>
      </c>
      <c r="G4" s="125" t="s">
        <v>64</v>
      </c>
      <c r="H4" s="146" t="s">
        <v>335</v>
      </c>
    </row>
    <row r="5" spans="1:8">
      <c r="A5" s="125" t="s">
        <v>219</v>
      </c>
      <c r="C5" s="126" t="s">
        <v>224</v>
      </c>
      <c r="E5" s="126" t="s">
        <v>224</v>
      </c>
      <c r="G5" s="125" t="s">
        <v>65</v>
      </c>
      <c r="H5" s="146">
        <v>10</v>
      </c>
    </row>
    <row r="6" spans="1:8">
      <c r="A6" s="125" t="s">
        <v>220</v>
      </c>
      <c r="C6" s="127" t="s">
        <v>225</v>
      </c>
      <c r="E6" s="127" t="s">
        <v>225</v>
      </c>
      <c r="G6" s="125" t="s">
        <v>66</v>
      </c>
      <c r="H6" s="146">
        <v>6</v>
      </c>
    </row>
    <row r="7" spans="1:8">
      <c r="A7" s="125" t="s">
        <v>221</v>
      </c>
      <c r="C7" s="126" t="s">
        <v>419</v>
      </c>
      <c r="E7" s="126" t="s">
        <v>419</v>
      </c>
    </row>
    <row r="8" spans="1:8">
      <c r="A8" s="125" t="s">
        <v>222</v>
      </c>
      <c r="C8" s="126" t="s">
        <v>364</v>
      </c>
      <c r="E8" s="126" t="s">
        <v>364</v>
      </c>
      <c r="H8" s="147" t="s">
        <v>332</v>
      </c>
    </row>
    <row r="9" spans="1:8">
      <c r="A9" s="125" t="s">
        <v>223</v>
      </c>
      <c r="C9" s="126" t="s">
        <v>365</v>
      </c>
      <c r="E9" s="126" t="s">
        <v>365</v>
      </c>
      <c r="G9" s="123" t="s">
        <v>331</v>
      </c>
      <c r="H9" s="123" t="s">
        <v>333</v>
      </c>
    </row>
    <row r="10" spans="1:8">
      <c r="A10" s="125"/>
      <c r="C10" s="126" t="s">
        <v>368</v>
      </c>
      <c r="E10" s="126" t="s">
        <v>368</v>
      </c>
      <c r="G10" s="125" t="s">
        <v>64</v>
      </c>
      <c r="H10" s="146" t="s">
        <v>336</v>
      </c>
    </row>
    <row r="11" spans="1:8">
      <c r="A11" s="125"/>
      <c r="C11" s="124" t="s">
        <v>373</v>
      </c>
      <c r="E11" s="124" t="s">
        <v>373</v>
      </c>
      <c r="G11" s="125" t="s">
        <v>65</v>
      </c>
      <c r="H11" s="146">
        <v>8</v>
      </c>
    </row>
    <row r="12" spans="1:8">
      <c r="A12" s="125"/>
      <c r="C12" s="176" t="s">
        <v>420</v>
      </c>
      <c r="E12" s="126"/>
      <c r="G12" s="125" t="s">
        <v>66</v>
      </c>
      <c r="H12" s="146">
        <v>4</v>
      </c>
    </row>
    <row r="13" spans="1:8">
      <c r="C13" s="176"/>
      <c r="E13" s="126"/>
    </row>
    <row r="14" spans="1:8">
      <c r="C14" s="177"/>
      <c r="E14" s="126"/>
    </row>
    <row r="15" spans="1:8">
      <c r="C15" s="178"/>
      <c r="E15" s="128"/>
    </row>
    <row r="16" spans="1:8">
      <c r="C16" s="178"/>
      <c r="E16" s="128"/>
    </row>
    <row r="17" spans="1:5">
      <c r="C17" s="178"/>
      <c r="E17" s="128"/>
    </row>
    <row r="19" spans="1:5">
      <c r="A19" s="123" t="s">
        <v>281</v>
      </c>
      <c r="B19" s="123" t="s">
        <v>282</v>
      </c>
      <c r="C19" s="123" t="s">
        <v>283</v>
      </c>
    </row>
    <row r="20" spans="1:5" ht="12.75">
      <c r="A20" s="193" t="s">
        <v>277</v>
      </c>
      <c r="B20" s="194" t="s">
        <v>284</v>
      </c>
      <c r="C20" s="195" t="s">
        <v>379</v>
      </c>
    </row>
    <row r="21" spans="1:5" ht="12.75">
      <c r="A21" s="193" t="s">
        <v>227</v>
      </c>
      <c r="B21" s="194" t="s">
        <v>303</v>
      </c>
      <c r="C21" s="195" t="s">
        <v>380</v>
      </c>
    </row>
    <row r="22" spans="1:5" ht="12.75">
      <c r="A22" s="193" t="s">
        <v>228</v>
      </c>
      <c r="B22" s="194" t="s">
        <v>285</v>
      </c>
      <c r="C22" s="195" t="s">
        <v>381</v>
      </c>
    </row>
    <row r="23" spans="1:5" ht="12.75">
      <c r="A23" s="193" t="s">
        <v>229</v>
      </c>
      <c r="B23" s="194" t="s">
        <v>286</v>
      </c>
      <c r="C23" s="195" t="s">
        <v>382</v>
      </c>
    </row>
    <row r="24" spans="1:5" ht="12.75">
      <c r="A24" s="193" t="s">
        <v>230</v>
      </c>
      <c r="B24" s="194" t="s">
        <v>305</v>
      </c>
      <c r="C24" s="195" t="s">
        <v>383</v>
      </c>
    </row>
    <row r="25" spans="1:5" ht="12.75">
      <c r="A25" s="193" t="s">
        <v>278</v>
      </c>
      <c r="B25" s="194" t="s">
        <v>304</v>
      </c>
      <c r="C25" s="195" t="s">
        <v>384</v>
      </c>
    </row>
    <row r="26" spans="1:5" ht="12.75">
      <c r="A26" s="193" t="s">
        <v>231</v>
      </c>
      <c r="B26" s="194" t="s">
        <v>287</v>
      </c>
      <c r="C26" s="195" t="s">
        <v>385</v>
      </c>
    </row>
    <row r="27" spans="1:5" ht="12.75">
      <c r="A27" s="193" t="s">
        <v>232</v>
      </c>
      <c r="B27" s="194" t="s">
        <v>288</v>
      </c>
      <c r="C27" s="195" t="s">
        <v>386</v>
      </c>
    </row>
    <row r="28" spans="1:5" ht="12.75">
      <c r="A28" s="193" t="s">
        <v>233</v>
      </c>
      <c r="B28" s="194" t="s">
        <v>289</v>
      </c>
      <c r="C28" s="195" t="s">
        <v>387</v>
      </c>
    </row>
    <row r="29" spans="1:5" ht="12.75">
      <c r="A29" s="193" t="s">
        <v>234</v>
      </c>
      <c r="B29" s="194" t="s">
        <v>290</v>
      </c>
      <c r="C29" s="195" t="s">
        <v>388</v>
      </c>
    </row>
    <row r="30" spans="1:5" ht="12.75">
      <c r="A30" s="193" t="s">
        <v>235</v>
      </c>
      <c r="B30" s="194" t="s">
        <v>291</v>
      </c>
      <c r="C30" s="195" t="s">
        <v>389</v>
      </c>
    </row>
    <row r="31" spans="1:5" ht="12.75">
      <c r="A31" s="193" t="s">
        <v>357</v>
      </c>
      <c r="B31" s="194" t="s">
        <v>358</v>
      </c>
      <c r="C31" s="195" t="s">
        <v>390</v>
      </c>
    </row>
    <row r="32" spans="1:5" ht="12.75">
      <c r="A32" s="193" t="s">
        <v>236</v>
      </c>
      <c r="B32" s="194" t="s">
        <v>292</v>
      </c>
      <c r="C32" s="195" t="s">
        <v>391</v>
      </c>
    </row>
    <row r="33" spans="1:3" ht="12.75">
      <c r="A33" s="193" t="s">
        <v>237</v>
      </c>
      <c r="B33" s="194" t="s">
        <v>306</v>
      </c>
      <c r="C33" s="195" t="s">
        <v>392</v>
      </c>
    </row>
    <row r="34" spans="1:3" ht="12.75">
      <c r="A34" s="193" t="s">
        <v>280</v>
      </c>
      <c r="B34" s="194" t="s">
        <v>359</v>
      </c>
      <c r="C34" s="195" t="s">
        <v>393</v>
      </c>
    </row>
    <row r="35" spans="1:3" ht="12.75">
      <c r="A35" s="193" t="s">
        <v>238</v>
      </c>
      <c r="B35" s="194" t="s">
        <v>293</v>
      </c>
      <c r="C35" s="195" t="s">
        <v>394</v>
      </c>
    </row>
    <row r="36" spans="1:3" ht="12.75">
      <c r="A36" s="193" t="s">
        <v>360</v>
      </c>
      <c r="B36" s="194" t="s">
        <v>361</v>
      </c>
      <c r="C36" s="195" t="s">
        <v>395</v>
      </c>
    </row>
    <row r="37" spans="1:3" ht="12.75">
      <c r="A37" s="193" t="s">
        <v>239</v>
      </c>
      <c r="B37" s="194" t="s">
        <v>294</v>
      </c>
      <c r="C37" s="195" t="s">
        <v>396</v>
      </c>
    </row>
    <row r="38" spans="1:3" ht="12.75">
      <c r="A38" s="193" t="s">
        <v>240</v>
      </c>
      <c r="B38" s="194" t="s">
        <v>307</v>
      </c>
      <c r="C38" s="195" t="s">
        <v>397</v>
      </c>
    </row>
    <row r="39" spans="1:3" ht="12.75">
      <c r="A39" s="193" t="s">
        <v>308</v>
      </c>
      <c r="B39" s="194" t="s">
        <v>309</v>
      </c>
      <c r="C39" s="195" t="s">
        <v>398</v>
      </c>
    </row>
    <row r="40" spans="1:3" ht="12.75">
      <c r="A40" s="193" t="s">
        <v>241</v>
      </c>
      <c r="B40" s="194" t="s">
        <v>295</v>
      </c>
      <c r="C40" s="195" t="s">
        <v>399</v>
      </c>
    </row>
    <row r="41" spans="1:3" ht="12.75">
      <c r="A41" s="193" t="s">
        <v>242</v>
      </c>
      <c r="B41" s="194" t="s">
        <v>296</v>
      </c>
      <c r="C41" s="195" t="s">
        <v>400</v>
      </c>
    </row>
    <row r="42" spans="1:3" ht="12.75">
      <c r="A42" s="193" t="s">
        <v>243</v>
      </c>
      <c r="B42" s="194" t="s">
        <v>297</v>
      </c>
      <c r="C42" s="195" t="s">
        <v>401</v>
      </c>
    </row>
    <row r="43" spans="1:3" ht="12.75">
      <c r="A43" s="193" t="s">
        <v>369</v>
      </c>
      <c r="B43" s="194" t="s">
        <v>370</v>
      </c>
      <c r="C43" s="195" t="s">
        <v>402</v>
      </c>
    </row>
    <row r="44" spans="1:3" ht="12.75">
      <c r="A44" s="193" t="s">
        <v>244</v>
      </c>
      <c r="B44" s="194" t="s">
        <v>298</v>
      </c>
      <c r="C44" s="195" t="s">
        <v>403</v>
      </c>
    </row>
    <row r="45" spans="1:3" ht="12.75">
      <c r="A45" s="193" t="s">
        <v>245</v>
      </c>
      <c r="B45" s="194" t="s">
        <v>310</v>
      </c>
      <c r="C45" s="195" t="s">
        <v>404</v>
      </c>
    </row>
    <row r="46" spans="1:3" ht="12.75">
      <c r="A46" s="193" t="s">
        <v>246</v>
      </c>
      <c r="B46" s="224" t="s">
        <v>311</v>
      </c>
      <c r="C46" s="195" t="s">
        <v>405</v>
      </c>
    </row>
    <row r="47" spans="1:3" ht="12.75">
      <c r="A47" s="193" t="s">
        <v>362</v>
      </c>
      <c r="B47" s="194" t="s">
        <v>363</v>
      </c>
      <c r="C47" s="195" t="s">
        <v>406</v>
      </c>
    </row>
    <row r="48" spans="1:3" ht="12.75">
      <c r="A48" s="193" t="s">
        <v>247</v>
      </c>
      <c r="B48" s="194" t="s">
        <v>312</v>
      </c>
      <c r="C48" s="195" t="s">
        <v>407</v>
      </c>
    </row>
    <row r="49" spans="1:3" ht="12.75">
      <c r="A49" s="193" t="s">
        <v>248</v>
      </c>
      <c r="B49" s="194" t="s">
        <v>313</v>
      </c>
      <c r="C49" s="195" t="s">
        <v>408</v>
      </c>
    </row>
    <row r="50" spans="1:3" ht="12.75">
      <c r="A50" s="193" t="s">
        <v>249</v>
      </c>
      <c r="B50" s="194" t="s">
        <v>314</v>
      </c>
      <c r="C50" s="195" t="s">
        <v>409</v>
      </c>
    </row>
    <row r="51" spans="1:3" ht="12.75">
      <c r="A51" s="193" t="s">
        <v>250</v>
      </c>
      <c r="B51" s="194" t="s">
        <v>299</v>
      </c>
      <c r="C51" s="195" t="s">
        <v>410</v>
      </c>
    </row>
    <row r="52" spans="1:3" ht="12.75">
      <c r="A52" s="193" t="s">
        <v>251</v>
      </c>
      <c r="B52" s="194" t="s">
        <v>315</v>
      </c>
      <c r="C52" s="195" t="s">
        <v>411</v>
      </c>
    </row>
    <row r="53" spans="1:3" ht="12.75">
      <c r="A53" s="193" t="s">
        <v>252</v>
      </c>
      <c r="B53" s="194" t="s">
        <v>300</v>
      </c>
      <c r="C53" s="195" t="s">
        <v>412</v>
      </c>
    </row>
    <row r="54" spans="1:3" ht="12.75">
      <c r="A54" s="193" t="s">
        <v>253</v>
      </c>
      <c r="B54" s="194" t="s">
        <v>301</v>
      </c>
      <c r="C54" s="195" t="s">
        <v>413</v>
      </c>
    </row>
    <row r="55" spans="1:3" ht="12.75">
      <c r="A55" s="193" t="s">
        <v>279</v>
      </c>
      <c r="B55" s="194" t="s">
        <v>302</v>
      </c>
      <c r="C55" s="195" t="s">
        <v>414</v>
      </c>
    </row>
    <row r="56" spans="1:3" ht="12.75">
      <c r="A56" s="193" t="s">
        <v>415</v>
      </c>
      <c r="B56" s="194" t="s">
        <v>416</v>
      </c>
      <c r="C56" s="195" t="s">
        <v>417</v>
      </c>
    </row>
    <row r="57" spans="1:3" ht="12.75">
      <c r="A57" s="193"/>
      <c r="B57" s="194" t="s">
        <v>423</v>
      </c>
      <c r="C57" s="195" t="s">
        <v>424</v>
      </c>
    </row>
    <row r="58" spans="1:3" ht="12.75">
      <c r="A58" s="193"/>
      <c r="B58" s="194" t="s">
        <v>425</v>
      </c>
      <c r="C58" s="195" t="s">
        <v>426</v>
      </c>
    </row>
    <row r="59" spans="1:3" ht="12.75">
      <c r="A59" s="193"/>
      <c r="B59" s="194" t="s">
        <v>437</v>
      </c>
      <c r="C59" s="195" t="s">
        <v>438</v>
      </c>
    </row>
  </sheetData>
  <sortState ref="A20:C122">
    <sortCondition ref="A20:A122"/>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O70"/>
  <sheetViews>
    <sheetView showGridLines="0" zoomScale="75" workbookViewId="0">
      <pane ySplit="4" topLeftCell="A5" activePane="bottomLeft" state="frozen"/>
      <selection activeCell="I22" sqref="I22"/>
      <selection pane="bottomLeft" activeCell="E26" sqref="E26"/>
    </sheetView>
  </sheetViews>
  <sheetFormatPr baseColWidth="10" defaultColWidth="9.140625" defaultRowHeight="12.75"/>
  <cols>
    <col min="1" max="1" width="3.28515625" style="7" customWidth="1"/>
    <col min="2" max="2" width="24.5703125" style="8" customWidth="1"/>
    <col min="3" max="3" width="37.28515625" style="8" customWidth="1"/>
    <col min="4" max="4" width="20.7109375" style="8" customWidth="1"/>
    <col min="5" max="5" width="20.85546875" style="7" bestFit="1" customWidth="1"/>
    <col min="6" max="16384" width="9.140625" style="7"/>
  </cols>
  <sheetData>
    <row r="2" spans="2:15" customFormat="1" ht="18">
      <c r="B2" s="1" t="s">
        <v>85</v>
      </c>
    </row>
    <row r="4" spans="2:15" s="3" customFormat="1" ht="25.5">
      <c r="B4" s="30" t="s">
        <v>30</v>
      </c>
      <c r="C4" s="30" t="s">
        <v>31</v>
      </c>
      <c r="D4" s="30" t="s">
        <v>32</v>
      </c>
      <c r="E4" s="30" t="s">
        <v>33</v>
      </c>
    </row>
    <row r="5" spans="2:15" ht="36" customHeight="1">
      <c r="B5" s="337" t="s">
        <v>20</v>
      </c>
      <c r="C5" s="339" t="s">
        <v>34</v>
      </c>
      <c r="D5" s="10" t="s">
        <v>87</v>
      </c>
      <c r="E5" s="341" t="s">
        <v>35</v>
      </c>
    </row>
    <row r="6" spans="2:15" ht="36" customHeight="1">
      <c r="B6" s="353"/>
      <c r="C6" s="355"/>
      <c r="D6" s="10" t="s">
        <v>88</v>
      </c>
      <c r="E6" s="356"/>
    </row>
    <row r="7" spans="2:15" ht="12.75" customHeight="1">
      <c r="B7" s="357" t="s">
        <v>16</v>
      </c>
      <c r="C7" s="367" t="s">
        <v>38</v>
      </c>
      <c r="D7" s="179" t="s">
        <v>367</v>
      </c>
      <c r="E7" s="369" t="s">
        <v>40</v>
      </c>
      <c r="O7" s="24" t="s">
        <v>200</v>
      </c>
    </row>
    <row r="8" spans="2:15">
      <c r="B8" s="362"/>
      <c r="C8" s="368"/>
      <c r="D8" s="179" t="s">
        <v>203</v>
      </c>
      <c r="E8" s="370"/>
    </row>
    <row r="9" spans="2:15">
      <c r="B9" s="362"/>
      <c r="C9" s="368"/>
      <c r="D9" s="179" t="s">
        <v>356</v>
      </c>
      <c r="E9" s="370"/>
    </row>
    <row r="10" spans="2:15">
      <c r="B10" s="362"/>
      <c r="C10" s="368"/>
      <c r="D10" s="179" t="s">
        <v>371</v>
      </c>
      <c r="E10" s="370"/>
    </row>
    <row r="11" spans="2:15">
      <c r="B11" s="362"/>
      <c r="C11" s="368"/>
      <c r="D11" s="179" t="s">
        <v>216</v>
      </c>
      <c r="E11" s="370"/>
    </row>
    <row r="12" spans="2:15">
      <c r="B12" s="362"/>
      <c r="C12" s="368"/>
      <c r="D12" s="179" t="s">
        <v>372</v>
      </c>
      <c r="E12" s="370"/>
    </row>
    <row r="13" spans="2:15">
      <c r="B13" s="362"/>
      <c r="C13" s="368"/>
      <c r="D13" s="179" t="s">
        <v>204</v>
      </c>
      <c r="E13" s="370"/>
    </row>
    <row r="14" spans="2:15">
      <c r="B14" s="362"/>
      <c r="C14" s="368"/>
      <c r="D14" s="179" t="s">
        <v>366</v>
      </c>
      <c r="E14" s="370"/>
    </row>
    <row r="15" spans="2:15">
      <c r="B15" s="362"/>
      <c r="C15" s="368"/>
      <c r="D15" s="179" t="s">
        <v>263</v>
      </c>
      <c r="E15" s="370"/>
    </row>
    <row r="16" spans="2:15">
      <c r="B16" s="362"/>
      <c r="C16" s="368"/>
      <c r="D16" s="179" t="s">
        <v>205</v>
      </c>
      <c r="E16" s="370"/>
    </row>
    <row r="17" spans="2:5">
      <c r="B17" s="362"/>
      <c r="C17" s="368"/>
      <c r="D17" s="179" t="s">
        <v>325</v>
      </c>
      <c r="E17" s="370"/>
    </row>
    <row r="18" spans="2:5">
      <c r="B18" s="362"/>
      <c r="C18" s="368"/>
      <c r="D18" s="179" t="s">
        <v>341</v>
      </c>
      <c r="E18" s="370"/>
    </row>
    <row r="19" spans="2:5">
      <c r="B19" s="362"/>
      <c r="C19" s="368"/>
      <c r="D19" s="179"/>
      <c r="E19" s="370"/>
    </row>
    <row r="20" spans="2:5" ht="76.5">
      <c r="B20" s="4" t="s">
        <v>21</v>
      </c>
      <c r="C20" s="5" t="s">
        <v>41</v>
      </c>
      <c r="D20" s="4" t="s">
        <v>39</v>
      </c>
      <c r="E20" s="6" t="s">
        <v>35</v>
      </c>
    </row>
    <row r="21" spans="2:5" ht="51">
      <c r="B21" s="11" t="s">
        <v>29</v>
      </c>
      <c r="C21" s="5" t="s">
        <v>42</v>
      </c>
      <c r="D21" s="4" t="s">
        <v>39</v>
      </c>
      <c r="E21" s="6" t="s">
        <v>43</v>
      </c>
    </row>
    <row r="22" spans="2:5" ht="38.25">
      <c r="B22" s="4" t="s">
        <v>15</v>
      </c>
      <c r="C22" s="5" t="s">
        <v>44</v>
      </c>
      <c r="D22" s="4" t="s">
        <v>39</v>
      </c>
      <c r="E22" s="6" t="s">
        <v>45</v>
      </c>
    </row>
    <row r="23" spans="2:5" ht="21.75" customHeight="1">
      <c r="B23" s="361" t="s">
        <v>17</v>
      </c>
      <c r="C23" s="354" t="s">
        <v>131</v>
      </c>
      <c r="D23" s="10" t="s">
        <v>64</v>
      </c>
      <c r="E23" s="341" t="s">
        <v>40</v>
      </c>
    </row>
    <row r="24" spans="2:5" ht="21.75" customHeight="1">
      <c r="B24" s="362"/>
      <c r="C24" s="340"/>
      <c r="D24" s="10" t="s">
        <v>65</v>
      </c>
      <c r="E24" s="342"/>
    </row>
    <row r="25" spans="2:5" ht="21.75" customHeight="1">
      <c r="B25" s="363"/>
      <c r="C25" s="355"/>
      <c r="D25" s="10" t="s">
        <v>66</v>
      </c>
      <c r="E25" s="356"/>
    </row>
    <row r="26" spans="2:5" ht="89.25">
      <c r="B26" s="4" t="s">
        <v>24</v>
      </c>
      <c r="C26" s="5" t="s">
        <v>46</v>
      </c>
      <c r="D26" s="4" t="s">
        <v>39</v>
      </c>
      <c r="E26" s="6" t="s">
        <v>35</v>
      </c>
    </row>
    <row r="27" spans="2:5" ht="22.5" customHeight="1">
      <c r="B27" s="364" t="s">
        <v>125</v>
      </c>
      <c r="C27" s="354" t="s">
        <v>132</v>
      </c>
      <c r="D27" s="10" t="s">
        <v>64</v>
      </c>
      <c r="E27" s="341" t="s">
        <v>133</v>
      </c>
    </row>
    <row r="28" spans="2:5" ht="22.5" customHeight="1">
      <c r="B28" s="365"/>
      <c r="C28" s="340"/>
      <c r="D28" s="10" t="s">
        <v>65</v>
      </c>
      <c r="E28" s="342"/>
    </row>
    <row r="29" spans="2:5" ht="22.5" customHeight="1">
      <c r="B29" s="366"/>
      <c r="C29" s="355"/>
      <c r="D29" s="10" t="s">
        <v>66</v>
      </c>
      <c r="E29" s="356"/>
    </row>
    <row r="30" spans="2:5" ht="51">
      <c r="B30" s="4" t="s">
        <v>23</v>
      </c>
      <c r="C30" s="5" t="s">
        <v>47</v>
      </c>
      <c r="D30" s="4" t="s">
        <v>39</v>
      </c>
      <c r="E30" s="6" t="s">
        <v>35</v>
      </c>
    </row>
    <row r="31" spans="2:5" ht="25.5">
      <c r="B31" s="4" t="s">
        <v>14</v>
      </c>
      <c r="C31" s="5" t="s">
        <v>48</v>
      </c>
      <c r="D31" s="4" t="s">
        <v>39</v>
      </c>
      <c r="E31" s="6" t="s">
        <v>45</v>
      </c>
    </row>
    <row r="32" spans="2:5" ht="38.25">
      <c r="B32" s="4" t="s">
        <v>18</v>
      </c>
      <c r="C32" s="5" t="s">
        <v>49</v>
      </c>
      <c r="D32" s="4" t="s">
        <v>39</v>
      </c>
      <c r="E32" s="6" t="s">
        <v>35</v>
      </c>
    </row>
    <row r="33" spans="2:5" ht="51">
      <c r="B33" s="11" t="s">
        <v>19</v>
      </c>
      <c r="C33" s="5" t="s">
        <v>50</v>
      </c>
      <c r="D33" s="4" t="s">
        <v>39</v>
      </c>
      <c r="E33" s="6" t="s">
        <v>51</v>
      </c>
    </row>
    <row r="34" spans="2:5" ht="63.75">
      <c r="B34" s="4" t="s">
        <v>4</v>
      </c>
      <c r="C34" s="5" t="s">
        <v>52</v>
      </c>
      <c r="D34" s="10" t="s">
        <v>90</v>
      </c>
      <c r="E34" s="6" t="s">
        <v>35</v>
      </c>
    </row>
    <row r="35" spans="2:5" ht="25.5">
      <c r="B35" s="10" t="s">
        <v>200</v>
      </c>
      <c r="C35" s="5" t="s">
        <v>36</v>
      </c>
      <c r="D35" s="4" t="s">
        <v>37</v>
      </c>
      <c r="E35" s="6" t="s">
        <v>35</v>
      </c>
    </row>
    <row r="36" spans="2:5" ht="38.25">
      <c r="B36" s="4" t="s">
        <v>8</v>
      </c>
      <c r="C36" s="5" t="s">
        <v>53</v>
      </c>
      <c r="D36" s="4" t="s">
        <v>39</v>
      </c>
      <c r="E36" s="6" t="s">
        <v>35</v>
      </c>
    </row>
    <row r="37" spans="2:5" ht="25.5" customHeight="1">
      <c r="B37" s="357" t="s">
        <v>6</v>
      </c>
      <c r="C37" s="339" t="s">
        <v>54</v>
      </c>
      <c r="D37" s="10" t="s">
        <v>134</v>
      </c>
      <c r="E37" s="341" t="s">
        <v>43</v>
      </c>
    </row>
    <row r="38" spans="2:5" ht="25.5">
      <c r="B38" s="358"/>
      <c r="C38" s="359"/>
      <c r="D38" s="21" t="s">
        <v>135</v>
      </c>
      <c r="E38" s="360"/>
    </row>
    <row r="39" spans="2:5" ht="63.75">
      <c r="B39" s="4" t="s">
        <v>28</v>
      </c>
      <c r="C39" s="5" t="s">
        <v>55</v>
      </c>
      <c r="D39" s="4" t="s">
        <v>56</v>
      </c>
      <c r="E39" s="6" t="s">
        <v>35</v>
      </c>
    </row>
    <row r="40" spans="2:5" ht="38.25">
      <c r="B40" s="11" t="s">
        <v>7</v>
      </c>
      <c r="C40" s="5" t="s">
        <v>57</v>
      </c>
      <c r="D40" s="4" t="s">
        <v>39</v>
      </c>
      <c r="E40" s="6" t="s">
        <v>43</v>
      </c>
    </row>
    <row r="41" spans="2:5" ht="17.25" customHeight="1">
      <c r="B41" s="361" t="s">
        <v>5</v>
      </c>
      <c r="C41" s="339" t="s">
        <v>136</v>
      </c>
      <c r="D41" s="10" t="s">
        <v>67</v>
      </c>
      <c r="E41" s="341" t="s">
        <v>40</v>
      </c>
    </row>
    <row r="42" spans="2:5" ht="17.25" customHeight="1">
      <c r="B42" s="362"/>
      <c r="C42" s="340"/>
      <c r="D42" s="10" t="s">
        <v>69</v>
      </c>
      <c r="E42" s="342"/>
    </row>
    <row r="43" spans="2:5" ht="17.25" customHeight="1">
      <c r="B43" s="362"/>
      <c r="C43" s="340"/>
      <c r="D43" s="10" t="s">
        <v>71</v>
      </c>
      <c r="E43" s="342"/>
    </row>
    <row r="44" spans="2:5" ht="17.25" customHeight="1">
      <c r="B44" s="363"/>
      <c r="C44" s="355"/>
      <c r="D44" s="10" t="s">
        <v>73</v>
      </c>
      <c r="E44" s="356"/>
    </row>
    <row r="45" spans="2:5" ht="51">
      <c r="B45" s="4" t="s">
        <v>22</v>
      </c>
      <c r="C45" s="5" t="s">
        <v>58</v>
      </c>
      <c r="D45" s="4" t="s">
        <v>39</v>
      </c>
      <c r="E45" s="6" t="s">
        <v>35</v>
      </c>
    </row>
    <row r="46" spans="2:5" ht="36.75" customHeight="1">
      <c r="B46" s="337" t="s">
        <v>27</v>
      </c>
      <c r="C46" s="339" t="s">
        <v>59</v>
      </c>
      <c r="D46" s="10" t="s">
        <v>74</v>
      </c>
      <c r="E46" s="341" t="s">
        <v>35</v>
      </c>
    </row>
    <row r="47" spans="2:5" ht="36.75" customHeight="1">
      <c r="B47" s="349"/>
      <c r="C47" s="349"/>
      <c r="D47" s="4" t="s">
        <v>76</v>
      </c>
      <c r="E47" s="351"/>
    </row>
    <row r="48" spans="2:5" ht="36.75" customHeight="1">
      <c r="B48" s="350"/>
      <c r="C48" s="350"/>
      <c r="D48" s="10" t="s">
        <v>137</v>
      </c>
      <c r="E48" s="352"/>
    </row>
    <row r="49" spans="2:5" ht="27.75" customHeight="1">
      <c r="B49" s="337" t="s">
        <v>25</v>
      </c>
      <c r="C49" s="354" t="s">
        <v>89</v>
      </c>
      <c r="D49" s="10" t="s">
        <v>78</v>
      </c>
      <c r="E49" s="341" t="s">
        <v>35</v>
      </c>
    </row>
    <row r="50" spans="2:5" ht="27.75" customHeight="1">
      <c r="B50" s="353"/>
      <c r="C50" s="355"/>
      <c r="D50" s="10" t="s">
        <v>80</v>
      </c>
      <c r="E50" s="356"/>
    </row>
    <row r="51" spans="2:5" ht="24.75" customHeight="1">
      <c r="B51" s="337" t="s">
        <v>26</v>
      </c>
      <c r="C51" s="339" t="s">
        <v>60</v>
      </c>
      <c r="D51" s="10" t="s">
        <v>82</v>
      </c>
      <c r="E51" s="341" t="s">
        <v>35</v>
      </c>
    </row>
    <row r="52" spans="2:5" ht="18.75" customHeight="1">
      <c r="B52" s="338"/>
      <c r="C52" s="340"/>
      <c r="D52" s="10" t="s">
        <v>92</v>
      </c>
      <c r="E52" s="342"/>
    </row>
    <row r="53" spans="2:5" ht="18.75" customHeight="1">
      <c r="B53" s="338"/>
      <c r="C53" s="340"/>
      <c r="D53" s="10" t="s">
        <v>93</v>
      </c>
      <c r="E53" s="342"/>
    </row>
    <row r="54" spans="2:5">
      <c r="B54" s="343" t="s">
        <v>97</v>
      </c>
      <c r="C54" s="345" t="s">
        <v>84</v>
      </c>
      <c r="D54" s="10" t="s">
        <v>138</v>
      </c>
      <c r="E54" s="347" t="s">
        <v>51</v>
      </c>
    </row>
    <row r="55" spans="2:5">
      <c r="B55" s="344"/>
      <c r="C55" s="346"/>
      <c r="D55" s="10" t="s">
        <v>95</v>
      </c>
      <c r="E55" s="348"/>
    </row>
    <row r="56" spans="2:5">
      <c r="B56" s="344"/>
      <c r="C56" s="346"/>
      <c r="D56" s="10" t="s">
        <v>96</v>
      </c>
      <c r="E56" s="348"/>
    </row>
    <row r="57" spans="2:5" ht="217.5" customHeight="1">
      <c r="B57" s="10" t="s">
        <v>139</v>
      </c>
      <c r="C57" s="13" t="s">
        <v>140</v>
      </c>
      <c r="D57" s="4" t="s">
        <v>141</v>
      </c>
      <c r="E57" s="6" t="s">
        <v>40</v>
      </c>
    </row>
    <row r="70" spans="2:2">
      <c r="B70" s="28"/>
    </row>
  </sheetData>
  <mergeCells count="30">
    <mergeCell ref="B5:B6"/>
    <mergeCell ref="C5:C6"/>
    <mergeCell ref="E5:E6"/>
    <mergeCell ref="B7:B19"/>
    <mergeCell ref="C7:C19"/>
    <mergeCell ref="E7:E19"/>
    <mergeCell ref="B23:B25"/>
    <mergeCell ref="C23:C25"/>
    <mergeCell ref="E23:E25"/>
    <mergeCell ref="B27:B29"/>
    <mergeCell ref="C27:C29"/>
    <mergeCell ref="E27:E29"/>
    <mergeCell ref="B37:B38"/>
    <mergeCell ref="C37:C38"/>
    <mergeCell ref="E37:E38"/>
    <mergeCell ref="B41:B44"/>
    <mergeCell ref="C41:C44"/>
    <mergeCell ref="E41:E44"/>
    <mergeCell ref="B46:B48"/>
    <mergeCell ref="C46:C48"/>
    <mergeCell ref="E46:E48"/>
    <mergeCell ref="B49:B50"/>
    <mergeCell ref="C49:C50"/>
    <mergeCell ref="E49:E50"/>
    <mergeCell ref="B51:B53"/>
    <mergeCell ref="C51:C53"/>
    <mergeCell ref="E51:E53"/>
    <mergeCell ref="B54:B56"/>
    <mergeCell ref="C54:C56"/>
    <mergeCell ref="E54:E56"/>
  </mergeCells>
  <phoneticPr fontId="3" type="noConversion"/>
  <pageMargins left="0.67" right="0.75" top="0.79" bottom="0.7" header="0" footer="0.17"/>
  <pageSetup paperSize="9" scale="83" fitToHeight="2" orientation="portrait" verticalDpi="0" r:id="rId1"/>
  <headerFooter alignWithMargins="0"/>
  <cellWatches>
    <cellWatch r="D37"/>
    <cellWatch r="D38"/>
  </cellWatch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O63"/>
  <sheetViews>
    <sheetView showGridLines="0" zoomScale="75" workbookViewId="0">
      <pane ySplit="4" topLeftCell="A5" activePane="bottomLeft" state="frozen"/>
      <selection activeCell="A5" sqref="A5"/>
      <selection pane="bottomLeft" activeCell="C13" sqref="C13"/>
    </sheetView>
  </sheetViews>
  <sheetFormatPr baseColWidth="10" defaultColWidth="9.140625" defaultRowHeight="12.75"/>
  <cols>
    <col min="1" max="1" width="4.42578125" style="7" customWidth="1"/>
    <col min="2" max="2" width="26.42578125" style="7" bestFit="1" customWidth="1"/>
    <col min="3" max="3" width="27" style="7" bestFit="1" customWidth="1"/>
    <col min="4" max="4" width="52.85546875" style="7" customWidth="1"/>
    <col min="5" max="16384" width="9.140625" style="7"/>
  </cols>
  <sheetData>
    <row r="2" spans="1:15" customFormat="1" ht="18">
      <c r="B2" s="1" t="s">
        <v>86</v>
      </c>
    </row>
    <row r="4" spans="1:15">
      <c r="B4" s="30" t="s">
        <v>30</v>
      </c>
      <c r="C4" s="30" t="s">
        <v>61</v>
      </c>
      <c r="D4" s="30" t="s">
        <v>62</v>
      </c>
    </row>
    <row r="5" spans="1:15" ht="38.25">
      <c r="A5" s="23"/>
      <c r="B5" s="9" t="s">
        <v>17</v>
      </c>
      <c r="C5" s="12" t="s">
        <v>64</v>
      </c>
      <c r="D5" s="13" t="s">
        <v>157</v>
      </c>
    </row>
    <row r="6" spans="1:15" ht="51">
      <c r="B6" s="9" t="s">
        <v>17</v>
      </c>
      <c r="C6" s="12" t="s">
        <v>65</v>
      </c>
      <c r="D6" s="13" t="s">
        <v>158</v>
      </c>
    </row>
    <row r="7" spans="1:15">
      <c r="B7" s="9" t="s">
        <v>17</v>
      </c>
      <c r="C7" s="12" t="s">
        <v>66</v>
      </c>
      <c r="D7" s="5" t="s">
        <v>63</v>
      </c>
      <c r="O7" s="24" t="s">
        <v>200</v>
      </c>
    </row>
    <row r="8" spans="1:15" ht="38.25">
      <c r="B8" s="9" t="s">
        <v>125</v>
      </c>
      <c r="C8" s="9" t="s">
        <v>64</v>
      </c>
      <c r="D8" s="13" t="s">
        <v>142</v>
      </c>
    </row>
    <row r="9" spans="1:15" ht="25.5">
      <c r="B9" s="9" t="s">
        <v>125</v>
      </c>
      <c r="C9" s="9" t="s">
        <v>65</v>
      </c>
      <c r="D9" s="13" t="s">
        <v>143</v>
      </c>
    </row>
    <row r="10" spans="1:15" ht="38.25">
      <c r="B10" s="9" t="s">
        <v>125</v>
      </c>
      <c r="C10" s="9" t="s">
        <v>66</v>
      </c>
      <c r="D10" s="13" t="s">
        <v>144</v>
      </c>
    </row>
    <row r="11" spans="1:15">
      <c r="B11" s="9" t="s">
        <v>6</v>
      </c>
      <c r="C11" s="9" t="s">
        <v>145</v>
      </c>
      <c r="D11" s="5" t="s">
        <v>146</v>
      </c>
    </row>
    <row r="12" spans="1:15" ht="25.5">
      <c r="B12" s="9" t="s">
        <v>6</v>
      </c>
      <c r="C12" s="9" t="s">
        <v>147</v>
      </c>
      <c r="D12" s="5" t="s">
        <v>148</v>
      </c>
    </row>
    <row r="13" spans="1:15">
      <c r="B13" s="9" t="s">
        <v>5</v>
      </c>
      <c r="C13" s="9" t="s">
        <v>67</v>
      </c>
      <c r="D13" s="5" t="s">
        <v>68</v>
      </c>
    </row>
    <row r="14" spans="1:15">
      <c r="B14" s="9" t="s">
        <v>5</v>
      </c>
      <c r="C14" s="9" t="s">
        <v>69</v>
      </c>
      <c r="D14" s="5" t="s">
        <v>70</v>
      </c>
    </row>
    <row r="15" spans="1:15" ht="25.5">
      <c r="B15" s="9" t="s">
        <v>5</v>
      </c>
      <c r="C15" s="9" t="s">
        <v>71</v>
      </c>
      <c r="D15" s="5" t="s">
        <v>72</v>
      </c>
    </row>
    <row r="16" spans="1:15" ht="25.5">
      <c r="B16" s="9" t="s">
        <v>5</v>
      </c>
      <c r="C16" s="9" t="s">
        <v>73</v>
      </c>
      <c r="D16" s="5" t="s">
        <v>149</v>
      </c>
    </row>
    <row r="17" spans="2:5" ht="25.5">
      <c r="B17" s="9" t="s">
        <v>27</v>
      </c>
      <c r="C17" s="9" t="s">
        <v>74</v>
      </c>
      <c r="D17" s="5" t="s">
        <v>75</v>
      </c>
    </row>
    <row r="18" spans="2:5" ht="25.5">
      <c r="B18" s="9" t="s">
        <v>27</v>
      </c>
      <c r="C18" s="9" t="s">
        <v>76</v>
      </c>
      <c r="D18" s="5" t="s">
        <v>77</v>
      </c>
    </row>
    <row r="19" spans="2:5" ht="25.5">
      <c r="B19" s="9" t="s">
        <v>27</v>
      </c>
      <c r="C19" s="12" t="s">
        <v>150</v>
      </c>
      <c r="D19" s="13" t="s">
        <v>151</v>
      </c>
    </row>
    <row r="20" spans="2:5" ht="38.25">
      <c r="B20" s="9" t="s">
        <v>25</v>
      </c>
      <c r="C20" s="9" t="s">
        <v>78</v>
      </c>
      <c r="D20" s="5" t="s">
        <v>79</v>
      </c>
    </row>
    <row r="21" spans="2:5" ht="38.25">
      <c r="B21" s="9" t="s">
        <v>25</v>
      </c>
      <c r="C21" s="9" t="s">
        <v>80</v>
      </c>
      <c r="D21" s="5" t="s">
        <v>81</v>
      </c>
    </row>
    <row r="22" spans="2:5" ht="38.25">
      <c r="B22" s="9" t="s">
        <v>26</v>
      </c>
      <c r="C22" s="9" t="s">
        <v>82</v>
      </c>
      <c r="D22" s="13" t="s">
        <v>94</v>
      </c>
    </row>
    <row r="23" spans="2:5" ht="51">
      <c r="B23" s="9" t="s">
        <v>26</v>
      </c>
      <c r="C23" s="12" t="s">
        <v>92</v>
      </c>
      <c r="D23" s="13" t="s">
        <v>159</v>
      </c>
    </row>
    <row r="24" spans="2:5" ht="25.5">
      <c r="B24" s="9" t="s">
        <v>26</v>
      </c>
      <c r="C24" s="12" t="s">
        <v>93</v>
      </c>
      <c r="D24" s="5" t="s">
        <v>83</v>
      </c>
    </row>
    <row r="25" spans="2:5">
      <c r="B25" s="12" t="s">
        <v>97</v>
      </c>
      <c r="C25" s="12" t="s">
        <v>138</v>
      </c>
      <c r="D25" s="13" t="s">
        <v>98</v>
      </c>
    </row>
    <row r="26" spans="2:5">
      <c r="B26" s="9" t="s">
        <v>97</v>
      </c>
      <c r="C26" s="12" t="s">
        <v>95</v>
      </c>
      <c r="D26" s="13" t="s">
        <v>99</v>
      </c>
    </row>
    <row r="27" spans="2:5" ht="25.5">
      <c r="B27" s="9" t="s">
        <v>97</v>
      </c>
      <c r="C27" s="12" t="s">
        <v>96</v>
      </c>
      <c r="D27" s="13" t="s">
        <v>100</v>
      </c>
    </row>
    <row r="28" spans="2:5">
      <c r="B28" s="20"/>
    </row>
    <row r="31" spans="2:5">
      <c r="B31" s="20"/>
      <c r="C31" s="20"/>
      <c r="D31" s="20"/>
      <c r="E31" s="20"/>
    </row>
    <row r="63" spans="2:2">
      <c r="B63" s="27"/>
    </row>
  </sheetData>
  <phoneticPr fontId="3" type="noConversion"/>
  <pageMargins left="0.65" right="0.28999999999999998" top="0.22" bottom="0.2" header="0" footer="0"/>
  <pageSetup paperSize="9" scale="85" orientation="portrait"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92104E3E7138024FBF244EFED6361BBE" ma:contentTypeVersion="10" ma:contentTypeDescription="Crear nuevo documento." ma:contentTypeScope="" ma:versionID="2a7419eab934d2648fcd7df123a1228a">
  <xsd:schema xmlns:xsd="http://www.w3.org/2001/XMLSchema" xmlns:xs="http://www.w3.org/2001/XMLSchema" xmlns:p="http://schemas.microsoft.com/office/2006/metadata/properties" xmlns:ns2="b06d8e57-2d0a-42d4-8735-1dfabcf6e3d4" targetNamespace="http://schemas.microsoft.com/office/2006/metadata/properties" ma:root="true" ma:fieldsID="14063e83bb2ca9f43d9d10d720dcc15a" ns2:_="">
    <xsd:import namespace="b06d8e57-2d0a-42d4-8735-1dfabcf6e3d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6d8e57-2d0a-42d4-8735-1dfabcf6e3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082F95F-F3CF-46BA-849C-E45CA4EFDDE8}">
  <ds:schemaRefs>
    <ds:schemaRef ds:uri="http://schemas.microsoft.com/sharepoint/v3/contenttype/forms"/>
  </ds:schemaRefs>
</ds:datastoreItem>
</file>

<file path=customXml/itemProps2.xml><?xml version="1.0" encoding="utf-8"?>
<ds:datastoreItem xmlns:ds="http://schemas.openxmlformats.org/officeDocument/2006/customXml" ds:itemID="{78A56462-74FC-495E-96DC-6C7102F3BF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6d8e57-2d0a-42d4-8735-1dfabcf6e3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0710DFC-A19B-4C6A-B1BD-342863031E5B}">
  <ds:schemaRefs>
    <ds:schemaRef ds:uri="http://schemas.microsoft.com/office/2006/documentManagement/types"/>
    <ds:schemaRef ds:uri="http://purl.org/dc/dcmitype/"/>
    <ds:schemaRef ds:uri="http://schemas.microsoft.com/office/infopath/2007/PartnerControls"/>
    <ds:schemaRef ds:uri="http://purl.org/dc/elements/1.1/"/>
    <ds:schemaRef ds:uri="http://schemas.openxmlformats.org/package/2006/metadata/core-properties"/>
    <ds:schemaRef ds:uri="http://www.w3.org/XML/1998/namespace"/>
    <ds:schemaRef ds:uri="b06d8e57-2d0a-42d4-8735-1dfabcf6e3d4"/>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17</vt:i4>
      </vt:variant>
    </vt:vector>
  </HeadingPairs>
  <TitlesOfParts>
    <vt:vector size="30" baseType="lpstr">
      <vt:lpstr>Historial_Revisiones</vt:lpstr>
      <vt:lpstr>Instrucciones</vt:lpstr>
      <vt:lpstr>Historial de Revisiones</vt:lpstr>
      <vt:lpstr>Hoja1</vt:lpstr>
      <vt:lpstr>Requerimientos de usuario</vt:lpstr>
      <vt:lpstr>Requerimientos del sistema</vt:lpstr>
      <vt:lpstr>Requerimientos no funcionales</vt:lpstr>
      <vt:lpstr>Consideraciones</vt:lpstr>
      <vt:lpstr>Observaciones a la LR</vt:lpstr>
      <vt:lpstr>Usuarios</vt:lpstr>
      <vt:lpstr>Tabla</vt:lpstr>
      <vt:lpstr>Diccionario de atributos</vt:lpstr>
      <vt:lpstr>Diccionario de valores</vt:lpstr>
      <vt:lpstr>AfectaArquitectura</vt:lpstr>
      <vt:lpstr>Aplicaciones</vt:lpstr>
      <vt:lpstr>Autor_Registro</vt:lpstr>
      <vt:lpstr>Contacto</vt:lpstr>
      <vt:lpstr>Dificultad</vt:lpstr>
      <vt:lpstr>EsInterfaz</vt:lpstr>
      <vt:lpstr>Estabilidad</vt:lpstr>
      <vt:lpstr>Idrequs</vt:lpstr>
      <vt:lpstr>IdReqUsuario</vt:lpstr>
      <vt:lpstr>Líneas</vt:lpstr>
      <vt:lpstr>Origen</vt:lpstr>
      <vt:lpstr>Prioridad</vt:lpstr>
      <vt:lpstr>Revisores</vt:lpstr>
      <vt:lpstr>Situacion</vt:lpstr>
      <vt:lpstr>TipoDeDesarrollo</vt:lpstr>
      <vt:lpstr>TipoDeFlujo</vt:lpstr>
      <vt:lpstr>TipoRequerimientoDeSistema</vt:lpstr>
    </vt:vector>
  </TitlesOfParts>
  <Company>GMD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Rosario Gamonal Diaz</dc:creator>
  <cp:lastModifiedBy>Erick Ramos Aparicio</cp:lastModifiedBy>
  <cp:lastPrinted>2007-08-13T22:35:29Z</cp:lastPrinted>
  <dcterms:created xsi:type="dcterms:W3CDTF">2005-08-19T15:54:06Z</dcterms:created>
  <dcterms:modified xsi:type="dcterms:W3CDTF">2023-05-04T20:53:24Z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47a0dacf-d519-4003-831d-589b6eaf0ad4</vt:lpwstr>
  </property>
  <property fmtid="{D5CDD505-2E9C-101B-9397-08002B2CF9AE}" pid="3" name="ContentTypeId">
    <vt:lpwstr>0x01010092104E3E7138024FBF244EFED6361BBE</vt:lpwstr>
  </property>
</Properties>
</file>