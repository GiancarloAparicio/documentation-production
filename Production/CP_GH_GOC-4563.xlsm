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650" tabRatio="724" firstSheet="1" activeTab="1" autoFilterDateGrouping="1"/>
  </bookViews>
  <sheets>
    <sheet xmlns:r="http://schemas.openxmlformats.org/officeDocument/2006/relationships" name="Historial_Revisiones" sheetId="1" state="hidden" r:id="rId1"/>
    <sheet xmlns:r="http://schemas.openxmlformats.org/officeDocument/2006/relationships" name="Instructivo" sheetId="2" state="visible" r:id="rId2"/>
    <sheet xmlns:r="http://schemas.openxmlformats.org/officeDocument/2006/relationships" name="Historial de Revisiones" sheetId="3" state="visible" r:id="rId3"/>
    <sheet xmlns:r="http://schemas.openxmlformats.org/officeDocument/2006/relationships" name="Resumen Escenarios" sheetId="4" state="visible" r:id="rId4"/>
    <sheet xmlns:r="http://schemas.openxmlformats.org/officeDocument/2006/relationships" name="Escenario 001" sheetId="5" state="visible" r:id="rId5"/>
    <sheet xmlns:r="http://schemas.openxmlformats.org/officeDocument/2006/relationships" name="Evidencias Pruebas" sheetId="6" state="hidden" r:id="rId6"/>
    <sheet xmlns:r="http://schemas.openxmlformats.org/officeDocument/2006/relationships" name="Tabla" sheetId="7" state="hidden" r:id="rId7"/>
    <sheet xmlns:r="http://schemas.openxmlformats.org/officeDocument/2006/relationships" name="Sheet1" sheetId="8" state="hidden" r:id="rId8"/>
  </sheets>
  <definedNames>
    <definedName name="Analista">Tabla!$D$4:$D$8</definedName>
    <definedName name="Autor_Registro">Tabla!$B$4:$B$25</definedName>
    <definedName name="RevisionSheet" localSheetId="3">'Historial de Revisiones'!$B$17</definedName>
  </definedNames>
  <calcPr calcId="162913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_([$€]\ * #,##0.00_);_([$€]\ * \(#,##0.00\);_([$€]\ * &quot;-&quot;??_);_(@_)"/>
  </numFmts>
  <fonts count="3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8"/>
    </font>
    <font>
      <name val="Arial"/>
      <family val="2"/>
      <b val="1"/>
      <sz val="10"/>
    </font>
    <font>
      <name val="Arial"/>
      <family val="2"/>
      <b val="1"/>
      <sz val="9"/>
    </font>
    <font>
      <name val="Times New Roman"/>
      <family val="1"/>
      <i val="1"/>
      <sz val="12"/>
    </font>
    <font>
      <name val="Times New Roman"/>
      <family val="1"/>
      <sz val="12"/>
    </font>
    <font>
      <name val="Times New Roman"/>
      <family val="1"/>
      <b val="1"/>
      <i val="1"/>
      <sz val="12"/>
    </font>
    <font>
      <name val="Times New Roman"/>
      <family val="1"/>
      <color indexed="12"/>
      <sz val="12"/>
    </font>
    <font>
      <name val="Geneva"/>
      <color indexed="10"/>
      <sz val="9"/>
    </font>
    <font>
      <name val="Arial"/>
      <family val="2"/>
      <sz val="8"/>
    </font>
    <font>
      <name val="Geneva"/>
      <sz val="9"/>
    </font>
    <font>
      <name val="Arial"/>
      <family val="2"/>
      <sz val="10"/>
    </font>
    <font>
      <name val="Arial"/>
      <family val="2"/>
      <color indexed="10"/>
      <sz val="10"/>
    </font>
    <font>
      <name val="Arial"/>
      <family val="2"/>
      <color indexed="8"/>
      <sz val="8"/>
    </font>
    <font>
      <name val="Arial"/>
      <family val="2"/>
      <b val="1"/>
      <sz val="8"/>
    </font>
    <font>
      <name val="Arial"/>
      <family val="2"/>
      <b val="1"/>
      <color indexed="9"/>
      <sz val="8"/>
    </font>
    <font>
      <name val="Arial"/>
      <family val="2"/>
      <b val="1"/>
      <sz val="8"/>
    </font>
    <font>
      <name val="Geneva"/>
      <family val="2"/>
      <color indexed="10"/>
      <sz val="9"/>
    </font>
    <font>
      <name val="Geneva"/>
      <family val="2"/>
      <sz val="9"/>
    </font>
    <font>
      <name val="Arial"/>
      <family val="2"/>
      <sz val="9"/>
    </font>
    <font>
      <name val="Arial"/>
      <family val="2"/>
      <b val="1"/>
      <sz val="12"/>
    </font>
    <font>
      <name val="Arial"/>
      <family val="2"/>
      <color indexed="8"/>
      <sz val="10"/>
    </font>
    <font>
      <name val="Arial"/>
      <family val="2"/>
      <b val="1"/>
      <color theme="0"/>
      <sz val="10"/>
    </font>
    <font>
      <name val="Segoe UI"/>
      <family val="2"/>
      <sz val="11"/>
    </font>
    <font>
      <name val="Arial"/>
      <family val="2"/>
      <sz val="10"/>
      <u val="single"/>
    </font>
  </fonts>
  <fills count="10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theme="0" tint="-0.1499984740745262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2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2"/>
      </right>
      <top style="thin">
        <color indexed="64"/>
      </top>
      <bottom/>
      <diagonal/>
    </border>
  </borders>
  <cellStyleXfs count="73">
    <xf numFmtId="0" fontId="0" fillId="0" borderId="0"/>
    <xf numFmtId="0" fontId="15" fillId="0" borderId="0"/>
    <xf numFmtId="0" fontId="18" fillId="0" borderId="0"/>
    <xf numFmtId="0" fontId="15" fillId="0" borderId="0"/>
    <xf numFmtId="0" fontId="15" fillId="0" borderId="0"/>
    <xf numFmtId="0" fontId="15" fillId="0" borderId="0"/>
    <xf numFmtId="0" fontId="18" fillId="0" borderId="0"/>
    <xf numFmtId="0" fontId="18" fillId="0" borderId="0"/>
    <xf numFmtId="0" fontId="15" fillId="0" borderId="0"/>
    <xf numFmtId="0" fontId="18" fillId="0" borderId="0"/>
    <xf numFmtId="0" fontId="18" fillId="0" borderId="0"/>
    <xf numFmtId="0" fontId="2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165" fontId="24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18" fillId="0" borderId="0"/>
    <xf numFmtId="9" fontId="18" fillId="0" borderId="0"/>
    <xf numFmtId="0" fontId="24" fillId="0" borderId="0"/>
    <xf numFmtId="0" fontId="18" fillId="0" borderId="0"/>
    <xf numFmtId="0" fontId="24" fillId="0" borderId="0"/>
    <xf numFmtId="0" fontId="24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0" fontId="24" fillId="0" borderId="0"/>
    <xf numFmtId="0" fontId="18" fillId="0" borderId="0"/>
    <xf numFmtId="0" fontId="18" fillId="0" borderId="0"/>
    <xf numFmtId="0" fontId="15" fillId="0" borderId="0"/>
    <xf numFmtId="0" fontId="1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5" fillId="0" borderId="0"/>
    <xf numFmtId="0" fontId="18" fillId="0" borderId="0"/>
    <xf numFmtId="0" fontId="15" fillId="0" borderId="0"/>
    <xf numFmtId="0" fontId="18" fillId="0" borderId="0"/>
    <xf numFmtId="0" fontId="15" fillId="0" borderId="0"/>
    <xf numFmtId="0" fontId="18" fillId="0" borderId="0"/>
    <xf numFmtId="0" fontId="15" fillId="0" borderId="0"/>
    <xf numFmtId="0" fontId="18" fillId="0" borderId="0"/>
    <xf numFmtId="0" fontId="1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6" fillId="0" borderId="0"/>
  </cellStyleXfs>
  <cellXfs count="197">
    <xf numFmtId="0" fontId="0" fillId="0" borderId="0" pivotButton="0" quotePrefix="0" xfId="0"/>
    <xf numFmtId="0" fontId="9" fillId="0" borderId="0" pivotButton="0" quotePrefix="0" xfId="2"/>
    <xf numFmtId="0" fontId="11" fillId="0" borderId="0" applyAlignment="1" pivotButton="0" quotePrefix="0" xfId="2">
      <alignment vertical="top" wrapText="1"/>
    </xf>
    <xf numFmtId="0" fontId="12" fillId="0" borderId="0" applyAlignment="1" pivotButton="0" quotePrefix="0" xfId="2">
      <alignment vertical="top" wrapText="1"/>
    </xf>
    <xf numFmtId="0" fontId="12" fillId="0" borderId="0" applyAlignment="1" pivotButton="0" quotePrefix="0" xfId="2">
      <alignment vertical="center" wrapText="1"/>
    </xf>
    <xf numFmtId="0" fontId="9" fillId="0" borderId="0" applyAlignment="1" pivotButton="0" quotePrefix="0" xfId="2">
      <alignment horizontal="center"/>
    </xf>
    <xf numFmtId="0" fontId="9" fillId="0" borderId="0" applyAlignment="1" pivotButton="0" quotePrefix="0" xfId="2">
      <alignment vertical="center" wrapText="1"/>
    </xf>
    <xf numFmtId="0" fontId="7" fillId="0" borderId="0" pivotButton="0" quotePrefix="0" xfId="2"/>
    <xf numFmtId="0" fontId="7" fillId="0" borderId="0" applyAlignment="1" pivotButton="0" quotePrefix="0" xfId="2">
      <alignment horizontal="center"/>
    </xf>
    <xf numFmtId="0" fontId="9" fillId="0" borderId="0" applyAlignment="1" applyProtection="1" pivotButton="0" quotePrefix="0" xfId="2">
      <alignment vertical="center" wrapText="1"/>
      <protection locked="0" hidden="0"/>
    </xf>
    <xf numFmtId="0" fontId="18" fillId="0" borderId="0" applyAlignment="1" applyProtection="1" pivotButton="0" quotePrefix="0" xfId="2">
      <alignment vertical="center" wrapText="1"/>
      <protection locked="0" hidden="0"/>
    </xf>
    <xf numFmtId="0" fontId="9" fillId="0" borderId="0" applyAlignment="1" applyProtection="1" pivotButton="0" quotePrefix="0" xfId="2">
      <alignment horizontal="center" vertical="center" wrapText="1"/>
      <protection locked="0" hidden="0"/>
    </xf>
    <xf numFmtId="0" fontId="8" fillId="0" borderId="0" pivotButton="0" quotePrefix="0" xfId="2"/>
    <xf numFmtId="0" fontId="20" fillId="0" borderId="0" applyAlignment="1" pivotButton="0" quotePrefix="0" xfId="4">
      <alignment vertical="center" wrapText="1"/>
    </xf>
    <xf numFmtId="0" fontId="21" fillId="0" borderId="0" applyAlignment="1" applyProtection="1" pivotButton="0" quotePrefix="0" xfId="2">
      <alignment vertical="center" wrapText="1"/>
      <protection locked="0" hidden="0"/>
    </xf>
    <xf numFmtId="0" fontId="9" fillId="0" borderId="0" applyAlignment="1" pivotButton="0" quotePrefix="0" xfId="2">
      <alignment vertical="center"/>
    </xf>
    <xf numFmtId="0" fontId="16" fillId="0" borderId="0" applyAlignment="1" pivotButton="0" quotePrefix="0" xfId="4">
      <alignment vertical="center"/>
    </xf>
    <xf numFmtId="0" fontId="7" fillId="0" borderId="0" applyAlignment="1" pivotButton="0" quotePrefix="0" xfId="2">
      <alignment vertical="center"/>
    </xf>
    <xf numFmtId="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6" fillId="0" borderId="0" applyAlignment="1" pivotButton="0" quotePrefix="0" xfId="4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1" fillId="0" borderId="0" applyAlignment="1" applyProtection="1" pivotButton="0" quotePrefix="0" xfId="2">
      <alignment vertical="center" wrapText="1"/>
      <protection locked="0" hidden="0"/>
    </xf>
    <xf numFmtId="14" fontId="16" fillId="0" borderId="0" applyAlignment="1" applyProtection="1" pivotButton="0" quotePrefix="0" xfId="4">
      <alignment horizontal="left" vertical="center" wrapText="1"/>
      <protection locked="0" hidden="0"/>
    </xf>
    <xf numFmtId="0" fontId="16" fillId="0" borderId="0" applyAlignment="1" applyProtection="1" pivotButton="0" quotePrefix="0" xfId="4">
      <alignment vertical="center"/>
      <protection locked="0" hidden="0"/>
    </xf>
    <xf numFmtId="0" fontId="22" fillId="0" borderId="0" applyAlignment="1" applyProtection="1" pivotButton="0" quotePrefix="0" xfId="3">
      <alignment vertical="center" wrapText="1"/>
      <protection locked="0" hidden="0"/>
    </xf>
    <xf numFmtId="0" fontId="16" fillId="0" borderId="0" applyAlignment="1" applyProtection="1" pivotButton="0" quotePrefix="0" xfId="1">
      <alignment vertical="center"/>
      <protection locked="0" hidden="0"/>
    </xf>
    <xf numFmtId="0" fontId="9" fillId="0" borderId="0" applyAlignment="1" applyProtection="1" pivotButton="0" quotePrefix="0" xfId="2">
      <alignment vertical="center"/>
      <protection locked="0" hidden="0"/>
    </xf>
    <xf numFmtId="0" fontId="18" fillId="0" borderId="0" applyAlignment="1" applyProtection="1" pivotButton="0" quotePrefix="0" xfId="2">
      <alignment vertical="center"/>
      <protection locked="0" hidden="0"/>
    </xf>
    <xf numFmtId="0" fontId="0" fillId="0" borderId="0" applyAlignment="1" applyProtection="1" pivotButton="0" quotePrefix="0" xfId="0">
      <alignment vertical="center"/>
      <protection locked="0" hidden="0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5" fillId="0" borderId="3" pivotButton="0" quotePrefix="0" xfId="10"/>
    <xf numFmtId="0" fontId="7" fillId="6" borderId="3" pivotButton="0" quotePrefix="0" xfId="6"/>
    <xf numFmtId="0" fontId="0" fillId="0" borderId="0" pivotButton="0" quotePrefix="0" xfId="0"/>
    <xf numFmtId="0" fontId="10" fillId="0" borderId="0" pivotButton="0" quotePrefix="0" xfId="2"/>
    <xf numFmtId="0" fontId="10" fillId="0" borderId="3" applyAlignment="1" pivotButton="0" quotePrefix="0" xfId="2">
      <alignment vertical="center" wrapText="1"/>
    </xf>
    <xf numFmtId="0" fontId="10" fillId="0" borderId="0" applyAlignment="1" pivotButton="0" quotePrefix="0" xfId="2">
      <alignment horizontal="center"/>
    </xf>
    <xf numFmtId="0" fontId="26" fillId="0" borderId="0" applyAlignment="1" pivotButton="0" quotePrefix="0" xfId="2">
      <alignment horizontal="left" wrapText="1"/>
    </xf>
    <xf numFmtId="0" fontId="26" fillId="0" borderId="0" pivotButton="0" quotePrefix="0" xfId="16"/>
    <xf numFmtId="0" fontId="10" fillId="0" borderId="0" applyAlignment="1" pivotButton="0" quotePrefix="0" xfId="16">
      <alignment horizontal="left" indent="2"/>
    </xf>
    <xf numFmtId="0" fontId="26" fillId="0" borderId="0" pivotButton="0" quotePrefix="0" xfId="2"/>
    <xf numFmtId="0" fontId="10" fillId="0" borderId="0" applyAlignment="1" pivotButton="0" quotePrefix="0" xfId="2">
      <alignment horizontal="right" vertical="top" indent="3"/>
    </xf>
    <xf numFmtId="0" fontId="26" fillId="0" borderId="0" applyAlignment="1" pivotButton="0" quotePrefix="0" xfId="2">
      <alignment horizontal="right" vertical="top" indent="3"/>
    </xf>
    <xf numFmtId="0" fontId="10" fillId="0" borderId="0" applyAlignment="1" pivotButton="0" quotePrefix="0" xfId="2">
      <alignment horizontal="right" vertical="top"/>
    </xf>
    <xf numFmtId="0" fontId="26" fillId="0" borderId="0" applyAlignment="1" pivotButton="0" quotePrefix="0" xfId="2">
      <alignment horizontal="right"/>
    </xf>
    <xf numFmtId="0" fontId="26" fillId="0" borderId="0" applyAlignment="1" pivotButton="0" quotePrefix="0" xfId="2">
      <alignment horizontal="right" vertical="top"/>
    </xf>
    <xf numFmtId="0" fontId="26" fillId="0" borderId="0" applyAlignment="1" pivotButton="0" quotePrefix="0" xfId="2">
      <alignment vertical="center" wrapText="1"/>
    </xf>
    <xf numFmtId="0" fontId="10" fillId="0" borderId="0" applyAlignment="1" pivotButton="0" quotePrefix="0" xfId="2">
      <alignment horizontal="left" vertical="top" indent="1"/>
    </xf>
    <xf numFmtId="1" fontId="26" fillId="0" borderId="3" applyAlignment="1" pivotButton="0" quotePrefix="0" xfId="20">
      <alignment horizontal="center" vertical="center" wrapText="1"/>
    </xf>
    <xf numFmtId="0" fontId="10" fillId="7" borderId="3" applyAlignment="1" pivotButton="0" quotePrefix="0" xfId="20">
      <alignment horizontal="center" vertical="center" wrapText="1"/>
    </xf>
    <xf numFmtId="0" fontId="7" fillId="0" borderId="0" applyAlignment="1" pivotButton="0" quotePrefix="0" xfId="0">
      <alignment horizontal="center" vertical="center"/>
    </xf>
    <xf numFmtId="0" fontId="9" fillId="2" borderId="3" applyAlignment="1" pivotButton="0" quotePrefix="0" xfId="40">
      <alignment horizontal="center" vertical="center"/>
    </xf>
    <xf numFmtId="0" fontId="26" fillId="0" borderId="3" applyAlignment="1" pivotButton="0" quotePrefix="0" xfId="2">
      <alignment vertical="center" wrapText="1"/>
    </xf>
    <xf numFmtId="0" fontId="26" fillId="0" borderId="3" applyAlignment="1" pivotButton="0" quotePrefix="0" xfId="20">
      <alignment horizontal="center" vertical="center" wrapText="1"/>
    </xf>
    <xf numFmtId="164" fontId="26" fillId="0" borderId="3" applyAlignment="1" pivotButton="0" quotePrefix="0" xfId="20">
      <alignment horizontal="center" vertical="center" wrapText="1"/>
    </xf>
    <xf numFmtId="14" fontId="26" fillId="0" borderId="3" applyAlignment="1" pivotButton="0" quotePrefix="0" xfId="20">
      <alignment horizontal="center" vertical="center" wrapText="1"/>
    </xf>
    <xf numFmtId="0" fontId="26" fillId="0" borderId="3" applyAlignment="1" pivotButton="0" quotePrefix="0" xfId="20">
      <alignment vertical="center" wrapText="1"/>
    </xf>
    <xf numFmtId="0" fontId="26" fillId="0" borderId="3" applyAlignment="1" pivotButton="0" quotePrefix="0" xfId="20">
      <alignment horizontal="left" vertical="center" wrapText="1"/>
    </xf>
    <xf numFmtId="0" fontId="7" fillId="3" borderId="1" applyAlignment="1" applyProtection="1" pivotButton="0" quotePrefix="0" xfId="4">
      <alignment vertical="center" wrapText="1"/>
      <protection locked="0" hidden="0"/>
    </xf>
    <xf numFmtId="0" fontId="7" fillId="0" borderId="0" applyAlignment="1" pivotButton="0" quotePrefix="0" xfId="4">
      <alignment vertical="center"/>
    </xf>
    <xf numFmtId="0" fontId="7" fillId="3" borderId="3" applyAlignment="1" applyProtection="1" pivotButton="0" quotePrefix="0" xfId="4">
      <alignment vertical="center" wrapText="1"/>
      <protection locked="0" hidden="0"/>
    </xf>
    <xf numFmtId="0" fontId="7" fillId="0" borderId="0" applyAlignment="1" pivotButton="0" quotePrefix="0" xfId="0">
      <alignment vertical="center"/>
    </xf>
    <xf numFmtId="0" fontId="7" fillId="2" borderId="3" applyAlignment="1" applyProtection="1" pivotButton="0" quotePrefix="0" xfId="4">
      <alignment vertical="center" wrapText="1"/>
      <protection locked="0" hidden="0"/>
    </xf>
    <xf numFmtId="0" fontId="28" fillId="0" borderId="0" applyAlignment="1" applyProtection="1" pivotButton="0" quotePrefix="0" xfId="4">
      <alignment horizontal="center" vertical="center" wrapText="1"/>
      <protection locked="0" hidden="0"/>
    </xf>
    <xf numFmtId="0" fontId="7" fillId="4" borderId="3" applyAlignment="1" pivotButton="0" quotePrefix="0" xfId="4">
      <alignment horizontal="center" vertical="center" wrapText="1"/>
    </xf>
    <xf numFmtId="0" fontId="7" fillId="0" borderId="3" applyAlignment="1" applyProtection="1" pivotButton="0" quotePrefix="0" xfId="11">
      <alignment horizontal="center" vertical="center" wrapText="1"/>
      <protection locked="0" hidden="0"/>
    </xf>
    <xf numFmtId="14" fontId="7" fillId="4" borderId="3" applyAlignment="1" pivotButton="0" quotePrefix="0" xfId="4">
      <alignment horizontal="center" vertical="center" wrapText="1"/>
    </xf>
    <xf numFmtId="0" fontId="7" fillId="0" borderId="0" applyAlignment="1" pivotButton="0" quotePrefix="0" xfId="4">
      <alignment horizontal="center" vertical="center" wrapText="1"/>
    </xf>
    <xf numFmtId="0" fontId="7" fillId="3" borderId="1" applyAlignment="1" pivotButton="0" quotePrefix="0" xfId="4">
      <alignment vertical="center" wrapText="1"/>
    </xf>
    <xf numFmtId="0" fontId="7" fillId="4" borderId="3" applyAlignment="1" applyProtection="1" pivotButton="0" quotePrefix="0" xfId="1">
      <alignment horizontal="center" vertical="center"/>
      <protection locked="0" hidden="0"/>
    </xf>
    <xf numFmtId="0" fontId="9" fillId="3" borderId="1" applyAlignment="1" applyProtection="1" pivotButton="0" quotePrefix="0" xfId="2">
      <alignment vertical="center"/>
      <protection locked="0" hidden="0"/>
    </xf>
    <xf numFmtId="0" fontId="9" fillId="3" borderId="2" applyAlignment="1" applyProtection="1" pivotButton="0" quotePrefix="0" xfId="2">
      <alignment vertical="center"/>
      <protection locked="0" hidden="0"/>
    </xf>
    <xf numFmtId="0" fontId="9" fillId="3" borderId="4" applyAlignment="1" applyProtection="1" pivotButton="0" quotePrefix="0" xfId="2">
      <alignment vertical="center"/>
      <protection locked="0" hidden="0"/>
    </xf>
    <xf numFmtId="0" fontId="7" fillId="2" borderId="6" applyAlignment="1" applyProtection="1" pivotButton="0" quotePrefix="0" xfId="2">
      <alignment horizontal="center" vertical="center"/>
      <protection locked="0" hidden="0"/>
    </xf>
    <xf numFmtId="0" fontId="7" fillId="2" borderId="1" applyAlignment="1" applyProtection="1" pivotButton="0" quotePrefix="0" xfId="2">
      <alignment vertical="center"/>
      <protection locked="0" hidden="0"/>
    </xf>
    <xf numFmtId="0" fontId="7" fillId="2" borderId="3" applyAlignment="1" applyProtection="1" pivotButton="0" quotePrefix="0" xfId="2">
      <alignment horizontal="center" vertical="center"/>
      <protection locked="0" hidden="0"/>
    </xf>
    <xf numFmtId="0" fontId="7" fillId="2" borderId="0" applyAlignment="1" applyProtection="1" pivotButton="0" quotePrefix="0" xfId="2">
      <alignment horizontal="center" vertical="center"/>
      <protection locked="0" hidden="0"/>
    </xf>
    <xf numFmtId="0" fontId="7" fillId="4" borderId="3" applyAlignment="1" applyProtection="1" pivotButton="0" quotePrefix="0" xfId="4">
      <alignment horizontal="center" vertical="center" wrapText="1"/>
      <protection locked="0" hidden="0"/>
    </xf>
    <xf numFmtId="14" fontId="7" fillId="4" borderId="3" applyAlignment="1" applyProtection="1" pivotButton="0" quotePrefix="0" xfId="4">
      <alignment horizontal="center" vertical="center" wrapText="1"/>
      <protection locked="0" hidden="0"/>
    </xf>
    <xf numFmtId="0" fontId="7" fillId="0" borderId="0" applyAlignment="1" applyProtection="1" pivotButton="0" quotePrefix="0" xfId="0">
      <alignment vertical="center" wrapText="1"/>
      <protection locked="0" hidden="0"/>
    </xf>
    <xf numFmtId="0" fontId="7" fillId="0" borderId="0" applyAlignment="1" applyProtection="1" pivotButton="0" quotePrefix="0" xfId="0">
      <alignment vertical="center"/>
      <protection locked="0" hidden="0"/>
    </xf>
    <xf numFmtId="0" fontId="7" fillId="0" borderId="0" applyAlignment="1" applyProtection="1" pivotButton="0" quotePrefix="0" xfId="0">
      <alignment horizontal="center" vertical="center"/>
      <protection locked="0" hidden="0"/>
    </xf>
    <xf numFmtId="14" fontId="7" fillId="0" borderId="3" applyAlignment="1" applyProtection="1" pivotButton="0" quotePrefix="0" xfId="11">
      <alignment horizontal="center" vertical="center" wrapText="1"/>
      <protection locked="0" hidden="0"/>
    </xf>
    <xf numFmtId="0" fontId="0" fillId="0" borderId="3" pivotButton="0" quotePrefix="0" xfId="0"/>
    <xf numFmtId="0" fontId="25" fillId="0" borderId="9" pivotButton="0" quotePrefix="0" xfId="10"/>
    <xf numFmtId="164" fontId="26" fillId="0" borderId="13" applyAlignment="1" pivotButton="0" quotePrefix="0" xfId="20">
      <alignment horizontal="left" vertical="center"/>
    </xf>
    <xf numFmtId="14" fontId="26" fillId="0" borderId="4" applyAlignment="1" pivotButton="0" quotePrefix="0" xfId="20">
      <alignment horizontal="left" vertical="center"/>
    </xf>
    <xf numFmtId="0" fontId="26" fillId="0" borderId="10" applyAlignment="1" pivotButton="0" quotePrefix="0" xfId="7">
      <alignment vertical="center" wrapText="1"/>
    </xf>
    <xf numFmtId="0" fontId="26" fillId="0" borderId="11" applyAlignment="1" pivotButton="0" quotePrefix="0" xfId="7">
      <alignment vertical="center" wrapText="1"/>
    </xf>
    <xf numFmtId="0" fontId="26" fillId="0" borderId="12" applyAlignment="1" pivotButton="0" quotePrefix="0" xfId="7">
      <alignment vertical="center" wrapText="1"/>
    </xf>
    <xf numFmtId="0" fontId="26" fillId="0" borderId="5" applyAlignment="1" pivotButton="0" quotePrefix="0" xfId="7">
      <alignment vertical="center" wrapText="1"/>
    </xf>
    <xf numFmtId="0" fontId="26" fillId="0" borderId="7" applyAlignment="1" pivotButton="0" quotePrefix="0" xfId="7">
      <alignment vertical="center" wrapText="1"/>
    </xf>
    <xf numFmtId="0" fontId="26" fillId="0" borderId="13" applyAlignment="1" pivotButton="0" quotePrefix="0" xfId="7">
      <alignment vertical="center" wrapText="1"/>
    </xf>
    <xf numFmtId="0" fontId="7" fillId="0" borderId="0" applyAlignment="1" pivotButton="0" quotePrefix="0" xfId="2">
      <alignment wrapText="1"/>
    </xf>
    <xf numFmtId="0" fontId="13" fillId="0" borderId="0" applyAlignment="1" pivotButton="0" quotePrefix="0" xfId="2">
      <alignment vertical="top" wrapText="1"/>
    </xf>
    <xf numFmtId="0" fontId="9" fillId="2" borderId="3" applyAlignment="1" pivotButton="0" quotePrefix="0" xfId="2">
      <alignment horizontal="center" vertical="center" wrapText="1"/>
    </xf>
    <xf numFmtId="0" fontId="14" fillId="4" borderId="3" applyAlignment="1" pivotButton="0" quotePrefix="0" xfId="2">
      <alignment wrapText="1"/>
    </xf>
    <xf numFmtId="0" fontId="14" fillId="0" borderId="0" applyAlignment="1" pivotButton="0" quotePrefix="0" xfId="2">
      <alignment wrapText="1"/>
    </xf>
    <xf numFmtId="0" fontId="7" fillId="2" borderId="3" applyAlignment="1" pivotButton="0" quotePrefix="0" xfId="2">
      <alignment wrapText="1"/>
    </xf>
    <xf numFmtId="0" fontId="7" fillId="5" borderId="3" applyAlignment="1" pivotButton="0" quotePrefix="0" xfId="2">
      <alignment wrapText="1"/>
    </xf>
    <xf numFmtId="0" fontId="8" fillId="0" borderId="0" applyAlignment="1" pivotButton="0" quotePrefix="0" xfId="1">
      <alignment vertical="top" wrapText="1"/>
    </xf>
    <xf numFmtId="0" fontId="23" fillId="2" borderId="5" applyAlignment="1" pivotButton="0" quotePrefix="0" xfId="1">
      <alignment horizontal="center" vertical="top" wrapText="1"/>
    </xf>
    <xf numFmtId="0" fontId="8" fillId="0" borderId="3" applyAlignment="1" pivotButton="0" quotePrefix="0" xfId="1">
      <alignment horizontal="left" vertical="top" wrapText="1"/>
    </xf>
    <xf numFmtId="0" fontId="8" fillId="0" borderId="0" applyAlignment="1" pivotButton="0" quotePrefix="0" xfId="1">
      <alignment horizontal="left" vertical="top" wrapText="1"/>
    </xf>
    <xf numFmtId="0" fontId="16" fillId="0" borderId="0" applyAlignment="1" pivotButton="0" quotePrefix="0" xfId="3">
      <alignment vertical="top" wrapText="1"/>
    </xf>
    <xf numFmtId="0" fontId="15" fillId="0" borderId="0" applyAlignment="1" pivotButton="0" quotePrefix="0" xfId="3">
      <alignment vertical="top" wrapText="1"/>
    </xf>
    <xf numFmtId="0" fontId="9" fillId="2" borderId="5" applyAlignment="1" pivotButton="0" quotePrefix="0" xfId="1">
      <alignment horizontal="center" vertical="top" wrapText="1"/>
    </xf>
    <xf numFmtId="0" fontId="17" fillId="0" borderId="0" applyAlignment="1" pivotButton="0" quotePrefix="0" xfId="1">
      <alignment horizontal="left" vertical="top" wrapText="1"/>
    </xf>
    <xf numFmtId="0" fontId="7" fillId="0" borderId="0" applyAlignment="1" pivotButton="0" quotePrefix="0" xfId="2">
      <alignment vertical="top" wrapText="1"/>
    </xf>
    <xf numFmtId="0" fontId="19" fillId="0" borderId="0" applyAlignment="1" pivotButton="0" quotePrefix="0" xfId="2">
      <alignment vertical="top" wrapText="1"/>
    </xf>
    <xf numFmtId="0" fontId="29" fillId="8" borderId="0" applyAlignment="1" pivotButton="0" quotePrefix="0" xfId="0">
      <alignment vertical="center" wrapText="1"/>
    </xf>
    <xf numFmtId="0" fontId="7" fillId="0" borderId="0" applyAlignment="1" applyProtection="1" pivotButton="0" quotePrefix="0" xfId="4">
      <alignment vertical="center"/>
      <protection locked="0" hidden="0"/>
    </xf>
    <xf numFmtId="0" fontId="7" fillId="0" borderId="0" applyAlignment="1" pivotButton="0" quotePrefix="0" xfId="4">
      <alignment horizontal="center" vertical="center"/>
    </xf>
    <xf numFmtId="0" fontId="9" fillId="0" borderId="0" applyAlignment="1" pivotButton="0" quotePrefix="0" xfId="4">
      <alignment horizontal="center" vertical="center" wrapText="1"/>
    </xf>
    <xf numFmtId="0" fontId="7" fillId="0" borderId="0" applyAlignment="1" applyProtection="1" pivotButton="0" quotePrefix="0" xfId="4">
      <alignment horizontal="center" vertical="center"/>
      <protection locked="0" hidden="0"/>
    </xf>
    <xf numFmtId="0" fontId="7" fillId="0" borderId="0" applyAlignment="1" applyProtection="1" pivotButton="0" quotePrefix="0" xfId="2">
      <alignment vertical="center"/>
      <protection locked="0" hidden="0"/>
    </xf>
    <xf numFmtId="0" fontId="7" fillId="0" borderId="3" pivotButton="0" quotePrefix="0" xfId="0"/>
    <xf numFmtId="0" fontId="7" fillId="4" borderId="3" applyAlignment="1" applyProtection="1" pivotButton="0" quotePrefix="1" xfId="4">
      <alignment horizontal="left" vertical="center" wrapText="1"/>
      <protection locked="0" hidden="0"/>
    </xf>
    <xf numFmtId="0" fontId="7" fillId="9" borderId="3" applyAlignment="1" applyProtection="1" pivotButton="0" quotePrefix="0" xfId="1">
      <alignment horizontal="center" vertical="center"/>
      <protection locked="0" hidden="0"/>
    </xf>
    <xf numFmtId="0" fontId="30" fillId="0" borderId="3" applyAlignment="1" pivotButton="0" quotePrefix="0" xfId="71">
      <alignment vertical="center" wrapText="1"/>
    </xf>
    <xf numFmtId="0" fontId="7" fillId="4" borderId="3" applyAlignment="1" applyProtection="1" pivotButton="0" quotePrefix="0" xfId="4">
      <alignment horizontal="left" vertical="center" wrapText="1"/>
      <protection locked="0" hidden="0"/>
    </xf>
    <xf numFmtId="0" fontId="5" fillId="0" borderId="0" pivotButton="0" quotePrefix="0" xfId="72"/>
    <xf numFmtId="0" fontId="7" fillId="3" borderId="3" applyAlignment="1" applyProtection="1" pivotButton="0" quotePrefix="0" xfId="61">
      <alignment horizontal="center" vertical="center" wrapText="1"/>
      <protection locked="0" hidden="0"/>
    </xf>
    <xf numFmtId="0" fontId="7" fillId="9" borderId="3" applyAlignment="1" applyProtection="1" pivotButton="0" quotePrefix="0" xfId="61">
      <alignment horizontal="center" vertical="center" wrapText="1"/>
      <protection locked="0" hidden="0"/>
    </xf>
    <xf numFmtId="0" fontId="7" fillId="0" borderId="3" applyAlignment="1" applyProtection="1" pivotButton="0" quotePrefix="0" xfId="61">
      <alignment horizontal="center" vertical="center" wrapText="1"/>
      <protection locked="0" hidden="0"/>
    </xf>
    <xf numFmtId="0" fontId="7" fillId="0" borderId="3" applyAlignment="1" applyProtection="1" pivotButton="0" quotePrefix="0" xfId="4">
      <alignment vertical="center"/>
      <protection locked="0" hidden="0"/>
    </xf>
    <xf numFmtId="0" fontId="4" fillId="0" borderId="0" pivotButton="0" quotePrefix="0" xfId="72"/>
    <xf numFmtId="0" fontId="3" fillId="0" borderId="0" pivotButton="0" quotePrefix="0" xfId="72"/>
    <xf numFmtId="0" fontId="2" fillId="0" borderId="0" pivotButton="0" quotePrefix="0" xfId="72"/>
    <xf numFmtId="0" fontId="7" fillId="9" borderId="3" applyAlignment="1" applyProtection="1" pivotButton="0" quotePrefix="1" xfId="61">
      <alignment horizontal="center" vertical="center" wrapText="1"/>
      <protection locked="0" hidden="0"/>
    </xf>
    <xf numFmtId="0" fontId="1" fillId="0" borderId="0" pivotButton="0" quotePrefix="0" xfId="72"/>
    <xf numFmtId="0" fontId="31" fillId="9" borderId="3" applyAlignment="1" applyProtection="1" pivotButton="0" quotePrefix="1" xfId="61">
      <alignment horizontal="center" vertical="center" wrapText="1"/>
      <protection locked="0" hidden="0"/>
    </xf>
    <xf numFmtId="0" fontId="29" fillId="9" borderId="10" applyAlignment="1" pivotButton="0" quotePrefix="0" xfId="0">
      <alignment vertical="center" wrapText="1"/>
    </xf>
    <xf numFmtId="0" fontId="29" fillId="9" borderId="11" applyAlignment="1" pivotButton="0" quotePrefix="0" xfId="0">
      <alignment vertical="center" wrapText="1"/>
    </xf>
    <xf numFmtId="0" fontId="29" fillId="9" borderId="12" applyAlignment="1" pivotButton="0" quotePrefix="0" xfId="0">
      <alignment vertical="center" wrapText="1"/>
    </xf>
    <xf numFmtId="0" fontId="29" fillId="9" borderId="5" applyAlignment="1" pivotButton="0" quotePrefix="0" xfId="0">
      <alignment vertical="center" wrapText="1"/>
    </xf>
    <xf numFmtId="0" fontId="29" fillId="9" borderId="7" applyAlignment="1" pivotButton="0" quotePrefix="0" xfId="0">
      <alignment vertical="center" wrapText="1"/>
    </xf>
    <xf numFmtId="0" fontId="29" fillId="9" borderId="13" applyAlignment="1" pivotButton="0" quotePrefix="0" xfId="0">
      <alignment vertical="center" wrapText="1"/>
    </xf>
    <xf numFmtId="0" fontId="26" fillId="0" borderId="0" applyAlignment="1" pivotButton="0" quotePrefix="0" xfId="2">
      <alignment horizontal="left" vertical="center" wrapText="1" indent="5"/>
    </xf>
    <xf numFmtId="0" fontId="26" fillId="0" borderId="0" applyAlignment="1" pivotButton="0" quotePrefix="0" xfId="2">
      <alignment horizontal="left" vertical="center" wrapText="1" indent="2"/>
    </xf>
    <xf numFmtId="0" fontId="26" fillId="0" borderId="0" applyAlignment="1" pivotButton="0" quotePrefix="0" xfId="2">
      <alignment horizontal="left" vertical="center" wrapText="1"/>
    </xf>
    <xf numFmtId="0" fontId="17" fillId="0" borderId="3" applyAlignment="1" pivotButton="0" quotePrefix="0" xfId="1">
      <alignment horizontal="left" vertical="top" wrapText="1"/>
    </xf>
    <xf numFmtId="0" fontId="7" fillId="2" borderId="3" applyAlignment="1" applyProtection="1" pivotButton="0" quotePrefix="0" xfId="4">
      <alignment horizontal="center" vertical="center" wrapText="1"/>
      <protection locked="0" hidden="0"/>
    </xf>
    <xf numFmtId="0" fontId="26" fillId="0" borderId="0" applyAlignment="1" pivotButton="0" quotePrefix="0" xfId="2">
      <alignment horizontal="left" vertical="center" wrapText="1" indent="5"/>
    </xf>
    <xf numFmtId="0" fontId="0" fillId="0" borderId="0" pivotButton="0" quotePrefix="0" xfId="0"/>
    <xf numFmtId="0" fontId="26" fillId="0" borderId="0" applyAlignment="1" pivotButton="0" quotePrefix="0" xfId="2">
      <alignment horizontal="left" vertical="top" wrapText="1"/>
    </xf>
    <xf numFmtId="0" fontId="10" fillId="0" borderId="0" applyAlignment="1" pivotButton="0" quotePrefix="0" xfId="2">
      <alignment horizontal="left" vertical="top" wrapText="1"/>
    </xf>
    <xf numFmtId="0" fontId="26" fillId="0" borderId="0" applyAlignment="1" pivotButton="0" quotePrefix="0" xfId="2">
      <alignment horizontal="left" vertical="top" wrapText="1" indent="2"/>
    </xf>
    <xf numFmtId="0" fontId="26" fillId="0" borderId="0" applyAlignment="1" pivotButton="0" quotePrefix="0" xfId="2">
      <alignment horizontal="left" vertical="center" wrapText="1" indent="2"/>
    </xf>
    <xf numFmtId="0" fontId="26" fillId="0" borderId="0" applyAlignment="1" pivotButton="0" quotePrefix="0" xfId="2">
      <alignment horizontal="left" vertical="center" wrapText="1" indent="1"/>
    </xf>
    <xf numFmtId="0" fontId="27" fillId="7" borderId="8" applyAlignment="1" pivotButton="0" quotePrefix="0" xfId="20">
      <alignment horizontal="center" vertical="center" wrapText="1"/>
    </xf>
    <xf numFmtId="0" fontId="0" fillId="0" borderId="2" pivotButton="0" quotePrefix="0" xfId="0"/>
    <xf numFmtId="0" fontId="0" fillId="0" borderId="15" pivotButton="0" quotePrefix="0" xfId="0"/>
    <xf numFmtId="0" fontId="26" fillId="0" borderId="3" applyAlignment="1" pivotButton="0" quotePrefix="0" xfId="2">
      <alignment horizontal="center" vertical="top" wrapText="1"/>
    </xf>
    <xf numFmtId="0" fontId="0" fillId="0" borderId="4" pivotButton="0" quotePrefix="0" xfId="0"/>
    <xf numFmtId="0" fontId="10" fillId="0" borderId="3" applyAlignment="1" pivotButton="0" quotePrefix="0" xfId="2">
      <alignment horizontal="center" vertical="center" wrapText="1"/>
    </xf>
    <xf numFmtId="0" fontId="10" fillId="0" borderId="0" applyAlignment="1" pivotButton="0" quotePrefix="0" xfId="2">
      <alignment horizontal="left" vertical="center" wrapText="1"/>
    </xf>
    <xf numFmtId="0" fontId="26" fillId="0" borderId="3" applyAlignment="1" pivotButton="0" quotePrefix="0" xfId="2">
      <alignment horizontal="center" vertical="center" wrapText="1"/>
    </xf>
    <xf numFmtId="0" fontId="8" fillId="0" borderId="3" applyAlignment="1" pivotButton="0" quotePrefix="0" xfId="2">
      <alignment horizontal="left" vertical="top" wrapText="1"/>
    </xf>
    <xf numFmtId="0" fontId="17" fillId="0" borderId="3" applyAlignment="1" pivotButton="0" quotePrefix="0" xfId="1">
      <alignment horizontal="left" vertical="top" wrapText="1"/>
    </xf>
    <xf numFmtId="0" fontId="9" fillId="3" borderId="3" applyAlignment="1" pivotButton="0" quotePrefix="0" xfId="1">
      <alignment horizontal="center" vertical="top" wrapText="1"/>
    </xf>
    <xf numFmtId="0" fontId="9" fillId="2" borderId="3" applyAlignment="1" pivotButton="0" quotePrefix="0" xfId="1">
      <alignment horizontal="center" vertical="top" wrapText="1"/>
    </xf>
    <xf numFmtId="0" fontId="9" fillId="2" borderId="3" applyAlignment="1" pivotButton="0" quotePrefix="0" xfId="1">
      <alignment horizontal="left" vertical="top" wrapText="1"/>
    </xf>
    <xf numFmtId="0" fontId="9" fillId="2" borderId="3" applyAlignment="1" pivotButton="0" quotePrefix="0" xfId="2">
      <alignment horizontal="center" vertical="center"/>
    </xf>
    <xf numFmtId="0" fontId="8" fillId="0" borderId="3" applyAlignment="1" pivotButton="0" quotePrefix="0" xfId="1">
      <alignment horizontal="left" vertical="top" wrapText="1"/>
    </xf>
    <xf numFmtId="0" fontId="8" fillId="0" borderId="0" applyAlignment="1" pivotButton="0" quotePrefix="0" xfId="2">
      <alignment horizontal="left" wrapText="1"/>
    </xf>
    <xf numFmtId="0" fontId="7" fillId="0" borderId="0" pivotButton="0" quotePrefix="0" xfId="2"/>
    <xf numFmtId="0" fontId="10" fillId="3" borderId="3" applyAlignment="1" pivotButton="0" quotePrefix="0" xfId="1">
      <alignment horizontal="center" vertical="top" wrapText="1"/>
    </xf>
    <xf numFmtId="0" fontId="23" fillId="2" borderId="3" applyAlignment="1" pivotButton="0" quotePrefix="0" xfId="1">
      <alignment horizontal="center" vertical="top" wrapText="1"/>
    </xf>
    <xf numFmtId="0" fontId="10" fillId="0" borderId="3" applyAlignment="1" pivotButton="0" quotePrefix="0" xfId="7">
      <alignment horizontal="center" vertical="center" wrapText="1"/>
    </xf>
    <xf numFmtId="0" fontId="0" fillId="0" borderId="11" pivotButton="0" quotePrefix="0" xfId="0"/>
    <xf numFmtId="0" fontId="0" fillId="0" borderId="7" pivotButton="0" quotePrefix="0" xfId="0"/>
    <xf numFmtId="0" fontId="0" fillId="0" borderId="13" pivotButton="0" quotePrefix="0" xfId="0"/>
    <xf numFmtId="0" fontId="9" fillId="3" borderId="3" applyAlignment="1" applyProtection="1" pivotButton="0" quotePrefix="0" xfId="4">
      <alignment horizontal="center" vertical="center" wrapText="1"/>
      <protection locked="0" hidden="0"/>
    </xf>
    <xf numFmtId="0" fontId="0" fillId="0" borderId="2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14" fontId="7" fillId="4" borderId="3" applyAlignment="1" pivotButton="0" quotePrefix="0" xfId="4">
      <alignment horizontal="left" vertical="center" wrapText="1"/>
    </xf>
    <xf numFmtId="0" fontId="7" fillId="2" borderId="3" applyAlignment="1" applyProtection="1" pivotButton="0" quotePrefix="0" xfId="4">
      <alignment horizontal="center" vertical="center" wrapText="1"/>
      <protection locked="0" hidden="0"/>
    </xf>
    <xf numFmtId="0" fontId="7" fillId="4" borderId="3" applyAlignment="1" pivotButton="0" quotePrefix="0" xfId="4">
      <alignment horizontal="center" vertical="center" wrapText="1"/>
    </xf>
    <xf numFmtId="0" fontId="28" fillId="9" borderId="3" applyAlignment="1" applyProtection="1" pivotButton="0" quotePrefix="0" xfId="4">
      <alignment horizontal="center" vertical="center" wrapText="1"/>
      <protection locked="0" hidden="0"/>
    </xf>
    <xf numFmtId="0" fontId="0" fillId="0" borderId="14" pivotButton="0" quotePrefix="0" xfId="0"/>
    <xf numFmtId="0" fontId="0" fillId="0" borderId="16" pivotButton="0" quotePrefix="0" xfId="0"/>
    <xf numFmtId="0" fontId="7" fillId="4" borderId="3" applyAlignment="1" applyProtection="1" pivotButton="0" quotePrefix="1" xfId="0">
      <alignment vertical="top" wrapText="1"/>
      <protection locked="0" hidden="0"/>
    </xf>
    <xf numFmtId="0" fontId="7" fillId="3" borderId="3" applyAlignment="1" pivotButton="0" quotePrefix="0" xfId="4">
      <alignment horizontal="left" vertical="center" wrapText="1"/>
    </xf>
    <xf numFmtId="0" fontId="7" fillId="4" borderId="3" applyAlignment="1" pivotButton="0" quotePrefix="0" xfId="2">
      <alignment horizontal="center" vertical="center" wrapText="1"/>
    </xf>
    <xf numFmtId="0" fontId="7" fillId="4" borderId="3" applyAlignment="1" pivotButton="0" quotePrefix="0" xfId="0">
      <alignment horizontal="center" vertical="center"/>
    </xf>
    <xf numFmtId="0" fontId="7" fillId="3" borderId="3" applyAlignment="1" pivotButton="0" quotePrefix="0" xfId="0">
      <alignment horizontal="left" vertical="center" wrapText="1"/>
    </xf>
    <xf numFmtId="0" fontId="7" fillId="3" borderId="6" applyAlignment="1" pivotButton="0" quotePrefix="0" xfId="0">
      <alignment horizontal="left" vertical="center" wrapText="1"/>
    </xf>
    <xf numFmtId="0" fontId="29" fillId="9" borderId="3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6" pivotButton="0" quotePrefix="0" xfId="0"/>
    <xf numFmtId="0" fontId="26" fillId="0" borderId="3" applyAlignment="1" pivotButton="0" quotePrefix="0" xfId="7">
      <alignment horizontal="center" vertical="center" wrapText="1"/>
    </xf>
    <xf numFmtId="0" fontId="0" fillId="0" borderId="12" pivotButton="0" quotePrefix="0" xfId="0"/>
    <xf numFmtId="0" fontId="0" fillId="0" borderId="5" pivotButton="0" quotePrefix="0" xfId="0"/>
    <xf numFmtId="0" fontId="10" fillId="0" borderId="3" applyAlignment="1" pivotButton="0" quotePrefix="0" xfId="7">
      <alignment horizontal="center" vertical="center"/>
    </xf>
    <xf numFmtId="0" fontId="7" fillId="2" borderId="3" applyAlignment="1" applyProtection="1" pivotButton="0" quotePrefix="0" xfId="0">
      <alignment horizontal="center" vertical="center"/>
      <protection locked="0" hidden="0"/>
    </xf>
    <xf numFmtId="0" fontId="31" fillId="4" borderId="3" applyAlignment="1" applyProtection="1" pivotButton="0" quotePrefix="0" xfId="4">
      <alignment horizontal="left" vertical="center" wrapText="1"/>
      <protection locked="0" hidden="0"/>
    </xf>
  </cellXfs>
  <cellStyles count="73">
    <cellStyle name="Normal" xfId="0" builtinId="0"/>
    <cellStyle name="Cancel" xfId="1"/>
    <cellStyle name="Normal_7 1 2R21 Modelo de Estimación Desarrollo a Medida CASCADA" xfId="2"/>
    <cellStyle name="Normal_7.3.02.R02 Plantilla WBS" xfId="3"/>
    <cellStyle name="Normal_Pre_Analisis_OT617_20070403" xfId="4"/>
    <cellStyle name="Style 1" xfId="5"/>
    <cellStyle name="Normal 2" xfId="6"/>
    <cellStyle name="Cancel 2" xfId="7"/>
    <cellStyle name="Estilo 1" xfId="8"/>
    <cellStyle name="Cancel 3" xfId="9"/>
    <cellStyle name="Normal 3" xfId="10"/>
    <cellStyle name="Estilo 1 2" xfId="11"/>
    <cellStyle name="Normal 5" xfId="12"/>
    <cellStyle name="Normal 6" xfId="13"/>
    <cellStyle name="Cancel 4" xfId="14"/>
    <cellStyle name="Cancel 5" xfId="15"/>
    <cellStyle name="Normal_Copy of 7.7.2.R01 Lista de items de configuracion_Generico2" xfId="16"/>
    <cellStyle name="Estilo 1 3" xfId="17"/>
    <cellStyle name="Estilo 1 2 2" xfId="18"/>
    <cellStyle name="Estilo 1 2 3" xfId="19"/>
    <cellStyle name="Normal 2 2" xfId="20"/>
    <cellStyle name="Euro" xfId="21"/>
    <cellStyle name="Normal 2 3" xfId="22"/>
    <cellStyle name="Normal 3 2" xfId="23"/>
    <cellStyle name="Normal 3 3" xfId="24"/>
    <cellStyle name="Normal 3 4" xfId="25"/>
    <cellStyle name="Normal 3 5" xfId="26"/>
    <cellStyle name="Porcentual 2" xfId="27"/>
    <cellStyle name="Porcentual 3" xfId="28"/>
    <cellStyle name="Style 1 2" xfId="29"/>
    <cellStyle name="Cancel 6" xfId="30"/>
    <cellStyle name="Estilo 1 2 4" xfId="31"/>
    <cellStyle name="Estilo 1 2 5" xfId="32"/>
    <cellStyle name="Cancel 7" xfId="33"/>
    <cellStyle name="Cancel 8" xfId="34"/>
    <cellStyle name="Estilo 1 4" xfId="35"/>
    <cellStyle name="Style 1 4" xfId="36"/>
    <cellStyle name="Estilo 1 5" xfId="37"/>
    <cellStyle name="Cancel 9" xfId="38"/>
    <cellStyle name="Style 1 3" xfId="39"/>
    <cellStyle name="Cancel 10" xfId="40"/>
    <cellStyle name="Cancel 11" xfId="41"/>
    <cellStyle name="Cancel 10 2" xfId="42"/>
    <cellStyle name="Cancel 2 2" xfId="43"/>
    <cellStyle name="Cancel 2 2 2" xfId="44"/>
    <cellStyle name="Cancel 2 3" xfId="45"/>
    <cellStyle name="Cancel 2 4" xfId="46"/>
    <cellStyle name="Cancel 2 5" xfId="47"/>
    <cellStyle name="Cancel 2 6" xfId="48"/>
    <cellStyle name="Cancel 2 7" xfId="49"/>
    <cellStyle name="Cancel 2 8" xfId="50"/>
    <cellStyle name="Cancel 5 2" xfId="51"/>
    <cellStyle name="Cancel 5 2 2" xfId="52"/>
    <cellStyle name="Cancel 6 2" xfId="53"/>
    <cellStyle name="Cancel 6 2 2" xfId="54"/>
    <cellStyle name="Cancel 7 2" xfId="55"/>
    <cellStyle name="Cancel 7 2 2" xfId="56"/>
    <cellStyle name="Cancel 8 2" xfId="57"/>
    <cellStyle name="Cancel 8 2 2" xfId="58"/>
    <cellStyle name="Cancel 9 2" xfId="59"/>
    <cellStyle name="Cancel 9 2 2" xfId="60"/>
    <cellStyle name="Normal 11" xfId="61"/>
    <cellStyle name="Normal 2 4" xfId="62"/>
    <cellStyle name="Normal 2 5" xfId="63"/>
    <cellStyle name="Normal 2 6" xfId="64"/>
    <cellStyle name="Normal 2 7" xfId="65"/>
    <cellStyle name="Normal 2 8" xfId="66"/>
    <cellStyle name="Normal 3 2 2" xfId="67"/>
    <cellStyle name="Normal 3 3 2" xfId="68"/>
    <cellStyle name="Normal 3 4 2" xfId="69"/>
    <cellStyle name="Normal 3 5 2" xfId="70"/>
    <cellStyle name="Normal 4" xfId="71"/>
    <cellStyle name="Normal 7" xfId="72"/>
  </cellStyles>
  <dxfs count="2">
    <dxf>
      <font>
        <b val="1"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4.jpe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5.jpeg" Id="rId1"/><Relationship Type="http://schemas.openxmlformats.org/officeDocument/2006/relationships/image" Target="/xl/media/image6.png" Id="rId2"/></Relationships>
</file>

<file path=xl/drawings/_rels/drawing5.xml.rels><Relationships xmlns="http://schemas.openxmlformats.org/package/2006/relationships"><Relationship Type="http://schemas.openxmlformats.org/officeDocument/2006/relationships/image" Target="/xl/media/image7.jpeg" Id="rId1"/><Relationship Type="http://schemas.openxmlformats.org/officeDocument/2006/relationships/image" Target="/xl/media/image8.png" Id="rId2"/></Relationships>
</file>

<file path=xl/drawings/_rels/drawing6.xml.rels><Relationships xmlns="http://schemas.openxmlformats.org/package/2006/relationships"><Relationship Type="http://schemas.openxmlformats.org/officeDocument/2006/relationships/image" Target="/xl/media/image9.jpeg" Id="rId1"/></Relationships>
</file>

<file path=xl/drawings/drawing1.xml><?xml version="1.0" encoding="utf-8"?>
<wsDr xmlns="http://schemas.openxmlformats.org/drawingml/2006/spreadsheetDrawing">
  <twoCellAnchor editAs="oneCell">
    <from>
      <col>1</col>
      <colOff>19050</colOff>
      <row>1</row>
      <rowOff>28575</rowOff>
    </from>
    <to>
      <col>2</col>
      <colOff>607219</colOff>
      <row>1</row>
      <rowOff>602552</rowOff>
    </to>
    <pic>
      <nvPicPr>
        <cNvPr id="2" name="Picture 4" descr="C:\Documents and Settings\np375151\Desktop\logo\logo\Logo_sura.jpg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28600" y="190500"/>
          <a:ext cx="1388269" cy="573977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  <a:miter lim="800000"/>
          <a:headEnd/>
          <a:tailEnd/>
        </a:ln>
      </spPr>
    </pic>
    <clientData/>
  </twoCellAnchor>
  <twoCellAnchor>
    <from>
      <col>7</col>
      <colOff>142875</colOff>
      <row>1</row>
      <rowOff>57150</rowOff>
    </from>
    <to>
      <col>7</col>
      <colOff>1390650</colOff>
      <row>1</row>
      <rowOff>590550</rowOff>
    </to>
    <pic>
      <nvPicPr>
        <cNvPr id="4" name="Picture 3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791450" y="219075"/>
          <a:ext cx="1247775" cy="5334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>
    <from>
      <col>1</col>
      <colOff>226219</colOff>
      <row>1</row>
      <rowOff>23812</rowOff>
    </from>
    <to>
      <col>1</col>
      <colOff>1583718</colOff>
      <row>3</row>
      <rowOff>114301</rowOff>
    </to>
    <pic>
      <nvPicPr>
        <cNvPr id="8" name="Picture 14" descr="C:\Documents and Settings\np375151\Desktop\logo\logo\Logo_sura.jpg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416719" y="190500"/>
          <a:ext cx="1357499" cy="459582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>
    <from>
      <col>1</col>
      <colOff>232833</colOff>
      <row>1</row>
      <rowOff>21166</rowOff>
    </from>
    <to>
      <col>1</col>
      <colOff>1590332</colOff>
      <row>3</row>
      <rowOff>120915</rowOff>
    </to>
    <pic>
      <nvPicPr>
        <cNvPr id="7" name="Picture 14" descr="C:\Documents and Settings\np375151\Desktop\logo\logo\Logo_sura.jpg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81000" y="179916"/>
          <a:ext cx="1357499" cy="459582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>
    <from>
      <col>1</col>
      <colOff>178594</colOff>
      <row>1</row>
      <rowOff>35719</rowOff>
    </from>
    <to>
      <col>1</col>
      <colOff>1676766</colOff>
      <row>3</row>
      <rowOff>138113</rowOff>
    </to>
    <pic>
      <nvPicPr>
        <cNvPr id="7" name="Picture 14" descr="C:\Documents and Settings\np375151\Desktop\logo\logo\Logo_sura.jpg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33375" y="238125"/>
          <a:ext cx="1498172" cy="507207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5</col>
      <colOff>160812</colOff>
      <row>1</row>
      <rowOff>24741</rowOff>
    </from>
    <to>
      <col>6</col>
      <colOff>457695</colOff>
      <row>4</row>
      <rowOff>11870</rowOff>
    </to>
    <pic>
      <nvPicPr>
        <cNvPr id="4" name="Picture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r="13020"/>
        <a:stretch xmlns:a="http://schemas.openxmlformats.org/drawingml/2006/main">
          <a:fillRect/>
        </a:stretch>
      </blipFill>
      <spPr>
        <a:xfrm xmlns:a="http://schemas.openxmlformats.org/drawingml/2006/main">
          <a:off x="15376072" y="222663"/>
          <a:ext cx="1484415" cy="54378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>
    <from>
      <col>2</col>
      <colOff>21432</colOff>
      <row>1</row>
      <rowOff>35717</rowOff>
    </from>
    <to>
      <col>2</col>
      <colOff>1323975</colOff>
      <row>3</row>
      <rowOff>174624</rowOff>
    </to>
    <pic>
      <nvPicPr>
        <cNvPr id="8" name="Picture 14" descr="C:\Documents and Settings\np375151\Desktop\logo\logo\Logo_sura.jpg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5432" y="226217"/>
          <a:ext cx="1302543" cy="519907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5</col>
      <colOff>28575</colOff>
      <row>1</row>
      <rowOff>38100</rowOff>
    </from>
    <to>
      <col>5</col>
      <colOff>1512990</colOff>
      <row>4</row>
      <rowOff>10385</rowOff>
    </to>
    <pic>
      <nvPicPr>
        <cNvPr id="3" name="Picture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r="13020"/>
        <a:stretch xmlns:a="http://schemas.openxmlformats.org/drawingml/2006/main">
          <a:fillRect/>
        </a:stretch>
      </blipFill>
      <spPr>
        <a:xfrm xmlns:a="http://schemas.openxmlformats.org/drawingml/2006/main">
          <a:off x="7343775" y="228600"/>
          <a:ext cx="1484415" cy="54378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>
    <from>
      <col>1</col>
      <colOff>306917</colOff>
      <row>1</row>
      <rowOff>21167</rowOff>
    </from>
    <to>
      <col>1</col>
      <colOff>1664416</colOff>
      <row>4</row>
      <rowOff>4499</rowOff>
    </to>
    <pic>
      <nvPicPr>
        <cNvPr id="6" name="Picture 14" descr="C:\Documents and Settings\np375151\Desktop\logo\logo\Logo_sura.jpg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920750" y="179917"/>
          <a:ext cx="1357499" cy="459582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I72"/>
  <sheetViews>
    <sheetView showGridLines="0" workbookViewId="0">
      <selection activeCell="J5" sqref="J5"/>
    </sheetView>
  </sheetViews>
  <sheetFormatPr baseColWidth="10" defaultColWidth="11.42578125" defaultRowHeight="12.75"/>
  <cols>
    <col width="3.140625" customWidth="1" style="144" min="1" max="1"/>
    <col width="12" customWidth="1" style="144" min="2" max="2"/>
    <col width="11.7109375" customWidth="1" style="144" min="3" max="3"/>
    <col width="23.28515625" customWidth="1" style="144" min="5" max="5"/>
    <col width="41" customWidth="1" style="144" min="6" max="6"/>
    <col width="12.140625" customWidth="1" style="144" min="7" max="7"/>
    <col width="22.28515625" customWidth="1" style="144" min="8" max="8"/>
  </cols>
  <sheetData>
    <row r="2" ht="51" customHeight="1" s="144">
      <c r="A2" s="34" t="n"/>
      <c r="B2" s="153" t="n"/>
      <c r="C2" s="154" t="n"/>
      <c r="D2" s="155" t="inlineStr">
        <is>
          <t>Caso de Prueba</t>
        </is>
      </c>
      <c r="E2" s="151" t="n"/>
      <c r="F2" s="151" t="n"/>
      <c r="G2" s="154" t="n"/>
      <c r="H2" s="35" t="n"/>
    </row>
    <row r="3">
      <c r="A3" s="34" t="n"/>
      <c r="B3" s="153" t="n"/>
      <c r="C3" s="154" t="n"/>
      <c r="D3" s="157" t="inlineStr">
        <is>
          <t>Versión: 4.0</t>
        </is>
      </c>
      <c r="E3" s="151" t="n"/>
      <c r="F3" s="151" t="n"/>
      <c r="G3" s="154" t="n"/>
      <c r="H3" s="52" t="inlineStr">
        <is>
          <t>Fecha: 03/04/2014</t>
        </is>
      </c>
      <c r="I3" s="40" t="n"/>
    </row>
    <row r="4">
      <c r="A4" s="36" t="n"/>
      <c r="B4" s="39" t="n"/>
      <c r="C4" s="40" t="n"/>
      <c r="D4" s="40" t="n"/>
      <c r="E4" s="40" t="n"/>
      <c r="F4" s="40" t="n"/>
      <c r="G4" s="40" t="n"/>
      <c r="H4" s="37" t="n"/>
      <c r="I4" s="38" t="n"/>
    </row>
    <row r="5" ht="15.75" customHeight="1" s="144">
      <c r="A5" s="36" t="n"/>
      <c r="B5" s="150" t="inlineStr">
        <is>
          <t>HISTORIAL DE LAS REVISIONES</t>
        </is>
      </c>
      <c r="C5" s="151" t="n"/>
      <c r="D5" s="151" t="n"/>
      <c r="E5" s="151" t="n"/>
      <c r="F5" s="151" t="n"/>
      <c r="G5" s="151" t="n"/>
      <c r="H5" s="152" t="n"/>
      <c r="I5" s="38" t="n"/>
    </row>
    <row r="6">
      <c r="A6" s="36" t="n"/>
      <c r="B6" s="39" t="n"/>
      <c r="C6" s="40" t="n"/>
      <c r="D6" s="40" t="n"/>
      <c r="E6" s="40" t="n"/>
      <c r="F6" s="40" t="n"/>
      <c r="G6" s="40" t="n"/>
      <c r="H6" s="40" t="n"/>
      <c r="I6" s="38" t="n"/>
    </row>
    <row r="7" ht="24" customHeight="1" s="144">
      <c r="A7" s="36" t="n"/>
      <c r="B7" s="49" t="inlineStr">
        <is>
          <t>Item</t>
        </is>
      </c>
      <c r="C7" s="49" t="inlineStr">
        <is>
          <t>Versión</t>
        </is>
      </c>
      <c r="D7" s="49" t="inlineStr">
        <is>
          <t>Fecha</t>
        </is>
      </c>
      <c r="E7" s="49" t="inlineStr">
        <is>
          <t>Autor</t>
        </is>
      </c>
      <c r="F7" s="49" t="inlineStr">
        <is>
          <t>Descripción</t>
        </is>
      </c>
      <c r="G7" s="49" t="inlineStr">
        <is>
          <t>Estado</t>
        </is>
      </c>
      <c r="H7" s="49" t="inlineStr">
        <is>
          <t>Responsable de Revisión y/o Aprobación</t>
        </is>
      </c>
      <c r="I7" s="38" t="n"/>
    </row>
    <row r="8" ht="24" customHeight="1" s="144">
      <c r="A8" s="36" t="n"/>
      <c r="B8" s="53" t="n">
        <v>1</v>
      </c>
      <c r="C8" s="54" t="n">
        <v>0.1</v>
      </c>
      <c r="D8" s="48" t="n">
        <v>2007</v>
      </c>
      <c r="E8" s="56" t="inlineStr">
        <is>
          <t>Equipo Implementador SWF</t>
        </is>
      </c>
      <c r="F8" s="57" t="inlineStr">
        <is>
          <t>Creación de la plantilla.</t>
        </is>
      </c>
      <c r="G8" s="53" t="inlineStr">
        <is>
          <t>En revisión</t>
        </is>
      </c>
      <c r="H8" s="53" t="inlineStr">
        <is>
          <t>Jefe de Fábrica</t>
        </is>
      </c>
      <c r="I8" s="38" t="n"/>
    </row>
    <row r="9" ht="24" customHeight="1" s="144">
      <c r="A9" s="36" t="n"/>
      <c r="B9" s="53" t="n">
        <v>2</v>
      </c>
      <c r="C9" s="54" t="n">
        <v>1</v>
      </c>
      <c r="D9" s="48" t="n">
        <v>2007</v>
      </c>
      <c r="E9" s="56" t="inlineStr">
        <is>
          <t>Equipo Implementador SWF</t>
        </is>
      </c>
      <c r="F9" s="57" t="inlineStr">
        <is>
          <t>Creación de la plantilla.</t>
        </is>
      </c>
      <c r="G9" s="53" t="inlineStr">
        <is>
          <t>Aprobado</t>
        </is>
      </c>
      <c r="H9" s="53" t="inlineStr">
        <is>
          <t>Jefe de Fábrica</t>
        </is>
      </c>
      <c r="I9" s="38" t="n"/>
    </row>
    <row r="10" ht="24" customHeight="1" s="144">
      <c r="A10" s="36" t="n"/>
      <c r="B10" s="53" t="n">
        <v>3</v>
      </c>
      <c r="C10" s="54" t="n">
        <v>1.1</v>
      </c>
      <c r="D10" s="55" t="n">
        <v>41628</v>
      </c>
      <c r="E10" s="56" t="inlineStr">
        <is>
          <t>Alicia Pineda / Cynthia Aniya</t>
        </is>
      </c>
      <c r="F10" s="57" t="inlineStr">
        <is>
          <t>Se agregó último logo de GMD, campo OC y datos de los líderes o Equipo Desarrollo.</t>
        </is>
      </c>
      <c r="G10" s="53" t="inlineStr">
        <is>
          <t>En revisión</t>
        </is>
      </c>
      <c r="H10" s="53" t="inlineStr">
        <is>
          <t>Carmen Santa Cruz</t>
        </is>
      </c>
      <c r="I10" s="38" t="n"/>
    </row>
    <row r="11" ht="24" customHeight="1" s="144">
      <c r="A11" s="36" t="n"/>
      <c r="B11" s="53" t="n">
        <v>4</v>
      </c>
      <c r="C11" s="54" t="n">
        <v>2</v>
      </c>
      <c r="D11" s="55" t="n">
        <v>41638</v>
      </c>
      <c r="E11" s="56" t="inlineStr">
        <is>
          <t>Alicia Pineda / Cynthia Aniya</t>
        </is>
      </c>
      <c r="F11" s="57" t="inlineStr">
        <is>
          <t>Se agregó último logo de GMD, campo OC y datos de los líderes o Equipo Desarrollo.</t>
        </is>
      </c>
      <c r="G11" s="53" t="inlineStr">
        <is>
          <t>Aprobado</t>
        </is>
      </c>
      <c r="H11" s="53" t="inlineStr">
        <is>
          <t>Carmen Santa Cruz</t>
        </is>
      </c>
      <c r="I11" s="38" t="n"/>
    </row>
    <row r="12" ht="24" customHeight="1" s="144">
      <c r="A12" s="38" t="n"/>
      <c r="B12" s="53" t="n">
        <v>5</v>
      </c>
      <c r="C12" s="54" t="n">
        <v>2.1</v>
      </c>
      <c r="D12" s="55" t="n">
        <v>41662</v>
      </c>
      <c r="E12" s="56" t="inlineStr">
        <is>
          <t>Alicia Pineda / Cynthia Aniya</t>
        </is>
      </c>
      <c r="F12" s="57" t="inlineStr">
        <is>
          <t>Se agrega el Historial_Revisiones (versionamiento de la plantilla).</t>
        </is>
      </c>
      <c r="G12" s="53" t="inlineStr">
        <is>
          <t>En revisión</t>
        </is>
      </c>
      <c r="H12" s="53" t="inlineStr">
        <is>
          <t>Carmen Santa Cruz</t>
        </is>
      </c>
      <c r="I12" s="38" t="n"/>
    </row>
    <row r="13" ht="24" customHeight="1" s="144">
      <c r="A13" s="40" t="n"/>
      <c r="B13" s="53" t="n">
        <v>6</v>
      </c>
      <c r="C13" s="54" t="n">
        <v>3</v>
      </c>
      <c r="D13" s="55" t="n">
        <v>41666</v>
      </c>
      <c r="E13" s="56" t="inlineStr">
        <is>
          <t>Alicia Pineda</t>
        </is>
      </c>
      <c r="F13" s="57" t="inlineStr">
        <is>
          <t>Se agrega el Historial_Revisiones (versionamiento de la plantilla).</t>
        </is>
      </c>
      <c r="G13" s="53" t="inlineStr">
        <is>
          <t>Aprobado</t>
        </is>
      </c>
      <c r="H13" s="53" t="inlineStr">
        <is>
          <t>Carmen Santa Cruz</t>
        </is>
      </c>
    </row>
    <row r="14" ht="36" customHeight="1" s="144">
      <c r="A14" s="47" t="n"/>
      <c r="B14" s="53" t="n">
        <v>7</v>
      </c>
      <c r="C14" s="54" t="n">
        <v>3.1</v>
      </c>
      <c r="D14" s="55" t="n">
        <v>41731</v>
      </c>
      <c r="E14" s="56" t="inlineStr">
        <is>
          <t>Cynthia Aniya</t>
        </is>
      </c>
      <c r="F14" s="57" t="inlineStr">
        <is>
          <t>Se agrega en la hoja "Historial de Revisiones" las secciones Registro de cambios, Revisores y consultores.</t>
        </is>
      </c>
      <c r="G14" s="53" t="inlineStr">
        <is>
          <t>En revisión</t>
        </is>
      </c>
      <c r="H14" s="53" t="inlineStr">
        <is>
          <t>Carmen Santa Cruz</t>
        </is>
      </c>
    </row>
    <row r="15" ht="36" customHeight="1" s="144">
      <c r="A15" s="40" t="n"/>
      <c r="B15" s="53" t="n">
        <v>8</v>
      </c>
      <c r="C15" s="54" t="n">
        <v>4</v>
      </c>
      <c r="D15" s="55" t="n">
        <v>41732</v>
      </c>
      <c r="E15" s="56" t="inlineStr">
        <is>
          <t>Cynthia Aniya</t>
        </is>
      </c>
      <c r="F15" s="57" t="inlineStr">
        <is>
          <t>Se agrega en la hoja "Historial de Revisiones" las secciones Registro de cambios, Revisores y consultores.</t>
        </is>
      </c>
      <c r="G15" s="53" t="inlineStr">
        <is>
          <t>Aprobado</t>
        </is>
      </c>
      <c r="H15" s="53" t="inlineStr">
        <is>
          <t>Carmen Santa Cruz</t>
        </is>
      </c>
    </row>
    <row r="16">
      <c r="A16" s="47" t="n"/>
      <c r="B16" s="53" t="n"/>
      <c r="C16" s="54" t="n"/>
      <c r="D16" s="55" t="n"/>
      <c r="E16" s="56" t="n"/>
      <c r="F16" s="57" t="n"/>
      <c r="G16" s="53" t="n"/>
      <c r="H16" s="53" t="n"/>
    </row>
    <row r="17">
      <c r="A17" s="40" t="n"/>
      <c r="B17" s="53" t="n"/>
      <c r="C17" s="54" t="n"/>
      <c r="D17" s="55" t="n"/>
      <c r="E17" s="56" t="n"/>
      <c r="F17" s="57" t="n"/>
      <c r="G17" s="53" t="n"/>
      <c r="H17" s="53" t="n"/>
    </row>
    <row r="18">
      <c r="A18" s="40" t="n"/>
      <c r="B18" s="143" t="n"/>
    </row>
    <row r="19">
      <c r="A19" s="40" t="n"/>
      <c r="B19" s="143" t="n"/>
      <c r="C19" s="143" t="n"/>
      <c r="D19" s="143" t="n"/>
      <c r="E19" s="143" t="n"/>
      <c r="F19" s="143" t="n"/>
      <c r="G19" s="143" t="n"/>
      <c r="H19" s="143" t="n"/>
    </row>
    <row r="20">
      <c r="A20" s="40" t="n"/>
      <c r="B20" s="41" t="n"/>
      <c r="C20" s="145" t="n"/>
    </row>
    <row r="21">
      <c r="A21" s="40" t="n"/>
      <c r="B21" s="42" t="n"/>
      <c r="C21" s="143" t="n"/>
      <c r="D21" s="143" t="n"/>
      <c r="E21" s="143" t="n"/>
      <c r="F21" s="143" t="n"/>
      <c r="G21" s="143" t="n"/>
      <c r="H21" s="143" t="n"/>
    </row>
    <row r="22">
      <c r="A22" s="40" t="n"/>
      <c r="B22" s="43" t="n"/>
      <c r="C22" s="146" t="n"/>
    </row>
    <row r="23">
      <c r="A23" s="40" t="n"/>
      <c r="B23" s="44" t="n"/>
      <c r="C23" s="143" t="n"/>
      <c r="D23" s="143" t="n"/>
      <c r="E23" s="143" t="n"/>
      <c r="F23" s="143" t="n"/>
      <c r="G23" s="143" t="n"/>
      <c r="H23" s="143" t="n"/>
    </row>
    <row r="24">
      <c r="A24" s="40" t="n"/>
      <c r="B24" s="41" t="n"/>
      <c r="C24" s="145" t="n"/>
    </row>
    <row r="25">
      <c r="A25" s="40" t="n"/>
      <c r="B25" s="42" t="n"/>
      <c r="C25" s="143" t="n"/>
      <c r="D25" s="143" t="n"/>
      <c r="E25" s="143" t="n"/>
      <c r="F25" s="143" t="n"/>
      <c r="G25" s="143" t="n"/>
      <c r="H25" s="143" t="n"/>
    </row>
    <row r="26">
      <c r="A26" s="40" t="n"/>
      <c r="B26" s="43" t="n"/>
      <c r="C26" s="146" t="n"/>
    </row>
    <row r="27">
      <c r="A27" s="40" t="n"/>
      <c r="B27" s="42" t="n"/>
      <c r="C27" s="143" t="n"/>
      <c r="D27" s="143" t="n"/>
      <c r="E27" s="143" t="n"/>
      <c r="F27" s="143" t="n"/>
      <c r="G27" s="143" t="n"/>
      <c r="H27" s="143" t="n"/>
    </row>
    <row r="28">
      <c r="A28" s="40" t="n"/>
      <c r="B28" s="42" t="n"/>
      <c r="C28" s="143" t="n"/>
      <c r="D28" s="143" t="n"/>
      <c r="E28" s="143" t="n"/>
      <c r="F28" s="143" t="n"/>
      <c r="G28" s="143" t="n"/>
      <c r="H28" s="143" t="n"/>
    </row>
    <row r="29">
      <c r="A29" s="40" t="n"/>
      <c r="B29" s="41" t="n"/>
      <c r="C29" s="145" t="n"/>
    </row>
    <row r="30">
      <c r="A30" s="40" t="n"/>
      <c r="B30" s="143" t="n"/>
      <c r="C30" s="143" t="n"/>
      <c r="D30" s="143" t="n"/>
      <c r="E30" s="143" t="n"/>
      <c r="F30" s="143" t="n"/>
      <c r="G30" s="143" t="n"/>
      <c r="H30" s="143" t="n"/>
    </row>
    <row r="31">
      <c r="A31" s="40" t="n"/>
      <c r="B31" s="43" t="n"/>
      <c r="C31" s="146" t="n"/>
    </row>
    <row r="32">
      <c r="A32" s="40" t="n"/>
      <c r="B32" s="43" t="n"/>
      <c r="C32" s="146" t="n"/>
    </row>
    <row r="33">
      <c r="A33" s="40" t="n"/>
      <c r="B33" s="43" t="n"/>
      <c r="C33" s="156" t="n"/>
    </row>
    <row r="34">
      <c r="A34" s="40" t="n"/>
      <c r="B34" s="45" t="n"/>
      <c r="C34" s="148" t="n"/>
      <c r="E34" s="148" t="n"/>
      <c r="F34" s="148" t="n"/>
      <c r="G34" s="148" t="n"/>
      <c r="H34" s="140" t="n"/>
    </row>
    <row r="35">
      <c r="A35" s="40" t="n"/>
      <c r="B35" s="45" t="n"/>
      <c r="C35" s="148" t="n"/>
      <c r="E35" s="148" t="n"/>
      <c r="F35" s="148" t="n"/>
      <c r="G35" s="148" t="n"/>
      <c r="H35" s="140" t="n"/>
    </row>
    <row r="36">
      <c r="A36" s="40" t="n"/>
      <c r="B36" s="45" t="n"/>
      <c r="C36" s="148" t="n"/>
      <c r="E36" s="148" t="n"/>
      <c r="F36" s="148" t="n"/>
      <c r="G36" s="148" t="n"/>
      <c r="H36" s="140" t="n"/>
    </row>
    <row r="37">
      <c r="A37" s="40" t="n"/>
      <c r="B37" s="45" t="n"/>
      <c r="C37" s="148" t="n"/>
      <c r="E37" s="148" t="n"/>
      <c r="F37" s="148" t="n"/>
      <c r="G37" s="148" t="n"/>
      <c r="H37" s="140" t="n"/>
    </row>
    <row r="38">
      <c r="A38" s="40" t="n"/>
      <c r="B38" s="45" t="n"/>
      <c r="C38" s="148" t="n"/>
      <c r="E38" s="148" t="n"/>
      <c r="F38" s="148" t="n"/>
      <c r="G38" s="148" t="n"/>
      <c r="H38" s="140" t="n"/>
    </row>
    <row r="39">
      <c r="A39" s="40" t="n"/>
      <c r="B39" s="45" t="n"/>
      <c r="C39" s="148" t="n"/>
      <c r="E39" s="148" t="n"/>
      <c r="F39" s="148" t="n"/>
      <c r="G39" s="148" t="n"/>
      <c r="H39" s="140" t="n"/>
    </row>
    <row r="40">
      <c r="A40" s="40" t="n"/>
      <c r="B40" s="45" t="n"/>
      <c r="C40" s="148" t="n"/>
      <c r="E40" s="148" t="n"/>
      <c r="F40" s="148" t="n"/>
      <c r="G40" s="148" t="n"/>
      <c r="H40" s="46" t="n"/>
    </row>
    <row r="41">
      <c r="A41" s="40" t="n"/>
      <c r="B41" s="45" t="n"/>
      <c r="C41" s="148" t="n"/>
      <c r="E41" s="148" t="n"/>
      <c r="F41" s="148" t="n"/>
      <c r="G41" s="148" t="n"/>
      <c r="H41" s="46" t="n"/>
    </row>
    <row r="42">
      <c r="A42" s="40" t="n"/>
      <c r="B42" s="45" t="n"/>
      <c r="C42" s="148" t="n"/>
      <c r="E42" s="148" t="n"/>
      <c r="F42" s="148" t="n"/>
      <c r="G42" s="148" t="n"/>
      <c r="H42" s="46" t="n"/>
    </row>
    <row r="43">
      <c r="A43" s="40" t="n"/>
      <c r="B43" s="45" t="n"/>
      <c r="C43" s="148" t="n"/>
      <c r="E43" s="148" t="n"/>
      <c r="F43" s="148" t="n"/>
      <c r="G43" s="148" t="n"/>
      <c r="H43" s="46" t="n"/>
    </row>
    <row r="44">
      <c r="A44" s="40" t="n"/>
      <c r="B44" s="45" t="n"/>
      <c r="C44" s="149" t="n"/>
    </row>
    <row r="45">
      <c r="A45" s="40" t="n"/>
      <c r="B45" s="40" t="n"/>
      <c r="C45" s="38" t="n"/>
      <c r="D45" s="40" t="n"/>
      <c r="E45" s="40" t="n"/>
      <c r="F45" s="40" t="n"/>
      <c r="G45" s="40" t="n"/>
      <c r="H45" s="40" t="n"/>
    </row>
    <row r="46">
      <c r="A46" s="47" t="n"/>
      <c r="B46" s="40" t="n"/>
      <c r="C46" s="40" t="n"/>
      <c r="D46" s="40" t="n"/>
      <c r="E46" s="40" t="n"/>
      <c r="F46" s="40" t="n"/>
      <c r="G46" s="40" t="n"/>
      <c r="H46" s="40" t="n"/>
    </row>
    <row r="47">
      <c r="A47" s="40" t="n"/>
      <c r="B47" s="40" t="n"/>
      <c r="C47" s="40" t="n"/>
      <c r="D47" s="40" t="n"/>
      <c r="E47" s="40" t="n"/>
      <c r="F47" s="40" t="n"/>
      <c r="G47" s="40" t="n"/>
      <c r="H47" s="40" t="n"/>
    </row>
    <row r="48">
      <c r="A48" s="43" t="n"/>
      <c r="B48" s="40" t="n"/>
      <c r="C48" s="40" t="n"/>
      <c r="D48" s="40" t="n"/>
      <c r="E48" s="40" t="n"/>
      <c r="F48" s="40" t="n"/>
      <c r="G48" s="40" t="n"/>
      <c r="H48" s="40" t="n"/>
    </row>
    <row r="49">
      <c r="A49" s="43" t="n"/>
      <c r="B49" s="40" t="n"/>
      <c r="C49" s="40" t="n"/>
      <c r="D49" s="40" t="n"/>
      <c r="E49" s="40" t="n"/>
      <c r="F49" s="40" t="n"/>
      <c r="G49" s="40" t="n"/>
      <c r="H49" s="40" t="n"/>
    </row>
    <row r="50">
      <c r="A50" s="43" t="n"/>
      <c r="B50" s="40" t="n"/>
      <c r="C50" s="40" t="n"/>
      <c r="D50" s="40" t="n"/>
      <c r="E50" s="40" t="n"/>
      <c r="F50" s="40" t="n"/>
      <c r="G50" s="40" t="n"/>
      <c r="H50" s="40" t="n"/>
    </row>
    <row r="51">
      <c r="A51" s="40" t="n"/>
      <c r="B51" s="148" t="n"/>
      <c r="D51" s="40" t="n"/>
      <c r="E51" s="40" t="n"/>
      <c r="F51" s="40" t="n"/>
      <c r="G51" s="40" t="n"/>
      <c r="H51" s="40" t="n"/>
    </row>
    <row r="52">
      <c r="A52" s="40" t="n"/>
      <c r="B52" s="148" t="n"/>
      <c r="D52" s="40" t="n"/>
      <c r="E52" s="40" t="n"/>
      <c r="F52" s="40" t="n"/>
      <c r="G52" s="40" t="n"/>
      <c r="H52" s="40" t="n"/>
    </row>
    <row r="53">
      <c r="A53" s="40" t="n"/>
      <c r="B53" s="148" t="n"/>
      <c r="D53" s="40" t="n"/>
      <c r="E53" s="40" t="n"/>
      <c r="F53" s="40" t="n"/>
      <c r="G53" s="40" t="n"/>
      <c r="H53" s="40" t="n"/>
    </row>
    <row r="54">
      <c r="A54" s="40" t="n"/>
      <c r="B54" s="148" t="n"/>
      <c r="D54" s="40" t="n"/>
      <c r="E54" s="40" t="n"/>
      <c r="F54" s="40" t="n"/>
      <c r="G54" s="40" t="n"/>
      <c r="H54" s="40" t="n"/>
    </row>
    <row r="55">
      <c r="A55" s="40" t="n"/>
      <c r="B55" s="148" t="n"/>
      <c r="D55" s="40" t="n"/>
      <c r="E55" s="40" t="n"/>
      <c r="F55" s="40" t="n"/>
      <c r="G55" s="40" t="n"/>
      <c r="H55" s="40" t="n"/>
    </row>
    <row r="56">
      <c r="A56" s="40" t="n"/>
      <c r="B56" s="148" t="n"/>
      <c r="D56" s="40" t="n"/>
      <c r="E56" s="40" t="n"/>
      <c r="F56" s="40" t="n"/>
      <c r="G56" s="40" t="n"/>
      <c r="H56" s="40" t="n"/>
    </row>
    <row r="57">
      <c r="A57" s="40" t="n"/>
      <c r="B57" s="148" t="n"/>
      <c r="D57" s="40" t="n"/>
      <c r="E57" s="40" t="n"/>
      <c r="F57" s="40" t="n"/>
      <c r="G57" s="40" t="n"/>
      <c r="H57" s="40" t="n"/>
    </row>
    <row r="58">
      <c r="A58" s="40" t="n"/>
      <c r="B58" s="148" t="n"/>
      <c r="D58" s="40" t="n"/>
      <c r="E58" s="40" t="n"/>
      <c r="F58" s="40" t="n"/>
      <c r="G58" s="40" t="n"/>
      <c r="H58" s="40" t="n"/>
    </row>
    <row r="59">
      <c r="A59" s="40" t="n"/>
      <c r="B59" s="148" t="n"/>
      <c r="D59" s="40" t="n"/>
      <c r="E59" s="40" t="n"/>
      <c r="F59" s="40" t="n"/>
      <c r="G59" s="40" t="n"/>
      <c r="H59" s="40" t="n"/>
    </row>
    <row r="60">
      <c r="A60" s="40" t="n"/>
      <c r="B60" s="148" t="n"/>
      <c r="D60" s="40" t="n"/>
      <c r="E60" s="40" t="n"/>
      <c r="F60" s="40" t="n"/>
      <c r="G60" s="40" t="n"/>
      <c r="H60" s="40" t="n"/>
    </row>
    <row r="61">
      <c r="A61" s="40" t="n"/>
      <c r="B61" s="148" t="n"/>
      <c r="D61" s="40" t="n"/>
      <c r="E61" s="40" t="n"/>
      <c r="F61" s="40" t="n"/>
      <c r="G61" s="40" t="n"/>
      <c r="H61" s="40" t="n"/>
    </row>
    <row r="62">
      <c r="A62" s="40" t="n"/>
      <c r="B62" s="148" t="n"/>
      <c r="D62" s="40" t="n"/>
      <c r="E62" s="40" t="n"/>
      <c r="F62" s="40" t="n"/>
      <c r="G62" s="40" t="n"/>
      <c r="H62" s="40" t="n"/>
    </row>
    <row r="63">
      <c r="A63" s="43" t="n"/>
      <c r="B63" s="40" t="n"/>
      <c r="C63" s="148" t="n"/>
      <c r="D63" s="40" t="n"/>
      <c r="E63" s="40" t="n"/>
      <c r="F63" s="40" t="n"/>
      <c r="G63" s="40" t="n"/>
      <c r="H63" s="40" t="n"/>
    </row>
    <row r="64">
      <c r="A64" s="43" t="n"/>
      <c r="B64" s="145" t="n"/>
    </row>
    <row r="65">
      <c r="A65" s="43" t="n"/>
      <c r="B65" s="145" t="n"/>
    </row>
    <row r="66">
      <c r="A66" s="40" t="n"/>
      <c r="B66" s="40" t="n"/>
      <c r="C66" s="40" t="n"/>
      <c r="D66" s="40" t="n"/>
      <c r="E66" s="40" t="n"/>
      <c r="F66" s="40" t="n"/>
      <c r="G66" s="40" t="n"/>
      <c r="H66" s="40" t="n"/>
    </row>
    <row r="67">
      <c r="A67" s="47" t="n"/>
      <c r="B67" s="40" t="n"/>
      <c r="C67" s="40" t="n"/>
      <c r="D67" s="40" t="n"/>
      <c r="E67" s="40" t="n"/>
      <c r="F67" s="40" t="n"/>
      <c r="G67" s="40" t="n"/>
      <c r="H67" s="40" t="n"/>
    </row>
    <row r="68">
      <c r="A68" s="40" t="n"/>
      <c r="B68" s="40" t="n"/>
      <c r="C68" s="40" t="n"/>
      <c r="D68" s="40" t="n"/>
      <c r="E68" s="40" t="n"/>
      <c r="F68" s="40" t="n"/>
      <c r="G68" s="40" t="n"/>
      <c r="H68" s="40" t="n"/>
    </row>
    <row r="69">
      <c r="A69" s="43" t="n"/>
      <c r="B69" s="147" t="n"/>
    </row>
    <row r="70">
      <c r="A70" s="43" t="n"/>
      <c r="B70" s="147" t="n"/>
    </row>
    <row r="71">
      <c r="A71" s="43" t="n"/>
      <c r="B71" s="147" t="n"/>
    </row>
    <row r="72">
      <c r="A72" s="43" t="n"/>
      <c r="B72" s="147" t="n"/>
    </row>
  </sheetData>
  <mergeCells count="43">
    <mergeCell ref="B2:C2"/>
    <mergeCell ref="D2:G2"/>
    <mergeCell ref="C40:D40"/>
    <mergeCell ref="C26:H26"/>
    <mergeCell ref="C29:H29"/>
    <mergeCell ref="C31:H31"/>
    <mergeCell ref="C32:H32"/>
    <mergeCell ref="C33:H33"/>
    <mergeCell ref="C34:D34"/>
    <mergeCell ref="C35:D35"/>
    <mergeCell ref="C36:D36"/>
    <mergeCell ref="C37:D37"/>
    <mergeCell ref="C38:D38"/>
    <mergeCell ref="C39:D39"/>
    <mergeCell ref="B3:C3"/>
    <mergeCell ref="D3:G3"/>
    <mergeCell ref="B70:H70"/>
    <mergeCell ref="B71:H71"/>
    <mergeCell ref="B72:H72"/>
    <mergeCell ref="B5:H5"/>
    <mergeCell ref="B59:C59"/>
    <mergeCell ref="B60:C60"/>
    <mergeCell ref="B61:C61"/>
    <mergeCell ref="B62:C62"/>
    <mergeCell ref="B64:H64"/>
    <mergeCell ref="B65:H65"/>
    <mergeCell ref="B53:C53"/>
    <mergeCell ref="B54:C54"/>
    <mergeCell ref="B55:C55"/>
    <mergeCell ref="B56:C56"/>
    <mergeCell ref="B57:C57"/>
    <mergeCell ref="B58:C58"/>
    <mergeCell ref="B18:H18"/>
    <mergeCell ref="C20:H20"/>
    <mergeCell ref="C22:H22"/>
    <mergeCell ref="C24:H24"/>
    <mergeCell ref="B69:H69"/>
    <mergeCell ref="C41:D41"/>
    <mergeCell ref="C42:D42"/>
    <mergeCell ref="C43:D43"/>
    <mergeCell ref="C44:H44"/>
    <mergeCell ref="B51:C51"/>
    <mergeCell ref="B52:C52"/>
  </mergeCells>
  <pageMargins left="0.7" right="0.7" top="0.75" bottom="0.75" header="0.3" footer="0.3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2:K79"/>
  <sheetViews>
    <sheetView showGridLines="0" tabSelected="1" zoomScale="80" zoomScaleNormal="80" workbookViewId="0">
      <selection activeCell="F12" sqref="F12"/>
    </sheetView>
  </sheetViews>
  <sheetFormatPr baseColWidth="10" defaultColWidth="9.140625" defaultRowHeight="12.75"/>
  <cols>
    <col width="2.85546875" customWidth="1" style="166" min="1" max="1"/>
    <col width="26.42578125" customWidth="1" style="93" min="2" max="2"/>
    <col width="3.140625" customWidth="1" style="166" min="3" max="3"/>
    <col width="9.140625" customWidth="1" style="166" min="4" max="4"/>
    <col width="44.42578125" customWidth="1" style="166" min="5" max="5"/>
    <col width="28.5703125" customWidth="1" style="166" min="6" max="6"/>
    <col width="9.140625" customWidth="1" style="166" min="7" max="10"/>
    <col width="12.28515625" customWidth="1" style="166" min="11" max="11"/>
    <col width="9.140625" customWidth="1" style="166" min="12" max="12"/>
    <col width="9.140625" customWidth="1" style="166" min="13" max="16384"/>
  </cols>
  <sheetData>
    <row r="2" ht="15.75" customHeight="1" s="144">
      <c r="A2" s="1" t="n"/>
      <c r="B2" s="87" t="n"/>
      <c r="C2" s="88" t="n"/>
      <c r="D2" s="169" t="inlineStr">
        <is>
          <t>PROCESO DE INGENIERÍA</t>
        </is>
      </c>
      <c r="E2" s="154" t="n"/>
      <c r="F2" s="110" t="inlineStr">
        <is>
          <t>CONFIDENCIAL</t>
        </is>
      </c>
      <c r="G2" s="6" t="n"/>
      <c r="H2" s="6" t="n"/>
      <c r="I2" s="6" t="n"/>
      <c r="J2" s="6" t="n"/>
      <c r="K2" s="6" t="n"/>
    </row>
    <row r="3" ht="12.75" customHeight="1" s="144">
      <c r="A3" s="1" t="n"/>
      <c r="B3" s="89" t="n"/>
      <c r="C3" s="90" t="n"/>
      <c r="D3" s="169" t="inlineStr">
        <is>
          <t>DS.F.176  ICO-Casos de Prueba_INTEGRA</t>
        </is>
      </c>
      <c r="E3" s="170" t="n"/>
      <c r="F3" s="85" t="inlineStr">
        <is>
          <t>Versión: 1.0</t>
        </is>
      </c>
      <c r="G3" s="6" t="n"/>
      <c r="H3" s="6" t="n"/>
      <c r="I3" s="6" t="n"/>
      <c r="J3" s="6" t="n"/>
      <c r="K3" s="6" t="n"/>
    </row>
    <row r="4">
      <c r="A4" s="1" t="n"/>
      <c r="B4" s="91" t="n"/>
      <c r="C4" s="92" t="n"/>
      <c r="D4" s="171" t="n"/>
      <c r="E4" s="172" t="n"/>
      <c r="F4" s="86" t="inlineStr">
        <is>
          <t>Fecha:  03/12/2020</t>
        </is>
      </c>
      <c r="G4" s="6" t="n"/>
      <c r="H4" s="6" t="n"/>
      <c r="I4" s="6" t="n"/>
      <c r="J4" s="6" t="n"/>
      <c r="K4" s="6" t="n"/>
    </row>
    <row r="5" ht="15.75" customHeight="1" s="144">
      <c r="A5" s="1" t="n"/>
      <c r="B5" s="2" t="n"/>
      <c r="C5" s="3" t="n"/>
      <c r="D5" s="3" t="n"/>
    </row>
    <row r="6" ht="15.75" customHeight="1" s="144">
      <c r="A6" s="1" t="n"/>
      <c r="B6" s="94" t="inlineStr">
        <is>
          <t>Leyenda de colores</t>
        </is>
      </c>
      <c r="C6" s="3" t="n"/>
      <c r="D6" s="3" t="n"/>
    </row>
    <row r="7" ht="15.75" customHeight="1" s="144">
      <c r="A7" s="1" t="n"/>
      <c r="B7" s="95" t="inlineStr">
        <is>
          <t>Color</t>
        </is>
      </c>
      <c r="C7" s="4" t="n"/>
      <c r="D7" s="163" t="inlineStr">
        <is>
          <t>Descripción</t>
        </is>
      </c>
      <c r="E7" s="151" t="n"/>
      <c r="F7" s="154" t="n"/>
      <c r="G7" s="15" t="n"/>
      <c r="H7" s="15" t="n"/>
      <c r="I7" s="15" t="n"/>
      <c r="J7" s="15" t="n"/>
      <c r="K7" s="15" t="n"/>
    </row>
    <row r="8" ht="15.75" customHeight="1" s="144">
      <c r="A8" s="1" t="n"/>
      <c r="C8" s="3" t="n"/>
      <c r="D8" s="8" t="n"/>
      <c r="E8" s="8" t="n"/>
      <c r="F8" s="8" t="n"/>
      <c r="G8" s="8" t="n"/>
      <c r="H8" s="8" t="n"/>
      <c r="I8" s="8" t="n"/>
      <c r="J8" s="8" t="n"/>
      <c r="K8" s="8" t="n"/>
    </row>
    <row r="9" ht="12" customHeight="1" s="144">
      <c r="A9" s="1" t="n"/>
      <c r="B9" s="96" t="n"/>
      <c r="D9" s="165" t="inlineStr">
        <is>
          <t>Las celdas con este color de fondo, son celdas en las que se debe ingresar información</t>
        </is>
      </c>
    </row>
    <row r="10" ht="9.949999999999999" customHeight="1" s="144">
      <c r="A10" s="1" t="n"/>
      <c r="B10" s="97" t="n"/>
      <c r="D10" s="12" t="n"/>
      <c r="E10" s="12" t="n"/>
      <c r="F10" s="12" t="n"/>
      <c r="G10" s="12" t="n"/>
      <c r="H10" s="12" t="n"/>
      <c r="I10" s="12" t="n"/>
      <c r="J10" s="12" t="n"/>
      <c r="K10" s="12" t="n"/>
    </row>
    <row r="11" ht="12" customHeight="1" s="144">
      <c r="A11" s="1" t="n"/>
      <c r="B11" s="98" t="n"/>
      <c r="D11" s="165" t="inlineStr">
        <is>
          <t>Las celdas con este color de fondo o con fondo color blanco, son celdas de contenido fijo</t>
        </is>
      </c>
    </row>
    <row r="12" ht="9.949999999999999" customHeight="1" s="144">
      <c r="A12" s="1" t="n"/>
      <c r="D12" s="12" t="n"/>
      <c r="E12" s="12" t="n"/>
      <c r="F12" s="12" t="n"/>
      <c r="G12" s="12" t="n"/>
      <c r="H12" s="12" t="n"/>
      <c r="I12" s="12" t="n"/>
      <c r="J12" s="12" t="n"/>
      <c r="K12" s="12" t="n"/>
    </row>
    <row r="13" ht="12" customHeight="1" s="144">
      <c r="A13" s="5" t="n"/>
      <c r="B13" s="99" t="n"/>
      <c r="D13" s="165" t="inlineStr">
        <is>
          <t>Las celdas con este color de fondo, son celdas que se obtienen mediante fórmula.</t>
        </is>
      </c>
    </row>
    <row r="14">
      <c r="A14" s="5" t="n"/>
    </row>
    <row r="16" ht="12" customFormat="1" customHeight="1" s="100">
      <c r="B16" s="167" t="inlineStr">
        <is>
          <t>Hojas</t>
        </is>
      </c>
      <c r="C16" s="151" t="n"/>
      <c r="D16" s="151" t="n"/>
      <c r="E16" s="151" t="n"/>
      <c r="F16" s="154" t="n"/>
    </row>
    <row r="17" ht="13.5" customFormat="1" customHeight="1" s="100">
      <c r="B17" s="101" t="inlineStr">
        <is>
          <t>Columna</t>
        </is>
      </c>
      <c r="C17" s="168" t="inlineStr">
        <is>
          <t>Descripción</t>
        </is>
      </c>
      <c r="D17" s="151" t="n"/>
      <c r="E17" s="151" t="n"/>
      <c r="F17" s="154" t="n"/>
    </row>
    <row r="18" ht="13.5" customFormat="1" customHeight="1" s="100">
      <c r="B18" s="164" t="inlineStr">
        <is>
          <t>Instructivo</t>
        </is>
      </c>
      <c r="C18" s="164" t="inlineStr">
        <is>
          <t>Esta hoja</t>
        </is>
      </c>
      <c r="D18" s="151" t="n"/>
      <c r="E18" s="151" t="n"/>
      <c r="F18" s="154" t="n"/>
    </row>
    <row r="19" ht="13.5" customFormat="1" customHeight="1" s="100">
      <c r="B19" s="164" t="inlineStr">
        <is>
          <t>Historial de Revisiones</t>
        </is>
      </c>
      <c r="C19" s="164" t="inlineStr">
        <is>
          <t>Hoja con información sobre las versiones del documento</t>
        </is>
      </c>
      <c r="D19" s="151" t="n"/>
      <c r="E19" s="151" t="n"/>
      <c r="F19" s="154" t="n"/>
    </row>
    <row r="20" ht="13.5" customFormat="1" customHeight="1" s="100">
      <c r="B20" s="164" t="inlineStr">
        <is>
          <t>Resumen</t>
        </is>
      </c>
      <c r="C20" s="164" t="inlineStr">
        <is>
          <t>Hoja con información genérica sobre los escenarios</t>
        </is>
      </c>
      <c r="D20" s="151" t="n"/>
      <c r="E20" s="151" t="n"/>
      <c r="F20" s="154" t="n"/>
    </row>
    <row r="21" ht="13.5" customFormat="1" customHeight="1" s="100">
      <c r="B21" s="164" t="inlineStr">
        <is>
          <t>EscenarioXXX</t>
        </is>
      </c>
      <c r="C21" s="164" t="inlineStr">
        <is>
          <t>Hoja correspondiente al Nro de escenario XXX definidos en la lista de Escenarios de la hoja Resumen</t>
        </is>
      </c>
      <c r="D21" s="151" t="n"/>
      <c r="E21" s="151" t="n"/>
      <c r="F21" s="154" t="n"/>
    </row>
    <row r="22" ht="13.5" customFormat="1" customHeight="1" s="100">
      <c r="B22" s="164" t="inlineStr">
        <is>
          <t>EstandarXXX</t>
        </is>
      </c>
      <c r="C22" s="164" t="inlineStr">
        <is>
          <t>Hoja correspondiente a la revision de estandares decidida por el consultor responsable</t>
        </is>
      </c>
      <c r="D22" s="151" t="n"/>
      <c r="E22" s="151" t="n"/>
      <c r="F22" s="154" t="n"/>
    </row>
    <row r="23" ht="13.5" customFormat="1" customHeight="1" s="100">
      <c r="B23" s="103" t="n"/>
      <c r="C23" s="103" t="n"/>
      <c r="D23" s="103" t="n"/>
      <c r="E23" s="103" t="n"/>
      <c r="F23" s="103" t="n"/>
    </row>
    <row r="24" ht="12" customFormat="1" customHeight="1" s="100">
      <c r="B24" s="167" t="inlineStr">
        <is>
          <t>Hoja Historial de Revisiones</t>
        </is>
      </c>
      <c r="C24" s="151" t="n"/>
      <c r="D24" s="151" t="n"/>
      <c r="E24" s="151" t="n"/>
      <c r="F24" s="154" t="n"/>
    </row>
    <row r="25" ht="13.5" customFormat="1" customHeight="1" s="100">
      <c r="B25" s="101" t="inlineStr">
        <is>
          <t>Columna</t>
        </is>
      </c>
      <c r="C25" s="168" t="inlineStr">
        <is>
          <t>Descripción</t>
        </is>
      </c>
      <c r="D25" s="151" t="n"/>
      <c r="E25" s="151" t="n"/>
      <c r="F25" s="154" t="n"/>
    </row>
    <row r="26" ht="12" customFormat="1" customHeight="1" s="100">
      <c r="B26" s="164" t="inlineStr">
        <is>
          <t>OT</t>
        </is>
      </c>
      <c r="C26" s="159" t="inlineStr">
        <is>
          <t>Número de la OT a la cual se realiza la prueba</t>
        </is>
      </c>
      <c r="D26" s="151" t="n"/>
      <c r="E26" s="151" t="n"/>
      <c r="F26" s="154" t="n"/>
    </row>
    <row r="27" ht="12" customFormat="1" customHeight="1" s="100">
      <c r="B27" s="164" t="inlineStr">
        <is>
          <t>OC</t>
        </is>
      </c>
      <c r="C27" s="159" t="inlineStr">
        <is>
          <t>Número de la Orden de Cambio.</t>
        </is>
      </c>
      <c r="D27" s="151" t="n"/>
      <c r="E27" s="151" t="n"/>
      <c r="F27" s="154" t="n"/>
    </row>
    <row r="28" ht="11.25" customFormat="1" customHeight="1" s="100">
      <c r="B28" s="164" t="inlineStr">
        <is>
          <t>Autores - Fecha</t>
        </is>
      </c>
      <c r="C28" s="164" t="inlineStr">
        <is>
          <t>Fecha de Creación del documento</t>
        </is>
      </c>
      <c r="D28" s="151" t="n"/>
      <c r="E28" s="151" t="n"/>
      <c r="F28" s="154" t="n"/>
    </row>
    <row r="29" ht="11.25" customFormat="1" customHeight="1" s="100">
      <c r="B29" s="164" t="inlineStr">
        <is>
          <t>Autores - Autor</t>
        </is>
      </c>
      <c r="C29" s="164" t="inlineStr">
        <is>
          <t>Nombre del Creador del documento</t>
        </is>
      </c>
      <c r="D29" s="151" t="n"/>
      <c r="E29" s="151" t="n"/>
      <c r="F29" s="154" t="n"/>
    </row>
    <row r="30" ht="11.25" customFormat="1" customHeight="1" s="100">
      <c r="B30" s="164" t="inlineStr">
        <is>
          <t>Autores - Cargo / Rol</t>
        </is>
      </c>
      <c r="C30" s="164" t="inlineStr">
        <is>
          <t>Cargo o Rol, de la persona que creó el documento</t>
        </is>
      </c>
      <c r="D30" s="151" t="n"/>
      <c r="E30" s="151" t="n"/>
      <c r="F30" s="154" t="n"/>
    </row>
    <row r="31" ht="11.25" customFormat="1" customHeight="1" s="100">
      <c r="B31" s="164" t="inlineStr">
        <is>
          <t>Registro de Cambios - Versión</t>
        </is>
      </c>
      <c r="C31" s="164" t="inlineStr">
        <is>
          <t>En esta columna se ingresa la versión del documento, iniciar con 0.1</t>
        </is>
      </c>
      <c r="D31" s="151" t="n"/>
      <c r="E31" s="151" t="n"/>
      <c r="F31" s="154" t="n"/>
    </row>
    <row r="32" ht="11.25" customFormat="1" customHeight="1" s="100">
      <c r="B32" s="164" t="inlineStr">
        <is>
          <t>Registro de Cambios - Fecha</t>
        </is>
      </c>
      <c r="C32" s="164" t="inlineStr">
        <is>
          <t>Fecha en que se genera la versión del documento</t>
        </is>
      </c>
      <c r="D32" s="151" t="n"/>
      <c r="E32" s="151" t="n"/>
      <c r="F32" s="154" t="n"/>
    </row>
    <row r="33" ht="11.25" customFormat="1" customHeight="1" s="100">
      <c r="B33" s="164" t="inlineStr">
        <is>
          <t>Registro de Cambios - Autor</t>
        </is>
      </c>
      <c r="C33" s="164" t="inlineStr">
        <is>
          <t>Nombre de la persona que genera la versión</t>
        </is>
      </c>
      <c r="D33" s="151" t="n"/>
      <c r="E33" s="151" t="n"/>
      <c r="F33" s="154" t="n"/>
    </row>
    <row r="34" ht="22.5" customFormat="1" customHeight="1" s="100">
      <c r="B34" s="164" t="inlineStr">
        <is>
          <t>Registro de Cambios - Referencia del Cambio</t>
        </is>
      </c>
      <c r="C34" s="164" t="inlineStr">
        <is>
          <t>Indicar porqué se ha generado la versión, para la primera indicar "Creación del documento"</t>
        </is>
      </c>
      <c r="D34" s="151" t="n"/>
      <c r="E34" s="151" t="n"/>
      <c r="F34" s="154" t="n"/>
    </row>
    <row r="35" ht="11.25" customFormat="1" customHeight="1" s="100">
      <c r="B35" s="164" t="inlineStr">
        <is>
          <t>Revisores - Versión Aprobada</t>
        </is>
      </c>
      <c r="C35" s="164" t="inlineStr">
        <is>
          <t>En esta columna se ingresa la versión aprobada del documento, iniciar con 1.0</t>
        </is>
      </c>
      <c r="D35" s="151" t="n"/>
      <c r="E35" s="151" t="n"/>
      <c r="F35" s="154" t="n"/>
    </row>
    <row r="36" ht="11.25" customFormat="1" customHeight="1" s="100">
      <c r="B36" s="164" t="inlineStr">
        <is>
          <t>Revisores - Fecha</t>
        </is>
      </c>
      <c r="C36" s="164" t="inlineStr">
        <is>
          <t>Fecha en que se genera la versión aprobada del documento</t>
        </is>
      </c>
      <c r="D36" s="151" t="n"/>
      <c r="E36" s="151" t="n"/>
      <c r="F36" s="154" t="n"/>
    </row>
    <row r="37" ht="11.25" customFormat="1" customHeight="1" s="100">
      <c r="B37" s="164" t="inlineStr">
        <is>
          <t>Revisores - Nombre</t>
        </is>
      </c>
      <c r="C37" s="164" t="inlineStr">
        <is>
          <t>Nombre de la persona que genera la versión aprobada</t>
        </is>
      </c>
      <c r="D37" s="151" t="n"/>
      <c r="E37" s="151" t="n"/>
      <c r="F37" s="154" t="n"/>
    </row>
    <row r="38" ht="11.25" customFormat="1" customHeight="1" s="100">
      <c r="B38" s="164" t="inlineStr">
        <is>
          <t>Revisores -  Cargo / Rol</t>
        </is>
      </c>
      <c r="C38" s="164" t="inlineStr">
        <is>
          <t>Cargo o Rol, de la persona que generó la versión aprobada</t>
        </is>
      </c>
      <c r="D38" s="151" t="n"/>
      <c r="E38" s="151" t="n"/>
      <c r="F38" s="154" t="n"/>
    </row>
    <row r="39" ht="11.25" customFormat="1" customHeight="1" s="100">
      <c r="B39" s="103" t="n"/>
      <c r="C39" s="103" t="n"/>
      <c r="D39" s="103" t="n"/>
      <c r="E39" s="103" t="n"/>
      <c r="F39" s="103" t="n"/>
    </row>
    <row r="40" ht="11.25" customFormat="1" customHeight="1" s="100">
      <c r="B40" s="103" t="n"/>
      <c r="C40" s="103" t="n"/>
      <c r="D40" s="103" t="n"/>
      <c r="E40" s="103" t="n"/>
      <c r="F40" s="103" t="n"/>
    </row>
    <row r="41" customFormat="1" s="104">
      <c r="B41" s="160" t="inlineStr">
        <is>
          <t>Hoja Resumen Escenarios</t>
        </is>
      </c>
      <c r="C41" s="151" t="n"/>
      <c r="D41" s="151" t="n"/>
      <c r="E41" s="151" t="n"/>
      <c r="F41" s="154" t="n"/>
    </row>
    <row r="42" customFormat="1" s="105">
      <c r="B42" s="106" t="inlineStr">
        <is>
          <t>Columna</t>
        </is>
      </c>
      <c r="C42" s="161" t="inlineStr">
        <is>
          <t>Descripción</t>
        </is>
      </c>
      <c r="D42" s="151" t="n"/>
      <c r="E42" s="151" t="n"/>
      <c r="F42" s="154" t="n"/>
    </row>
    <row r="43" ht="12" customFormat="1" customHeight="1" s="105">
      <c r="B43" s="159" t="inlineStr">
        <is>
          <t>Lista de Escenarios.Número</t>
        </is>
      </c>
      <c r="C43" s="159" t="inlineStr">
        <is>
          <t>Correlativo correspondiente al escenario definido para la OT .</t>
        </is>
      </c>
      <c r="D43" s="151" t="n"/>
      <c r="E43" s="151" t="n"/>
      <c r="F43" s="154" t="n"/>
    </row>
    <row r="44" ht="24" customFormat="1" customHeight="1" s="105">
      <c r="B44" s="159" t="inlineStr">
        <is>
          <t>Lista de Escenarios.Código de Caso de Uso</t>
        </is>
      </c>
      <c r="C44" s="159" t="inlineStr">
        <is>
          <t>Código del caso de uso asociado al escenario, en el caso que no aplique dejar en blanco</t>
        </is>
      </c>
      <c r="D44" s="151" t="n"/>
      <c r="E44" s="151" t="n"/>
      <c r="F44" s="154" t="n"/>
    </row>
    <row r="45" ht="24" customFormat="1" customHeight="1" s="105">
      <c r="B45" s="159" t="inlineStr">
        <is>
          <t>Lista de Escenarios.Descripción</t>
        </is>
      </c>
      <c r="C45" s="159" t="inlineStr">
        <is>
          <t>Definición del escenario</t>
        </is>
      </c>
      <c r="D45" s="151" t="n"/>
      <c r="E45" s="151" t="n"/>
      <c r="F45" s="154" t="n"/>
    </row>
    <row r="46" ht="24" customFormat="1" customHeight="1" s="105">
      <c r="B46" s="159" t="inlineStr">
        <is>
          <t>Lista de Escenarios.Persona que probó</t>
        </is>
      </c>
      <c r="C46" s="159" t="inlineStr">
        <is>
          <t>Nombre de la Persona que realizó la Prueba</t>
        </is>
      </c>
      <c r="D46" s="151" t="n"/>
      <c r="E46" s="151" t="n"/>
      <c r="F46" s="154" t="n"/>
    </row>
    <row r="47" ht="24" customFormat="1" customHeight="1" s="105">
      <c r="B47" s="159" t="inlineStr">
        <is>
          <t>Lista de Escenarios.Fecha de prueba</t>
        </is>
      </c>
      <c r="C47" s="159" t="inlineStr">
        <is>
          <t>Fecha en que se realizó la prueba</t>
        </is>
      </c>
      <c r="D47" s="151" t="n"/>
      <c r="E47" s="151" t="n"/>
      <c r="F47" s="154" t="n"/>
    </row>
    <row r="48" ht="36" customFormat="1" customHeight="1" s="105">
      <c r="B48" s="159" t="inlineStr">
        <is>
          <t xml:space="preserve">Revision de Estandares.Número 
</t>
        </is>
      </c>
      <c r="C48" s="159" t="inlineStr">
        <is>
          <t>Correlativo correspondiente a una revisión de Estandares</t>
        </is>
      </c>
      <c r="D48" s="151" t="n"/>
      <c r="E48" s="151" t="n"/>
      <c r="F48" s="154" t="n"/>
    </row>
    <row r="49" ht="24" customFormat="1" customHeight="1" s="105">
      <c r="B49" s="159" t="inlineStr">
        <is>
          <t>Revision de Estandares.Tipo de Revisión</t>
        </is>
      </c>
      <c r="C49" s="159" t="inlineStr">
        <is>
          <t>Tipo de Revision de Estándares a realizarse debe de basarse en uno de Los CheckList predefinidos.</t>
        </is>
      </c>
      <c r="D49" s="151" t="n"/>
      <c r="E49" s="151" t="n"/>
      <c r="F49" s="154" t="n"/>
    </row>
    <row r="50" ht="48" customFormat="1" customHeight="1" s="105">
      <c r="B50" s="159" t="inlineStr">
        <is>
          <t>Revision de Estandares.Persona que revisó
Revision de Estandares.Fecha que revisó</t>
        </is>
      </c>
      <c r="C50" s="159" t="inlineStr">
        <is>
          <t>Nombre de la Persona que realizó la revisión</t>
        </is>
      </c>
      <c r="D50" s="151" t="n"/>
      <c r="E50" s="151" t="n"/>
      <c r="F50" s="154" t="n"/>
    </row>
    <row r="51" ht="24" customFormat="1" customHeight="1" s="105">
      <c r="B51" s="159" t="inlineStr">
        <is>
          <t>Revision de Estandares.Fecha que revisó</t>
        </is>
      </c>
      <c r="C51" s="159" t="inlineStr">
        <is>
          <t>Fecha en que se realizó la revisión</t>
        </is>
      </c>
      <c r="D51" s="151" t="n"/>
      <c r="E51" s="151" t="n"/>
      <c r="F51" s="154" t="n"/>
    </row>
    <row r="52" ht="12" customFormat="1" customHeight="1" s="105">
      <c r="B52" s="107" t="n"/>
      <c r="C52" s="107" t="n"/>
      <c r="D52" s="107" t="n"/>
      <c r="E52" s="107" t="n"/>
      <c r="F52" s="107" t="n"/>
    </row>
    <row r="53" customFormat="1" s="108"/>
    <row r="54" customFormat="1" s="108">
      <c r="B54" s="160" t="inlineStr">
        <is>
          <t>Instrucciones para la(s) Hoja(s) Escenario(s)</t>
        </is>
      </c>
      <c r="C54" s="151" t="n"/>
      <c r="D54" s="151" t="n"/>
      <c r="E54" s="151" t="n"/>
      <c r="F54" s="154" t="n"/>
    </row>
    <row r="55" customFormat="1" s="108">
      <c r="B55" s="106" t="inlineStr">
        <is>
          <t>Columna</t>
        </is>
      </c>
      <c r="C55" s="161" t="inlineStr">
        <is>
          <t>Descripción</t>
        </is>
      </c>
      <c r="D55" s="151" t="n"/>
      <c r="E55" s="151" t="n"/>
      <c r="F55" s="154" t="n"/>
    </row>
    <row r="56" customFormat="1" s="108">
      <c r="B56" s="159" t="inlineStr">
        <is>
          <t>OT</t>
        </is>
      </c>
      <c r="C56" s="159" t="inlineStr">
        <is>
          <t>Número de la OT a la cual se realiza la prueba</t>
        </is>
      </c>
      <c r="D56" s="151" t="n"/>
      <c r="E56" s="151" t="n"/>
      <c r="F56" s="154" t="n"/>
    </row>
    <row r="57" ht="12" customFormat="1" customHeight="1" s="100">
      <c r="B57" s="164" t="inlineStr">
        <is>
          <t>OC</t>
        </is>
      </c>
      <c r="C57" s="159" t="inlineStr">
        <is>
          <t>Número de la Orden de Cambio.</t>
        </is>
      </c>
      <c r="D57" s="151" t="n"/>
      <c r="E57" s="151" t="n"/>
      <c r="F57" s="154" t="n"/>
    </row>
    <row r="58" customFormat="1" s="108">
      <c r="B58" s="159" t="inlineStr">
        <is>
          <t>Número de Escenario</t>
        </is>
      </c>
      <c r="C58" s="159" t="inlineStr">
        <is>
          <t>Correlativo del escenario a desarrollar por OT</t>
        </is>
      </c>
      <c r="D58" s="151" t="n"/>
      <c r="E58" s="151" t="n"/>
      <c r="F58" s="154" t="n"/>
    </row>
    <row r="59" customFormat="1" s="108">
      <c r="B59" s="159" t="inlineStr">
        <is>
          <t>Descripción del Escenario</t>
        </is>
      </c>
      <c r="C59" s="159" t="inlineStr">
        <is>
          <t>Código del caso de uso asociado y la descripción del escenario</t>
        </is>
      </c>
      <c r="D59" s="151" t="n"/>
      <c r="E59" s="151" t="n"/>
      <c r="F59" s="154" t="n"/>
    </row>
    <row r="60" customFormat="1" s="108">
      <c r="B60" s="159" t="inlineStr">
        <is>
          <t>Precondiciones</t>
        </is>
      </c>
      <c r="C60" s="159" t="inlineStr">
        <is>
          <t>Precondiciones que debe de cumplirse antes de iniciar la prueba (data, estados, etc.)</t>
        </is>
      </c>
      <c r="D60" s="151" t="n"/>
      <c r="E60" s="151" t="n"/>
      <c r="F60" s="154" t="n"/>
    </row>
    <row r="61" customFormat="1" s="108">
      <c r="B61" s="159" t="inlineStr">
        <is>
          <t>Paso</t>
        </is>
      </c>
      <c r="C61" s="159" t="inlineStr">
        <is>
          <t>Nro de Paso (Acción)</t>
        </is>
      </c>
      <c r="D61" s="151" t="n"/>
      <c r="E61" s="151" t="n"/>
      <c r="F61" s="154" t="n"/>
    </row>
    <row r="62" customFormat="1" s="108">
      <c r="B62" s="159" t="inlineStr">
        <is>
          <t>Descripción del Paso</t>
        </is>
      </c>
      <c r="C62" s="159" t="inlineStr">
        <is>
          <t xml:space="preserve">Descripción del Paso(Acción) de la prueba </t>
        </is>
      </c>
      <c r="D62" s="151" t="n"/>
      <c r="E62" s="151" t="n"/>
      <c r="F62" s="154" t="n"/>
    </row>
    <row r="63" customFormat="1" s="108">
      <c r="B63" s="159" t="inlineStr">
        <is>
          <t>Entrada</t>
        </is>
      </c>
      <c r="C63" s="159" t="inlineStr">
        <is>
          <t>Descripción de la(s) entrada(s) requeridas en el paso,.Este campo debe ser llenado cuando se requiere ingresar datos al sistema.</t>
        </is>
      </c>
      <c r="D63" s="151" t="n"/>
      <c r="E63" s="151" t="n"/>
      <c r="F63" s="154" t="n"/>
    </row>
    <row r="64" customFormat="1" s="108">
      <c r="B64" s="159" t="inlineStr">
        <is>
          <t>Resultado Esperado</t>
        </is>
      </c>
      <c r="C64" s="159" t="inlineStr">
        <is>
          <t>Descripción de la respuesta que se espera por parte del sistema en el paso</t>
        </is>
      </c>
      <c r="D64" s="151" t="n"/>
      <c r="E64" s="151" t="n"/>
      <c r="F64" s="154" t="n"/>
    </row>
    <row r="65" customFormat="1" s="109">
      <c r="B65" s="159" t="inlineStr">
        <is>
          <t>Comentarios u Observaciones</t>
        </is>
      </c>
      <c r="C65" s="159" t="inlineStr">
        <is>
          <t>Comentario  del probador a  la respuesta que se obtiene por parte del sistema en el  momento de realizar la prueba. Se recomienda adjuntar evidencias de las pruebas realizadas</t>
        </is>
      </c>
      <c r="D65" s="151" t="n"/>
      <c r="E65" s="151" t="n"/>
      <c r="F65" s="154" t="n"/>
    </row>
    <row r="66" customFormat="1" s="108">
      <c r="B66" s="159" t="inlineStr">
        <is>
          <t>Zona de Evidencias</t>
        </is>
      </c>
      <c r="C66" s="159" t="inlineStr">
        <is>
          <t>El probador debe de incluir las evidencias que considere necesaria para evidenciar que ejecuto las pruebas.</t>
        </is>
      </c>
      <c r="D66" s="151" t="n"/>
      <c r="E66" s="151" t="n"/>
      <c r="F66" s="154" t="n"/>
    </row>
    <row r="67" customFormat="1" s="108"/>
    <row r="68" customFormat="1" s="108">
      <c r="B68" s="160" t="inlineStr">
        <is>
          <t>Instrucciones para la(s) Hoja(s) Revisión(s)</t>
        </is>
      </c>
      <c r="C68" s="151" t="n"/>
      <c r="D68" s="151" t="n"/>
      <c r="E68" s="151" t="n"/>
      <c r="F68" s="154" t="n"/>
    </row>
    <row r="69" customFormat="1" s="108">
      <c r="B69" s="106" t="inlineStr">
        <is>
          <t>Columna</t>
        </is>
      </c>
      <c r="C69" s="161" t="inlineStr">
        <is>
          <t>Descripción</t>
        </is>
      </c>
      <c r="D69" s="151" t="n"/>
      <c r="E69" s="151" t="n"/>
      <c r="F69" s="154" t="n"/>
    </row>
    <row r="70" customFormat="1" s="108">
      <c r="B70" s="159" t="inlineStr">
        <is>
          <t>OT</t>
        </is>
      </c>
      <c r="C70" s="159" t="inlineStr">
        <is>
          <t>Número de la OT a la cual se realiza la revisión</t>
        </is>
      </c>
      <c r="D70" s="151" t="n"/>
      <c r="E70" s="151" t="n"/>
      <c r="F70" s="154" t="n"/>
    </row>
    <row r="71" ht="12" customFormat="1" customHeight="1" s="100">
      <c r="B71" s="164" t="inlineStr">
        <is>
          <t>OC</t>
        </is>
      </c>
      <c r="C71" s="159" t="inlineStr">
        <is>
          <t>Número de la Orden de Cambio.</t>
        </is>
      </c>
      <c r="D71" s="151" t="n"/>
      <c r="E71" s="151" t="n"/>
      <c r="F71" s="154" t="n"/>
    </row>
    <row r="72" customFormat="1" s="108">
      <c r="B72" s="159" t="inlineStr">
        <is>
          <t>Número de Revisión</t>
        </is>
      </c>
      <c r="C72" s="159" t="inlineStr">
        <is>
          <t>Correlativo correspondiente a una revisión de Estandares</t>
        </is>
      </c>
      <c r="D72" s="151" t="n"/>
      <c r="E72" s="151" t="n"/>
      <c r="F72" s="154" t="n"/>
    </row>
    <row r="73" customFormat="1" s="108">
      <c r="B73" s="159" t="inlineStr">
        <is>
          <t>Tipo de Revisión</t>
        </is>
      </c>
      <c r="C73" s="159" t="inlineStr">
        <is>
          <t>Tipo de Revision de Estandates a realizarse debe de basarse en uno de Los CheckList predefinidos.</t>
        </is>
      </c>
      <c r="D73" s="151" t="n"/>
      <c r="E73" s="151" t="n"/>
      <c r="F73" s="154" t="n"/>
    </row>
    <row r="74" customFormat="1" s="108"/>
    <row r="75" customFormat="1" s="108">
      <c r="B75" s="162" t="inlineStr">
        <is>
          <t>Notas:</t>
        </is>
      </c>
      <c r="C75" s="151" t="n"/>
      <c r="D75" s="151" t="n"/>
      <c r="E75" s="151" t="n"/>
      <c r="F75" s="154" t="n"/>
    </row>
    <row r="76" customFormat="1" s="108">
      <c r="B76" s="158" t="inlineStr">
        <is>
          <t>1. La partición de escenarios, queda a criterio del analista, consultor y/o usuario responsable</t>
        </is>
      </c>
      <c r="C76" s="151" t="n"/>
      <c r="D76" s="151" t="n"/>
      <c r="E76" s="151" t="n"/>
      <c r="F76" s="154" t="n"/>
    </row>
    <row r="77" customFormat="1" s="108">
      <c r="B77" s="158" t="inlineStr">
        <is>
          <t>2. La prueba de ciclo completo se deberá considerar como un escenario adicional</t>
        </is>
      </c>
      <c r="C77" s="151" t="n"/>
      <c r="D77" s="151" t="n"/>
      <c r="E77" s="151" t="n"/>
      <c r="F77" s="154" t="n"/>
    </row>
    <row r="78" customFormat="1" s="108">
      <c r="B78" s="158" t="inlineStr">
        <is>
          <t>3. Las incidencias encontradas durante la prueba se deben de detallar en el documento de Lista de Incidencias de la OT</t>
        </is>
      </c>
      <c r="C78" s="151" t="n"/>
      <c r="D78" s="151" t="n"/>
      <c r="E78" s="151" t="n"/>
      <c r="F78" s="154" t="n"/>
    </row>
    <row r="79" customFormat="1" s="108">
      <c r="B79" s="158" t="inlineStr">
        <is>
          <t>4. El consultor definirá si se consideran los cumplimientos de estándares como un escenario de la OT.</t>
        </is>
      </c>
      <c r="C79" s="151" t="n"/>
      <c r="D79" s="151" t="n"/>
      <c r="E79" s="151" t="n"/>
      <c r="F79" s="154" t="n"/>
    </row>
    <row r="80" customFormat="1" s="108"/>
  </sheetData>
  <mergeCells count="63">
    <mergeCell ref="D2:E2"/>
    <mergeCell ref="D3:E4"/>
    <mergeCell ref="C27:F27"/>
    <mergeCell ref="C57:F57"/>
    <mergeCell ref="C71:F71"/>
    <mergeCell ref="C59:F59"/>
    <mergeCell ref="C60:F60"/>
    <mergeCell ref="C61:F61"/>
    <mergeCell ref="C46:F46"/>
    <mergeCell ref="C47:F47"/>
    <mergeCell ref="B54:F54"/>
    <mergeCell ref="C55:F55"/>
    <mergeCell ref="C58:F58"/>
    <mergeCell ref="C56:F56"/>
    <mergeCell ref="C48:F48"/>
    <mergeCell ref="C49:F49"/>
    <mergeCell ref="C50:F50"/>
    <mergeCell ref="C51:F51"/>
    <mergeCell ref="B41:F41"/>
    <mergeCell ref="C42:F42"/>
    <mergeCell ref="C32:F32"/>
    <mergeCell ref="C35:F35"/>
    <mergeCell ref="C36:F36"/>
    <mergeCell ref="C38:F38"/>
    <mergeCell ref="C33:F33"/>
    <mergeCell ref="C37:F37"/>
    <mergeCell ref="C19:F19"/>
    <mergeCell ref="B24:F24"/>
    <mergeCell ref="C25:F25"/>
    <mergeCell ref="C28:F28"/>
    <mergeCell ref="C26:F26"/>
    <mergeCell ref="C22:F22"/>
    <mergeCell ref="D7:F7"/>
    <mergeCell ref="C43:F43"/>
    <mergeCell ref="C44:F44"/>
    <mergeCell ref="C45:F45"/>
    <mergeCell ref="C20:F20"/>
    <mergeCell ref="C21:F21"/>
    <mergeCell ref="C18:F18"/>
    <mergeCell ref="C29:F29"/>
    <mergeCell ref="C30:F30"/>
    <mergeCell ref="D13:K13"/>
    <mergeCell ref="D9:K9"/>
    <mergeCell ref="D11:K11"/>
    <mergeCell ref="B16:F16"/>
    <mergeCell ref="C17:F17"/>
    <mergeCell ref="C31:F31"/>
    <mergeCell ref="C34:F34"/>
    <mergeCell ref="B79:F79"/>
    <mergeCell ref="C62:F62"/>
    <mergeCell ref="C63:F63"/>
    <mergeCell ref="C64:F64"/>
    <mergeCell ref="C65:F65"/>
    <mergeCell ref="B76:F76"/>
    <mergeCell ref="B77:F77"/>
    <mergeCell ref="B78:F78"/>
    <mergeCell ref="C72:F72"/>
    <mergeCell ref="C73:F73"/>
    <mergeCell ref="C66:F66"/>
    <mergeCell ref="B68:F68"/>
    <mergeCell ref="C69:F69"/>
    <mergeCell ref="C70:F70"/>
    <mergeCell ref="B75:F75"/>
  </mergeCells>
  <pageMargins left="0.75" right="0.75" top="1" bottom="1" header="0.5" footer="0.5"/>
  <pageSetup orientation="portrait" paperSize="9" scale="84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2:K25"/>
  <sheetViews>
    <sheetView showGridLines="0" zoomScale="90" zoomScaleNormal="90" workbookViewId="0">
      <selection activeCell="C17" sqref="C17"/>
    </sheetView>
  </sheetViews>
  <sheetFormatPr baseColWidth="10" defaultColWidth="9.140625" defaultRowHeight="12.75"/>
  <cols>
    <col width="2.140625" customWidth="1" style="18" min="1" max="1"/>
    <col width="30.28515625" customWidth="1" style="18" min="2" max="2"/>
    <col width="21.5703125" customWidth="1" style="18" min="3" max="3"/>
    <col width="33.85546875" customWidth="1" style="18" min="4" max="4"/>
    <col width="29.28515625" customWidth="1" style="18" min="5" max="5"/>
    <col width="9.140625" customWidth="1" style="18" min="6" max="6"/>
    <col width="9.140625" customWidth="1" style="18" min="7" max="16384"/>
  </cols>
  <sheetData>
    <row r="2" ht="15.75" customFormat="1" customHeight="1" s="166">
      <c r="A2" s="1" t="n"/>
      <c r="B2" s="87" t="n"/>
      <c r="C2" s="169">
        <f>Instructivo!D2</f>
        <v/>
      </c>
      <c r="D2" s="154" t="n"/>
      <c r="E2" s="110">
        <f>Instructivo!F2</f>
        <v/>
      </c>
      <c r="G2" s="6" t="n"/>
      <c r="H2" s="6" t="n"/>
      <c r="I2" s="6" t="n"/>
      <c r="J2" s="6" t="n"/>
      <c r="K2" s="6" t="n"/>
    </row>
    <row r="3" ht="12.75" customFormat="1" customHeight="1" s="166">
      <c r="A3" s="1" t="n"/>
      <c r="B3" s="89" t="n"/>
      <c r="C3" s="169">
        <f>Instructivo!D3</f>
        <v/>
      </c>
      <c r="D3" s="170" t="n"/>
      <c r="E3" s="85">
        <f>Instructivo!F3</f>
        <v/>
      </c>
      <c r="G3" s="6" t="n"/>
      <c r="H3" s="6" t="n"/>
      <c r="I3" s="6" t="n"/>
      <c r="J3" s="6" t="n"/>
      <c r="K3" s="6" t="n"/>
    </row>
    <row r="4" customFormat="1" s="166">
      <c r="A4" s="1" t="n"/>
      <c r="B4" s="91" t="n"/>
      <c r="C4" s="171" t="n"/>
      <c r="D4" s="172" t="n"/>
      <c r="E4" s="85">
        <f>Instructivo!F4</f>
        <v/>
      </c>
      <c r="G4" s="6" t="n"/>
      <c r="H4" s="6" t="n"/>
      <c r="I4" s="6" t="n"/>
      <c r="J4" s="6" t="n"/>
      <c r="K4" s="6" t="n"/>
    </row>
    <row r="6" customFormat="1" s="17">
      <c r="A6" s="15" t="n"/>
      <c r="B6" s="58" t="inlineStr">
        <is>
          <t>OT</t>
        </is>
      </c>
      <c r="C6" s="179" t="inlineStr">
        <is>
          <t>1010</t>
        </is>
      </c>
      <c r="D6" s="175" t="n"/>
      <c r="E6" s="59" t="n"/>
      <c r="F6" s="16" t="n"/>
      <c r="G6" s="6" t="n"/>
      <c r="H6" s="6" t="n"/>
      <c r="I6" s="6" t="n"/>
      <c r="J6" s="6" t="n"/>
      <c r="K6" s="6" t="n"/>
    </row>
    <row r="7" customFormat="1" s="17">
      <c r="A7" s="15" t="n"/>
      <c r="B7" s="60" t="inlineStr">
        <is>
          <t>OC</t>
        </is>
      </c>
      <c r="C7" s="179" t="inlineStr">
        <is>
          <t>4563</t>
        </is>
      </c>
      <c r="D7" s="175" t="n"/>
      <c r="E7" s="59" t="n"/>
      <c r="F7" s="16" t="n"/>
      <c r="G7" s="6" t="n"/>
      <c r="H7" s="6" t="n"/>
      <c r="I7" s="6" t="n"/>
      <c r="J7" s="6" t="n"/>
      <c r="K7" s="6" t="n"/>
    </row>
    <row r="8">
      <c r="B8" s="61" t="n"/>
      <c r="C8" s="61" t="n"/>
      <c r="D8" s="61" t="n"/>
      <c r="E8" s="61" t="n"/>
      <c r="F8" s="19" t="n"/>
    </row>
    <row r="9" customFormat="1" s="59">
      <c r="B9" s="173" t="inlineStr">
        <is>
          <t>Autores</t>
        </is>
      </c>
      <c r="C9" s="174" t="n"/>
      <c r="D9" s="175" t="n"/>
      <c r="F9" s="16" t="n"/>
    </row>
    <row r="10" customFormat="1" s="59">
      <c r="B10" s="62" t="inlineStr">
        <is>
          <t>Fecha</t>
        </is>
      </c>
      <c r="C10" s="176" t="inlineStr">
        <is>
          <t>04/05/2023</t>
        </is>
      </c>
      <c r="D10" s="154" t="n"/>
      <c r="F10" s="16" t="n"/>
    </row>
    <row r="11" customFormat="1" s="112">
      <c r="B11" s="177" t="inlineStr">
        <is>
          <t>Autor</t>
        </is>
      </c>
      <c r="C11" s="177" t="inlineStr">
        <is>
          <t>Cargo / Rol</t>
        </is>
      </c>
      <c r="D11" s="175" t="n"/>
      <c r="E11" s="63" t="n"/>
      <c r="F11" s="20" t="n"/>
    </row>
    <row r="12" customFormat="1" s="112">
      <c r="B12" s="178" t="inlineStr">
        <is>
          <t>Luis Marcilla</t>
        </is>
      </c>
      <c r="C12" s="178">
        <f>IF(ISNA(VLOOKUP(B12,Tabla!$D$4:$E$30,2,FALSE)),"",VLOOKUP(B12,Tabla!$D$4:$E$30,2,FALSE))</f>
        <v/>
      </c>
      <c r="D12" s="154" t="n"/>
      <c r="F12" s="20" t="n"/>
    </row>
    <row r="13" customFormat="1" s="112">
      <c r="F13" s="20" t="n"/>
    </row>
    <row r="14" customFormat="1" s="112">
      <c r="F14" s="20" t="n"/>
    </row>
    <row r="15" customFormat="1" s="112">
      <c r="B15" s="173" t="inlineStr">
        <is>
          <t>Registro de Cambios</t>
        </is>
      </c>
      <c r="C15" s="174" t="n"/>
      <c r="D15" s="174" t="n"/>
      <c r="E15" s="175" t="n"/>
      <c r="F15" s="20" t="n"/>
    </row>
    <row r="16" customFormat="1" s="112">
      <c r="B16" s="177" t="inlineStr">
        <is>
          <t>Versión</t>
        </is>
      </c>
      <c r="C16" s="177" t="inlineStr">
        <is>
          <t>Fecha</t>
        </is>
      </c>
      <c r="D16" s="177" t="inlineStr">
        <is>
          <t>Autor</t>
        </is>
      </c>
      <c r="E16" s="177" t="inlineStr">
        <is>
          <t>Referencia del Cambio</t>
        </is>
      </c>
      <c r="F16" s="20" t="n"/>
    </row>
    <row r="17" customFormat="1" s="112">
      <c r="B17" s="65" t="n">
        <v>1</v>
      </c>
      <c r="C17" s="82" t="inlineStr">
        <is>
          <t>04/05/2023</t>
        </is>
      </c>
      <c r="D17" s="178" t="inlineStr">
        <is>
          <t>Equipo Desarrollo</t>
        </is>
      </c>
      <c r="E17" s="178" t="inlineStr">
        <is>
          <t xml:space="preserve">Creación de Documento </t>
        </is>
      </c>
      <c r="F17" s="20" t="n"/>
    </row>
    <row r="18" customFormat="1" s="112">
      <c r="B18" s="178" t="n"/>
      <c r="C18" s="66" t="n"/>
      <c r="D18" s="178" t="n"/>
      <c r="E18" s="178" t="n"/>
      <c r="F18" s="20" t="n"/>
    </row>
    <row r="19" customFormat="1" s="112">
      <c r="B19" s="67" t="n"/>
      <c r="C19" s="67" t="n"/>
      <c r="D19" s="67" t="n"/>
      <c r="E19" s="67" t="n"/>
      <c r="F19" s="20" t="n"/>
    </row>
    <row r="20" customFormat="1" s="112">
      <c r="F20" s="20" t="n"/>
    </row>
    <row r="21" customFormat="1" s="112">
      <c r="B21" s="173" t="inlineStr">
        <is>
          <t>Revisores</t>
        </is>
      </c>
      <c r="C21" s="174" t="n"/>
      <c r="D21" s="174" t="n"/>
      <c r="E21" s="175" t="n"/>
      <c r="F21" s="20" t="n"/>
    </row>
    <row r="22" customFormat="1" s="112">
      <c r="B22" s="177" t="inlineStr">
        <is>
          <t>Versión Aprobada</t>
        </is>
      </c>
      <c r="C22" s="177" t="inlineStr">
        <is>
          <t>Fecha</t>
        </is>
      </c>
      <c r="D22" s="177" t="inlineStr">
        <is>
          <t>Nombre</t>
        </is>
      </c>
      <c r="E22" s="177" t="inlineStr">
        <is>
          <t>Cargo / Rol</t>
        </is>
      </c>
      <c r="F22" s="20" t="n"/>
    </row>
    <row r="23" customFormat="1" s="112">
      <c r="B23" s="65" t="n"/>
      <c r="C23" s="82" t="n"/>
      <c r="D23" s="178" t="n"/>
      <c r="E23" s="178">
        <f>IF(ISNA(VLOOKUP(D23,Tabla!$D$4:$E$30,2,FALSE)),"",VLOOKUP(D23,Tabla!$D$4:$E$30,2,FALSE))</f>
        <v/>
      </c>
      <c r="F23" s="20" t="n"/>
    </row>
    <row r="24" customFormat="1" s="112">
      <c r="B24" s="178" t="n"/>
      <c r="C24" s="66" t="n"/>
      <c r="D24" s="178" t="n"/>
      <c r="E24" s="178">
        <f>IF(ISNA(VLOOKUP(D24,Tabla!$D$4:$E$30,2,FALSE)),"",VLOOKUP(D24,Tabla!$D$4:$E$30,2,FALSE))</f>
        <v/>
      </c>
      <c r="F24" s="20" t="n"/>
    </row>
    <row r="25" customFormat="1" s="21">
      <c r="B25" s="50" t="n"/>
      <c r="C25" s="50" t="n"/>
      <c r="D25" s="50" t="n"/>
      <c r="E25" s="50" t="n"/>
      <c r="K25" s="50" t="inlineStr">
        <is>
          <t>.</t>
        </is>
      </c>
    </row>
  </sheetData>
  <mergeCells count="10">
    <mergeCell ref="C2:D2"/>
    <mergeCell ref="C3:D4"/>
    <mergeCell ref="C6:D6"/>
    <mergeCell ref="C7:D7"/>
    <mergeCell ref="B9:D9"/>
    <mergeCell ref="B21:E21"/>
    <mergeCell ref="B15:E15"/>
    <mergeCell ref="C10:D10"/>
    <mergeCell ref="C11:D11"/>
    <mergeCell ref="C12:D12"/>
  </mergeCells>
  <dataValidations count="1">
    <dataValidation sqref="B12" showErrorMessage="1" showInputMessage="1" allowBlank="1" type="list">
      <formula1>Autor_Registro</formula1>
    </dataValidation>
  </dataValidations>
  <pageMargins left="0.75" right="0.75" top="1" bottom="1" header="0.5" footer="0.5"/>
  <pageSetup orientation="portrait" paperSize="9" verticalDpi="200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2:H26"/>
  <sheetViews>
    <sheetView showGridLines="0" zoomScale="77" zoomScaleNormal="115" workbookViewId="0">
      <selection activeCell="D21" sqref="D21"/>
    </sheetView>
  </sheetViews>
  <sheetFormatPr baseColWidth="10" defaultColWidth="9.140625" defaultRowHeight="12.75"/>
  <cols>
    <col width="2.28515625" customWidth="1" style="111" min="1" max="1"/>
    <col width="27.85546875" customWidth="1" style="111" min="2" max="2"/>
    <col width="22.140625" bestFit="1" customWidth="1" style="111" min="3" max="3"/>
    <col width="57.42578125" customWidth="1" style="111" min="4" max="4"/>
    <col width="118.5703125" customWidth="1" style="111" min="5" max="5"/>
    <col width="17.85546875" bestFit="1" customWidth="1" style="111" min="6" max="6"/>
    <col width="15.42578125" bestFit="1" customWidth="1" style="111" min="7" max="7"/>
    <col width="9.140625" customWidth="1" style="111" min="8" max="8"/>
    <col width="9.140625" customWidth="1" style="111" min="9" max="16384"/>
  </cols>
  <sheetData>
    <row r="1" ht="15.75" customHeight="1" s="144"/>
    <row r="2" ht="15.75" customHeight="1" s="144">
      <c r="B2" s="87" t="n"/>
      <c r="C2" s="169" t="inlineStr">
        <is>
          <t>PROCESO DE INGENIERÍA</t>
        </is>
      </c>
      <c r="D2" s="151" t="n"/>
      <c r="E2" s="154" t="n"/>
      <c r="F2" s="132" t="inlineStr">
        <is>
          <t>CONFIDENCIAL</t>
        </is>
      </c>
      <c r="G2" s="133" t="n"/>
    </row>
    <row r="3" ht="15.75" customHeight="1" s="144">
      <c r="B3" s="89" t="n"/>
      <c r="C3" s="169" t="inlineStr">
        <is>
          <t>Alertas Compliance Tracker</t>
        </is>
      </c>
      <c r="D3" s="180" t="n"/>
      <c r="E3" s="170" t="n"/>
      <c r="F3" s="134" t="n"/>
      <c r="G3" s="135" t="n"/>
    </row>
    <row r="4">
      <c r="B4" s="91" t="n"/>
      <c r="C4" s="171" t="n"/>
      <c r="D4" s="181" t="n"/>
      <c r="E4" s="172" t="n"/>
      <c r="F4" s="136" t="n"/>
      <c r="G4" s="137" t="n"/>
    </row>
    <row r="5" ht="15.75" customFormat="1" customHeight="1" s="115">
      <c r="A5" s="27" t="n"/>
      <c r="B5" s="22" t="n"/>
      <c r="C5" s="11" t="n"/>
      <c r="D5" s="11" t="n"/>
      <c r="E5" s="9" t="n"/>
      <c r="F5" s="9" t="n"/>
      <c r="G5" s="9" t="n"/>
      <c r="H5" s="9" t="n"/>
    </row>
    <row r="6" customFormat="1" s="115">
      <c r="A6" s="27" t="n"/>
      <c r="B6" s="68" t="inlineStr">
        <is>
          <t>OT</t>
        </is>
      </c>
      <c r="C6" s="118">
        <f>'Historial de Revisiones'!C6</f>
        <v/>
      </c>
      <c r="D6" s="13" t="n"/>
      <c r="E6" s="14" t="n"/>
      <c r="F6" s="14" t="n"/>
      <c r="G6" s="14" t="n"/>
      <c r="H6" s="9" t="n"/>
    </row>
    <row r="7" customFormat="1" s="115">
      <c r="A7" s="27" t="n"/>
      <c r="B7" s="68" t="inlineStr">
        <is>
          <t>OC</t>
        </is>
      </c>
      <c r="C7" s="118">
        <f>'Historial de Revisiones'!C7</f>
        <v/>
      </c>
      <c r="D7" s="13" t="n"/>
      <c r="E7" s="14" t="n"/>
      <c r="F7" s="14" t="n"/>
      <c r="G7" s="14" t="n"/>
      <c r="H7" s="9" t="n"/>
    </row>
    <row r="8" customFormat="1" s="115">
      <c r="A8" s="27" t="n"/>
      <c r="B8" s="68" t="inlineStr">
        <is>
          <t>Número de escenarios</t>
        </is>
      </c>
      <c r="C8" s="69" t="inlineStr">
        <is>
          <t>6</t>
        </is>
      </c>
      <c r="D8" s="23" t="n"/>
      <c r="E8" s="14" t="n"/>
      <c r="F8" s="14" t="n"/>
      <c r="G8" s="14" t="n"/>
      <c r="H8" s="9" t="n"/>
    </row>
    <row r="9" ht="25.5" customHeight="1" s="144">
      <c r="B9" s="68" t="inlineStr">
        <is>
          <t>Número de escenarios probados</t>
        </is>
      </c>
      <c r="C9" s="69" t="n"/>
      <c r="D9" s="24" t="n"/>
      <c r="E9" s="24" t="n"/>
      <c r="F9" s="24" t="n"/>
      <c r="G9" s="24" t="n"/>
    </row>
    <row r="10">
      <c r="B10" s="25" t="n"/>
      <c r="C10" s="26" t="n"/>
      <c r="D10" s="24" t="n"/>
      <c r="E10" s="24" t="n"/>
      <c r="F10" s="24" t="n"/>
      <c r="G10" s="24" t="n"/>
    </row>
    <row r="11">
      <c r="B11" s="25" t="n"/>
      <c r="C11" s="26" t="n"/>
      <c r="D11" s="24" t="n"/>
      <c r="E11" s="24" t="n"/>
      <c r="F11" s="24" t="n"/>
      <c r="G11" s="24" t="n"/>
    </row>
    <row r="12">
      <c r="B12" s="70" t="inlineStr">
        <is>
          <t>Lista de Escenarios</t>
        </is>
      </c>
      <c r="C12" s="71" t="n"/>
      <c r="D12" s="71" t="n"/>
      <c r="E12" s="71" t="n"/>
      <c r="F12" s="71" t="n"/>
      <c r="G12" s="72" t="n"/>
      <c r="H12" s="27" t="n"/>
    </row>
    <row r="13">
      <c r="B13" s="73" t="inlineStr">
        <is>
          <t>ID</t>
        </is>
      </c>
      <c r="C13" s="74" t="inlineStr">
        <is>
          <t>Codigo</t>
        </is>
      </c>
      <c r="D13" s="75" t="inlineStr">
        <is>
          <t>Casos de prueba</t>
        </is>
      </c>
      <c r="E13" s="76" t="inlineStr">
        <is>
          <t>Descripción</t>
        </is>
      </c>
      <c r="F13" s="76" t="inlineStr">
        <is>
          <t>Persona que probó</t>
        </is>
      </c>
      <c r="G13" s="76" t="inlineStr">
        <is>
          <t>Fecha que probó</t>
        </is>
      </c>
    </row>
    <row r="14" ht="16.5" customHeight="1" s="144">
      <c r="B14" s="77" t="inlineStr">
        <is>
          <t>0</t>
        </is>
      </c>
      <c r="C14" s="119" t="inlineStr">
        <is>
          <t>ES000</t>
        </is>
      </c>
      <c r="D14" s="120" t="inlineStr">
        <is>
          <t>Conexión a BD RPA INTEGRA</t>
        </is>
      </c>
      <c r="E14" s="117" t="inlineStr">
        <is>
          <t>Retorna la configuración necesarios para la ejecución del RPA</t>
        </is>
      </c>
      <c r="F14" s="77" t="n"/>
      <c r="G14" s="78" t="n"/>
    </row>
    <row r="15" ht="16.5" customHeight="1" s="144">
      <c r="B15" s="77" t="inlineStr">
        <is>
          <t>1</t>
        </is>
      </c>
      <c r="C15" s="119" t="inlineStr">
        <is>
          <t>ES001</t>
        </is>
      </c>
      <c r="D15" s="120" t="inlineStr">
        <is>
          <t>Conexión a BD RPA INTEGRA</t>
        </is>
      </c>
      <c r="E15" s="117" t="inlineStr">
        <is>
          <t>Lanza un error, se lee el excel de data por defecto y envía notificacion</t>
        </is>
      </c>
      <c r="F15" s="77" t="n"/>
      <c r="G15" s="78" t="n"/>
    </row>
    <row r="16" ht="16.5" customHeight="1" s="144">
      <c r="B16" s="77" t="inlineStr">
        <is>
          <t>2</t>
        </is>
      </c>
      <c r="C16" s="119" t="inlineStr">
        <is>
          <t>ES002</t>
        </is>
      </c>
      <c r="D16" s="120" t="inlineStr">
        <is>
          <t>Carpetas compartidas</t>
        </is>
      </c>
      <c r="E16" s="117" t="inlineStr">
        <is>
          <t>Se encuentran las rutas compartidas</t>
        </is>
      </c>
      <c r="F16" s="77" t="n"/>
      <c r="G16" s="78" t="n"/>
    </row>
    <row r="17" ht="16.5" customHeight="1" s="144">
      <c r="B17" s="77" t="inlineStr">
        <is>
          <t>3</t>
        </is>
      </c>
      <c r="C17" s="119" t="inlineStr">
        <is>
          <t>ES003</t>
        </is>
      </c>
      <c r="D17" s="120" t="inlineStr">
        <is>
          <t>Carpetas compartidas</t>
        </is>
      </c>
      <c r="E17" s="117" t="inlineStr">
        <is>
          <t>No Se encuentran las rutas compartidas</t>
        </is>
      </c>
      <c r="F17" s="77" t="n"/>
      <c r="G17" s="78" t="n"/>
    </row>
    <row r="18" ht="16.5" customHeight="1" s="144">
      <c r="B18" s="77" t="inlineStr">
        <is>
          <t>4</t>
        </is>
      </c>
      <c r="C18" s="119" t="inlineStr">
        <is>
          <t>ES004</t>
        </is>
      </c>
      <c r="D18" s="196" t="inlineStr">
        <is>
          <t xml:space="preserve">Archivos Compartidos </t>
        </is>
      </c>
      <c r="E18" s="117" t="inlineStr">
        <is>
          <t>Se encuentran los archivos compartidos y se MUEVEN a la carpeta TEMP</t>
        </is>
      </c>
      <c r="F18" s="77" t="n"/>
      <c r="G18" s="78" t="n"/>
    </row>
    <row r="19" ht="16.5" customHeight="1" s="144">
      <c r="B19" s="77" t="inlineStr">
        <is>
          <t>5</t>
        </is>
      </c>
      <c r="C19" s="119" t="inlineStr">
        <is>
          <t>ES005</t>
        </is>
      </c>
      <c r="D19" s="120" t="inlineStr">
        <is>
          <t xml:space="preserve">Archivos Compartidos </t>
        </is>
      </c>
      <c r="E19" s="117" t="inlineStr">
        <is>
          <t xml:space="preserve">No existen los archivos compartidos </t>
        </is>
      </c>
      <c r="F19" s="125" t="n"/>
      <c r="G19" s="125" t="n"/>
    </row>
    <row r="20" ht="16.5" customHeight="1" s="144">
      <c r="B20" s="77" t="inlineStr">
        <is>
          <t>6</t>
        </is>
      </c>
      <c r="C20" s="119" t="inlineStr">
        <is>
          <t>ES006</t>
        </is>
      </c>
      <c r="D20" s="120" t="inlineStr">
        <is>
          <t>Conexión a Talentum</t>
        </is>
      </c>
      <c r="E20" s="117" t="inlineStr">
        <is>
          <t>Consulta la base de datos, retorna una conexión positiva y copia la data hacia un datatable de Uipath</t>
        </is>
      </c>
      <c r="F20" s="125" t="n"/>
      <c r="G20" s="125" t="n"/>
    </row>
    <row r="21" ht="16.5" customHeight="1" s="144">
      <c r="B21" s="77" t="n"/>
      <c r="C21" s="119" t="n"/>
      <c r="D21" s="120" t="n"/>
      <c r="E21" s="117" t="n"/>
      <c r="F21" s="125" t="n"/>
      <c r="G21" s="125" t="n"/>
    </row>
    <row r="22" ht="16.5" customHeight="1" s="144">
      <c r="B22" s="77" t="n"/>
      <c r="C22" s="119" t="n"/>
      <c r="D22" s="120" t="n"/>
      <c r="E22" s="117" t="n"/>
      <c r="F22" s="125" t="n"/>
      <c r="G22" s="125" t="n"/>
    </row>
    <row r="23" ht="16.5" customHeight="1" s="144">
      <c r="B23" s="77" t="n"/>
      <c r="C23" s="119" t="n"/>
      <c r="D23" s="120" t="n"/>
      <c r="E23" s="117" t="n"/>
      <c r="F23" s="125" t="n"/>
      <c r="G23" s="125" t="n"/>
    </row>
    <row r="24" ht="16.5" customHeight="1" s="144">
      <c r="B24" s="77" t="n"/>
      <c r="C24" s="119" t="n"/>
      <c r="D24" s="120" t="n"/>
      <c r="E24" s="117" t="n"/>
      <c r="F24" s="125" t="n"/>
      <c r="G24" s="125" t="n"/>
    </row>
    <row r="25" ht="16.5" customHeight="1" s="144">
      <c r="B25" s="77" t="n"/>
      <c r="C25" s="119" t="n"/>
      <c r="D25" s="120" t="n"/>
      <c r="E25" s="117" t="n"/>
      <c r="F25" s="125" t="n"/>
      <c r="G25" s="125" t="n"/>
    </row>
    <row r="26" ht="16.5" customHeight="1" s="144">
      <c r="B26" s="77" t="n"/>
      <c r="C26" s="119" t="n"/>
      <c r="D26" s="120" t="n"/>
      <c r="E26" s="117" t="n"/>
      <c r="F26" s="125" t="n"/>
      <c r="G26" s="125" t="n"/>
    </row>
  </sheetData>
  <mergeCells count="2">
    <mergeCell ref="C2:E2"/>
    <mergeCell ref="C3:E4"/>
  </mergeCells>
  <pageMargins left="0.75" right="0.75" top="1" bottom="1" header="0.5" footer="0.5"/>
  <pageSetup orientation="portrait" paperSize="12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28"/>
  <sheetViews>
    <sheetView zoomScaleNormal="100" workbookViewId="0">
      <selection activeCell="D13" sqref="D13"/>
    </sheetView>
  </sheetViews>
  <sheetFormatPr baseColWidth="10" defaultRowHeight="15"/>
  <cols>
    <col width="11.42578125" customWidth="1" style="121" min="1" max="2"/>
    <col width="31.5703125" customWidth="1" style="121" min="3" max="3"/>
    <col width="30.28515625" customWidth="1" style="121" min="4" max="4"/>
    <col width="25" customWidth="1" style="121" min="5" max="5"/>
    <col width="26" customWidth="1" style="121" min="6" max="6"/>
    <col width="11.42578125" customWidth="1" style="121" min="7" max="7"/>
    <col width="11.42578125" customWidth="1" style="121" min="8" max="16384"/>
  </cols>
  <sheetData>
    <row r="1">
      <c r="A1" s="29" t="n"/>
      <c r="B1" s="29" t="n"/>
      <c r="C1" s="29" t="n"/>
      <c r="D1" s="29" t="n"/>
      <c r="E1" s="29" t="n"/>
      <c r="F1" s="29" t="n"/>
      <c r="G1" s="29" t="n"/>
    </row>
    <row r="2">
      <c r="A2" s="29" t="n"/>
      <c r="B2" s="191" t="n"/>
      <c r="C2" s="170" t="n"/>
      <c r="D2" s="169" t="inlineStr">
        <is>
          <t>PROCESO DE INGENIERÍA</t>
        </is>
      </c>
      <c r="E2" s="154" t="n"/>
      <c r="F2" s="188" t="n"/>
      <c r="G2" s="29" t="n"/>
    </row>
    <row r="3">
      <c r="A3" s="29" t="n"/>
      <c r="B3" s="192" t="n"/>
      <c r="C3" s="193" t="n"/>
      <c r="D3" s="194">
        <f>'Resumen Escenarios'!C3</f>
        <v/>
      </c>
      <c r="E3" s="170" t="n"/>
      <c r="F3" s="189" t="n"/>
      <c r="G3" s="29" t="n"/>
    </row>
    <row r="4">
      <c r="A4" s="115" t="n"/>
      <c r="B4" s="171" t="n"/>
      <c r="C4" s="172" t="n"/>
      <c r="D4" s="171" t="n"/>
      <c r="E4" s="172" t="n"/>
      <c r="F4" s="190" t="n"/>
      <c r="G4" s="115" t="n"/>
    </row>
    <row r="5">
      <c r="A5" s="29" t="n"/>
      <c r="B5" s="29" t="n"/>
      <c r="C5" s="29" t="n"/>
      <c r="D5" s="29" t="n"/>
      <c r="E5" s="29" t="n"/>
      <c r="F5" s="29" t="n"/>
      <c r="G5" s="29" t="n"/>
    </row>
    <row r="6">
      <c r="A6" s="28" t="n"/>
      <c r="B6" s="183" t="inlineStr">
        <is>
          <t>OT</t>
        </is>
      </c>
      <c r="C6" s="154" t="n"/>
      <c r="D6" s="184">
        <f>'Historial de Revisiones'!C6</f>
        <v/>
      </c>
      <c r="E6" s="151" t="n"/>
      <c r="F6" s="154" t="n"/>
      <c r="G6" s="10" t="n"/>
    </row>
    <row r="7">
      <c r="A7" s="28" t="n"/>
      <c r="B7" s="183" t="inlineStr">
        <is>
          <t>OC</t>
        </is>
      </c>
      <c r="C7" s="154" t="n"/>
      <c r="D7" s="184">
        <f>'Historial de Revisiones'!C7</f>
        <v/>
      </c>
      <c r="E7" s="151" t="n"/>
      <c r="F7" s="154" t="n"/>
      <c r="G7" s="10" t="n"/>
    </row>
    <row r="8">
      <c r="A8" s="29" t="n"/>
      <c r="B8" s="187" t="inlineStr">
        <is>
          <t>Número de Escenario</t>
        </is>
      </c>
      <c r="C8" s="172" t="n"/>
      <c r="D8" s="185">
        <f>'Resumen Escenarios'!B14</f>
        <v/>
      </c>
      <c r="E8" s="151" t="n"/>
      <c r="F8" s="154" t="n"/>
      <c r="G8" s="29" t="n"/>
    </row>
    <row r="9">
      <c r="A9" s="29" t="n"/>
      <c r="B9" s="186" t="inlineStr">
        <is>
          <t>Descripción del Escenario</t>
        </is>
      </c>
      <c r="C9" s="154" t="n"/>
      <c r="D9" s="185">
        <f>'Resumen Escenarios'!B14 &amp; "-" &amp; 'Resumen Escenarios'!D14</f>
        <v/>
      </c>
      <c r="E9" s="151" t="n"/>
      <c r="F9" s="154" t="n"/>
      <c r="G9" s="29" t="n"/>
    </row>
    <row r="10">
      <c r="A10" s="29" t="n"/>
      <c r="B10" s="80" t="n"/>
      <c r="C10" s="79" t="n"/>
      <c r="D10" s="80" t="n"/>
      <c r="E10" s="80" t="n"/>
      <c r="F10" s="80" t="n"/>
      <c r="G10" s="29" t="n"/>
    </row>
    <row r="11">
      <c r="A11" s="29" t="n"/>
      <c r="B11" s="80" t="n"/>
      <c r="C11" s="79" t="n"/>
      <c r="D11" s="80" t="n"/>
      <c r="E11" s="80" t="n"/>
      <c r="F11" s="80" t="n"/>
      <c r="G11" s="29" t="n"/>
    </row>
    <row r="12">
      <c r="A12" s="30" t="n"/>
      <c r="B12" s="195" t="inlineStr">
        <is>
          <t>Precondiciones</t>
        </is>
      </c>
      <c r="C12" s="175" t="n"/>
      <c r="D12" s="81" t="n"/>
      <c r="E12" s="81" t="n"/>
      <c r="F12" s="81" t="n"/>
      <c r="G12" s="30" t="n"/>
    </row>
    <row r="13">
      <c r="A13" s="30" t="n"/>
      <c r="B13" s="182" t="n"/>
      <c r="C13" s="175" t="n"/>
      <c r="D13" s="81" t="n"/>
      <c r="E13" s="81" t="n"/>
      <c r="F13" s="81" t="n"/>
      <c r="G13" s="30" t="n"/>
    </row>
    <row r="14">
      <c r="A14" s="30" t="n"/>
      <c r="B14" s="81" t="n"/>
      <c r="C14" s="81" t="n"/>
      <c r="D14" s="81" t="n"/>
      <c r="E14" s="81" t="n"/>
      <c r="F14" s="81" t="n"/>
      <c r="G14" s="30" t="n"/>
    </row>
    <row r="16">
      <c r="B16" s="122" t="inlineStr">
        <is>
          <t>Paso</t>
        </is>
      </c>
      <c r="C16" s="122" t="inlineStr">
        <is>
          <t>Descripción del Paso</t>
        </is>
      </c>
      <c r="D16" s="122" t="inlineStr">
        <is>
          <t>Entrada</t>
        </is>
      </c>
      <c r="E16" s="122" t="inlineStr">
        <is>
          <t>Resultado Esperado</t>
        </is>
      </c>
      <c r="F16" s="122" t="inlineStr">
        <is>
          <t>Comentarios u Observaciones</t>
        </is>
      </c>
    </row>
    <row r="17">
      <c r="B17" s="123" t="n">
        <v>1</v>
      </c>
      <c r="C17" s="124" t="n"/>
      <c r="D17" s="129" t="n"/>
      <c r="E17" s="131" t="n"/>
      <c r="F17" s="123" t="inlineStr">
        <is>
          <t>Imagen 1</t>
        </is>
      </c>
    </row>
    <row r="18">
      <c r="B18" s="123" t="n">
        <v>2</v>
      </c>
      <c r="C18" s="123" t="n"/>
      <c r="D18" s="129" t="n"/>
      <c r="E18" s="129" t="n"/>
      <c r="F18" s="123" t="n"/>
    </row>
    <row r="21">
      <c r="B21" s="130" t="n"/>
      <c r="C21" s="128" t="n"/>
    </row>
    <row r="38">
      <c r="C38" s="128" t="n"/>
    </row>
    <row r="48">
      <c r="C48" s="127" t="n"/>
    </row>
    <row r="52">
      <c r="B52" s="126" t="n"/>
    </row>
    <row r="55">
      <c r="B55" s="130" t="n"/>
    </row>
    <row r="72">
      <c r="C72" s="127" t="n"/>
    </row>
    <row r="81">
      <c r="B81" s="126" t="n"/>
    </row>
    <row r="92">
      <c r="B92" s="130" t="n"/>
    </row>
    <row r="109">
      <c r="B109" s="126" t="n"/>
    </row>
    <row r="128">
      <c r="B128" s="130" t="n"/>
    </row>
  </sheetData>
  <mergeCells count="14">
    <mergeCell ref="F2:F4"/>
    <mergeCell ref="B2:C4"/>
    <mergeCell ref="D2:E2"/>
    <mergeCell ref="D3:E4"/>
    <mergeCell ref="B12:C12"/>
    <mergeCell ref="B13:C13"/>
    <mergeCell ref="B7:C7"/>
    <mergeCell ref="B6:C6"/>
    <mergeCell ref="D6:F6"/>
    <mergeCell ref="D9:F9"/>
    <mergeCell ref="D8:F8"/>
    <mergeCell ref="B9:C9"/>
    <mergeCell ref="B8:C8"/>
    <mergeCell ref="D7:F7"/>
  </mergeCells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2:G69"/>
  <sheetViews>
    <sheetView showGridLines="0" zoomScale="90" zoomScaleNormal="90" workbookViewId="0">
      <selection activeCell="F24" sqref="F24"/>
    </sheetView>
  </sheetViews>
  <sheetFormatPr baseColWidth="10" defaultColWidth="9.140625" defaultRowHeight="12.75"/>
  <cols>
    <col width="30.85546875" customWidth="1" style="144" min="2" max="2"/>
    <col width="16.42578125" customWidth="1" style="144" min="3" max="3"/>
    <col width="33.5703125" customWidth="1" style="144" min="5" max="5"/>
    <col width="19.140625" customWidth="1" style="144" min="7" max="7"/>
  </cols>
  <sheetData>
    <row r="2" ht="12.75" customFormat="1" customHeight="1" s="111">
      <c r="B2" s="87" t="n"/>
      <c r="C2" s="169" t="inlineStr">
        <is>
          <t>PROCESO DE INGENIERÍA</t>
        </is>
      </c>
      <c r="D2" s="151" t="n"/>
      <c r="E2" s="151" t="n"/>
      <c r="F2" s="154" t="n"/>
      <c r="G2" s="110" t="inlineStr">
        <is>
          <t>CONFIDENCIAL</t>
        </is>
      </c>
    </row>
    <row r="3" ht="12.75" customFormat="1" customHeight="1" s="111">
      <c r="B3" s="89" t="n"/>
      <c r="C3" s="169">
        <f>Instructivo!D3</f>
        <v/>
      </c>
      <c r="D3" s="180" t="n"/>
      <c r="E3" s="180" t="n"/>
      <c r="F3" s="170" t="n"/>
      <c r="G3" s="85">
        <f>Instructivo!F3</f>
        <v/>
      </c>
    </row>
    <row r="4" customFormat="1" s="111">
      <c r="B4" s="91" t="n"/>
      <c r="C4" s="171" t="n"/>
      <c r="D4" s="181" t="n"/>
      <c r="E4" s="181" t="n"/>
      <c r="F4" s="172" t="n"/>
      <c r="G4" s="85">
        <f>Instructivo!F4</f>
        <v/>
      </c>
    </row>
    <row r="5" customFormat="1" s="111">
      <c r="B5" s="112" t="n"/>
      <c r="C5" s="112" t="n"/>
      <c r="D5" s="113" t="n"/>
      <c r="E5" s="113" t="n"/>
      <c r="F5" s="114" t="n"/>
      <c r="G5" s="114" t="n"/>
    </row>
    <row r="7">
      <c r="A7" t="inlineStr">
        <is>
          <t>ESCENARIO 1</t>
        </is>
      </c>
    </row>
    <row r="69">
      <c r="A69" t="inlineStr">
        <is>
          <t>ESCENARIO 2</t>
        </is>
      </c>
    </row>
  </sheetData>
  <mergeCells count="2">
    <mergeCell ref="C2:F2"/>
    <mergeCell ref="C3:F4"/>
  </mergeCells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8">
    <tabColor rgb="FFFFC000"/>
    <outlinePr summaryBelow="1" summaryRight="1"/>
    <pageSetUpPr/>
  </sheetPr>
  <dimension ref="B3:E30"/>
  <sheetViews>
    <sheetView zoomScale="85" zoomScaleNormal="85" workbookViewId="0">
      <selection activeCell="H13" sqref="H13"/>
    </sheetView>
  </sheetViews>
  <sheetFormatPr baseColWidth="10" defaultColWidth="11.42578125" defaultRowHeight="12.75"/>
  <cols>
    <col width="20" bestFit="1" customWidth="1" style="144" min="2" max="2"/>
    <col width="20" bestFit="1" customWidth="1" style="144" min="4" max="4"/>
    <col width="19.5703125" bestFit="1" customWidth="1" style="144" min="5" max="5"/>
  </cols>
  <sheetData>
    <row r="3">
      <c r="B3" s="32" t="inlineStr">
        <is>
          <t>Autor_Registro</t>
        </is>
      </c>
      <c r="D3" s="32" t="inlineStr">
        <is>
          <t>Analista</t>
        </is>
      </c>
      <c r="E3" s="51" t="inlineStr">
        <is>
          <t>Cargo</t>
        </is>
      </c>
    </row>
    <row r="4">
      <c r="B4" s="31" t="inlineStr">
        <is>
          <t>Equipo Desarrollo</t>
        </is>
      </c>
      <c r="D4" s="31" t="inlineStr">
        <is>
          <t>Equipo Calidad</t>
        </is>
      </c>
      <c r="E4" s="31" t="inlineStr">
        <is>
          <t>Analista de Calidad</t>
        </is>
      </c>
    </row>
    <row r="5">
      <c r="B5" s="31" t="inlineStr">
        <is>
          <t>César Villar</t>
        </is>
      </c>
      <c r="D5" s="31" t="inlineStr">
        <is>
          <t>César Villar</t>
        </is>
      </c>
      <c r="E5" s="31" t="inlineStr">
        <is>
          <t>Analista de Sistemas</t>
        </is>
      </c>
    </row>
    <row r="6">
      <c r="B6" s="31" t="inlineStr">
        <is>
          <t>Diego Mori</t>
        </is>
      </c>
      <c r="D6" s="31" t="inlineStr">
        <is>
          <t>Fabiola Díaz</t>
        </is>
      </c>
      <c r="E6" s="31" t="inlineStr">
        <is>
          <t>Analista de Sistemas</t>
        </is>
      </c>
    </row>
    <row r="7">
      <c r="B7" s="31" t="inlineStr">
        <is>
          <t>Pedro Calle</t>
        </is>
      </c>
      <c r="D7" s="31" t="inlineStr">
        <is>
          <t>Pedro Calle</t>
        </is>
      </c>
      <c r="E7" s="31" t="inlineStr">
        <is>
          <t>Analista de Sistemas</t>
        </is>
      </c>
    </row>
    <row r="8">
      <c r="B8" s="31" t="inlineStr">
        <is>
          <t>Jim Maguhn</t>
        </is>
      </c>
      <c r="D8" s="31" t="inlineStr">
        <is>
          <t>Manuel Zapata</t>
        </is>
      </c>
      <c r="E8" s="31" t="inlineStr">
        <is>
          <t>Analista RPA</t>
        </is>
      </c>
    </row>
    <row r="9">
      <c r="B9" s="31" t="inlineStr">
        <is>
          <t>Edgar Lopez</t>
        </is>
      </c>
      <c r="D9" s="31" t="inlineStr">
        <is>
          <t>Bryan Ochoa</t>
        </is>
      </c>
      <c r="E9" s="31" t="inlineStr">
        <is>
          <t>Especialista RPA</t>
        </is>
      </c>
    </row>
    <row r="10">
      <c r="B10" s="84" t="inlineStr">
        <is>
          <t>Fabiola Diaz</t>
        </is>
      </c>
      <c r="D10" s="31" t="inlineStr">
        <is>
          <t>Eddy Hernani</t>
        </is>
      </c>
      <c r="E10" s="31" t="inlineStr">
        <is>
          <t>Consultor de Sistemas</t>
        </is>
      </c>
    </row>
    <row r="11">
      <c r="B11" s="31" t="inlineStr">
        <is>
          <t>Eddy Hernani</t>
        </is>
      </c>
      <c r="D11" s="31" t="inlineStr">
        <is>
          <t>Gissela Mancilla</t>
        </is>
      </c>
      <c r="E11" s="31" t="inlineStr">
        <is>
          <t>Consultor de Sistemas</t>
        </is>
      </c>
    </row>
    <row r="12">
      <c r="B12" s="31" t="inlineStr">
        <is>
          <t>Gissela Mancilla</t>
        </is>
      </c>
      <c r="D12" s="31" t="inlineStr">
        <is>
          <t>Marlene Morales</t>
        </is>
      </c>
      <c r="E12" s="31" t="inlineStr">
        <is>
          <t>Consultor de Sistemas</t>
        </is>
      </c>
    </row>
    <row r="13">
      <c r="B13" s="31" t="inlineStr">
        <is>
          <t>Marlene Morales</t>
        </is>
      </c>
      <c r="D13" s="31" t="inlineStr">
        <is>
          <t>Luis Marcilla</t>
        </is>
      </c>
      <c r="E13" s="31" t="inlineStr">
        <is>
          <t>Consultor de Sistemas</t>
        </is>
      </c>
    </row>
    <row r="14">
      <c r="B14" s="31" t="inlineStr">
        <is>
          <t>Luis Marcilla</t>
        </is>
      </c>
      <c r="D14" s="31" t="inlineStr">
        <is>
          <t>Ramiro Cometivos</t>
        </is>
      </c>
      <c r="E14" s="31" t="inlineStr">
        <is>
          <t>Consultor de Sistemas</t>
        </is>
      </c>
    </row>
    <row r="15">
      <c r="B15" s="31" t="inlineStr">
        <is>
          <t>Ramiro Cometivos</t>
        </is>
      </c>
      <c r="D15" s="31" t="inlineStr">
        <is>
          <t>María Torres</t>
        </is>
      </c>
      <c r="E15" s="31" t="inlineStr">
        <is>
          <t>Consultor de Sistemas</t>
        </is>
      </c>
    </row>
    <row r="16">
      <c r="B16" s="31" t="inlineStr">
        <is>
          <t>María Torres</t>
        </is>
      </c>
      <c r="D16" s="31" t="inlineStr">
        <is>
          <t>William Ccucho</t>
        </is>
      </c>
      <c r="E16" s="31" t="inlineStr">
        <is>
          <t>Consultor de Sistemas</t>
        </is>
      </c>
    </row>
    <row r="17">
      <c r="B17" s="31" t="inlineStr">
        <is>
          <t>William Ccucho</t>
        </is>
      </c>
      <c r="D17" s="31" t="inlineStr">
        <is>
          <t>Juan Castro</t>
        </is>
      </c>
      <c r="E17" s="31" t="inlineStr">
        <is>
          <t>Consultor de Sistemas</t>
        </is>
      </c>
    </row>
    <row r="18">
      <c r="B18" s="31" t="inlineStr">
        <is>
          <t>Edgar Lopez</t>
        </is>
      </c>
      <c r="D18" s="31" t="inlineStr">
        <is>
          <t>Carla Avendaño</t>
        </is>
      </c>
      <c r="E18" s="31" t="inlineStr">
        <is>
          <t>Consultor de Sistemas</t>
        </is>
      </c>
    </row>
    <row r="19">
      <c r="B19" s="31" t="inlineStr">
        <is>
          <t>Carla Avendaño</t>
        </is>
      </c>
      <c r="D19" s="31" t="inlineStr">
        <is>
          <t>Edgar Lopez</t>
        </is>
      </c>
      <c r="E19" s="31" t="inlineStr">
        <is>
          <t>Consultor de Sistemas</t>
        </is>
      </c>
    </row>
    <row r="20">
      <c r="B20" s="31" t="inlineStr">
        <is>
          <t>Ana Silvonio</t>
        </is>
      </c>
      <c r="D20" s="31" t="inlineStr">
        <is>
          <t>Equipo Desarrollo</t>
        </is>
      </c>
      <c r="E20" s="31" t="inlineStr">
        <is>
          <t>Analista Programador</t>
        </is>
      </c>
    </row>
    <row r="21">
      <c r="B21" s="31" t="inlineStr">
        <is>
          <t>Luis Polo</t>
        </is>
      </c>
      <c r="D21" s="31" t="inlineStr">
        <is>
          <t>Diego Mori</t>
        </is>
      </c>
      <c r="E21" s="31" t="inlineStr">
        <is>
          <t>Consultor de Sistemas</t>
        </is>
      </c>
    </row>
    <row r="22">
      <c r="B22" s="83" t="inlineStr">
        <is>
          <t xml:space="preserve">Nicanor Vega </t>
        </is>
      </c>
      <c r="D22" s="31" t="inlineStr">
        <is>
          <t>Luis Polo</t>
        </is>
      </c>
      <c r="E22" s="31" t="inlineStr">
        <is>
          <t>Consultor de Sistemas</t>
        </is>
      </c>
    </row>
    <row r="23">
      <c r="B23" s="116" t="inlineStr">
        <is>
          <t>Manuel Zapata</t>
        </is>
      </c>
      <c r="D23" s="84" t="inlineStr">
        <is>
          <t>Ana Silvonio</t>
        </is>
      </c>
      <c r="E23" s="31" t="inlineStr">
        <is>
          <t>Consultor de Sistemas</t>
        </is>
      </c>
    </row>
    <row r="24">
      <c r="B24" s="116" t="inlineStr">
        <is>
          <t>Bryan Ochoa</t>
        </is>
      </c>
      <c r="D24" s="83" t="inlineStr">
        <is>
          <t>Nicanor Vega</t>
        </is>
      </c>
      <c r="E24" s="31" t="inlineStr">
        <is>
          <t xml:space="preserve">Jefe de Proyecto </t>
        </is>
      </c>
    </row>
    <row r="25">
      <c r="B25" s="83" t="n"/>
    </row>
    <row r="26">
      <c r="B26" s="31" t="n"/>
    </row>
    <row r="27">
      <c r="B27" s="31" t="n"/>
      <c r="D27" s="31" t="n"/>
      <c r="E27" s="31" t="n"/>
    </row>
    <row r="28">
      <c r="B28" s="31" t="n"/>
      <c r="D28" s="31" t="n"/>
      <c r="E28" s="31" t="n"/>
    </row>
    <row r="29">
      <c r="B29" s="31" t="n"/>
      <c r="D29" s="31" t="n"/>
      <c r="E29" s="31" t="n"/>
    </row>
    <row r="30">
      <c r="D30" s="31" t="n"/>
      <c r="E30" s="31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9.140625"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np5375121</dc:creator>
  <dcterms:created xmlns:dcterms="http://purl.org/dc/terms/" xmlns:xsi="http://www.w3.org/2001/XMLSchema-instance" xsi:type="dcterms:W3CDTF">2007-04-25T21:34:15Z</dcterms:created>
  <dcterms:modified xmlns:dcterms="http://purl.org/dc/terms/" xmlns:xsi="http://www.w3.org/2001/XMLSchema-instance" xsi:type="dcterms:W3CDTF">2023-05-04T16:29:20Z</dcterms:modified>
  <cp:lastModifiedBy>Erick Ramos Aparicio</cp:lastModifiedBy>
  <cp:lastPrinted>2007-05-22T21:04:39Z</cp:lastPrinted>
</cp:coreProperties>
</file>